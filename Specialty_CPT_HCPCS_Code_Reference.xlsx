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pecialties" sheetId="1" state="visible" r:id="rId3"/>
    <sheet name="Code Master" sheetId="2" state="visible" r:id="rId4"/>
    <sheet name="Notes &amp; Sources" sheetId="3" state="visible" r:id="rId5"/>
  </sheets>
  <definedNames>
    <definedName function="false" hidden="true" localSheetId="1" name="_xlnm._FilterDatabase" vbProcedure="false">'Code Master'!$A$4:$F$107</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E4" authorId="0">
      <text>
        <r>
          <rPr>
            <sz val="10"/>
            <rFont val="Arial"/>
            <family val="2"/>
          </rPr>
          <t xml:space="preserve">Descriptors are the official long descriptors as published in the HCPCS Level II code set (public domain, CMS) and the AMA CPT code set. Verify against the current year's code books and your payer's policy before submitting claims.</t>
        </r>
      </text>
    </comment>
  </commentList>
</comments>
</file>

<file path=xl/sharedStrings.xml><?xml version="1.0" encoding="utf-8"?>
<sst xmlns="http://schemas.openxmlformats.org/spreadsheetml/2006/main" count="652" uniqueCount="373">
  <si>
    <t xml:space="preserve">Specialty Claims - CPT / HCPCS Code Reference</t>
  </si>
  <si>
    <t xml:space="preserve">Specialties billed and the code sets used in each. Counts are live formulas over the 'Code Master' tab.</t>
  </si>
  <si>
    <t xml:space="preserve">Code</t>
  </si>
  <si>
    <t xml:space="preserve">Specialty</t>
  </si>
  <si>
    <t xml:space="preserve">Scope of work</t>
  </si>
  <si>
    <t xml:space="preserve">Total codes</t>
  </si>
  <si>
    <t xml:space="preserve">CPT</t>
  </si>
  <si>
    <t xml:space="preserve">HCPCS Level II</t>
  </si>
  <si>
    <t xml:space="preserve">BH</t>
  </si>
  <si>
    <t xml:space="preserve">Behavioral Health</t>
  </si>
  <si>
    <t xml:space="preserve">Behavioral health integration and psychiatric collaborative care management delivered in the primary care setting.</t>
  </si>
  <si>
    <t xml:space="preserve">GAE</t>
  </si>
  <si>
    <t xml:space="preserve">Genicular Artery Embolization</t>
  </si>
  <si>
    <t xml:space="preserve">Image-guided embolization of the genicular arteries for knee osteoarthritis, including arterial access, selective catheterization and angiographic supervision and interpretation.</t>
  </si>
  <si>
    <t xml:space="preserve">US</t>
  </si>
  <si>
    <t xml:space="preserve">Ultrasound</t>
  </si>
  <si>
    <t xml:space="preserve">Non-invasive vascular ultrasound: extracranial, extremity arterial and venous duplex, physiologic arterial studies and visceral duplex.</t>
  </si>
  <si>
    <t xml:space="preserve">ORTHO</t>
  </si>
  <si>
    <t xml:space="preserve">Orthopedic</t>
  </si>
  <si>
    <t xml:space="preserve">Orthopedic and spine surgery: arthrodesis, instrumentation, disc arthroplasty, decompression, shoulder arthroscopy and neurostimulator implantation.</t>
  </si>
  <si>
    <t xml:space="preserve">DME</t>
  </si>
  <si>
    <t xml:space="preserve">Durable Medical Equipment</t>
  </si>
  <si>
    <t xml:space="preserve">Durable medical equipment and supplies, including collagen and other advanced wound dressings, spinal and lower/upper extremity orthoses, and TENS devices.</t>
  </si>
  <si>
    <t xml:space="preserve">TOTAL</t>
  </si>
  <si>
    <t xml:space="preserve">Code Master - all specialties</t>
  </si>
  <si>
    <t xml:space="preserve">Full code list with official descriptors. Rows shaded amber in the Notes column need review before billing (see the 'Notes &amp; Sources' tab).</t>
  </si>
  <si>
    <t xml:space="preserve">Code Set</t>
  </si>
  <si>
    <t xml:space="preserve">Category</t>
  </si>
  <si>
    <t xml:space="preserve">Description</t>
  </si>
  <si>
    <t xml:space="preserve">Billing Notes</t>
  </si>
  <si>
    <t xml:space="preserve">99484</t>
  </si>
  <si>
    <t xml:space="preserve">Behavioral Health Integration</t>
  </si>
  <si>
    <t xml:space="preserve">Care management services for behavioral health conditions, at least 20 minutes of clinical staff time, directed by a physician or other qualified health care professional, per calendar month</t>
  </si>
  <si>
    <t xml:space="preserve">General BHI. Time-based; report once per calendar month.</t>
  </si>
  <si>
    <t xml:space="preserve">99492</t>
  </si>
  <si>
    <t xml:space="preserve">Psychiatric Collaborative Care (CoCM)</t>
  </si>
  <si>
    <t xml:space="preserve">Initial psychiatric collaborative care management, first 70 minutes in the first calendar month of behavioral health care manager activities, in consultation with a psychiatric consultant, and directed by the treating physician or other qualified health care professional</t>
  </si>
  <si>
    <t xml:space="preserve">First calendar month of CoCM only.</t>
  </si>
  <si>
    <t xml:space="preserve">99493</t>
  </si>
  <si>
    <t xml:space="preserve">Subsequent psychiatric collaborative care management, first 60 minutes in a subsequent month of behavioral health care manager activities, in consultation with a psychiatric consultant, and directed by the treating physician or other qualified health care professional</t>
  </si>
  <si>
    <t xml:space="preserve">Subsequent calendar months of CoCM.</t>
  </si>
  <si>
    <t xml:space="preserve">99494</t>
  </si>
  <si>
    <t xml:space="preserve">Initial or subsequent psychiatric collaborative care management, each additional 30 minutes in a calendar month of behavioral health care manager activities, in consultation with a psychiatric consultant, and directed by the treating physician or other qualified health care professional</t>
  </si>
  <si>
    <t xml:space="preserve">Add-on code. Report with 99492 or 99493.</t>
  </si>
  <si>
    <t xml:space="preserve">36140</t>
  </si>
  <si>
    <t xml:space="preserve">Arterial access</t>
  </si>
  <si>
    <t xml:space="preserve">Introduction of needle or intracatheter, upper or lower extremity artery</t>
  </si>
  <si>
    <t xml:space="preserve">NCCI bundles 36140 into 36245-36248; append modifier 59/XS only when a separate access site is documented.</t>
  </si>
  <si>
    <t xml:space="preserve">36245</t>
  </si>
  <si>
    <t xml:space="preserve">Selective catheterization</t>
  </si>
  <si>
    <t xml:space="preserve">Selective catheter placement, arterial system; each first order abdominal, pelvic, or lower extremity artery branch, within a vascular family</t>
  </si>
  <si>
    <t xml:space="preserve">First order selective placement.</t>
  </si>
  <si>
    <t xml:space="preserve">36246</t>
  </si>
  <si>
    <t xml:space="preserve">Selective catheter placement, arterial system; initial second order abdominal, pelvic, or lower extremity artery branch, within a vascular family</t>
  </si>
  <si>
    <t xml:space="preserve">Second order selective placement.</t>
  </si>
  <si>
    <t xml:space="preserve">36247</t>
  </si>
  <si>
    <t xml:space="preserve">Selective catheter placement, arterial system; initial third order or more selective abdominal, pelvic, or lower extremity artery branch, within a vascular family</t>
  </si>
  <si>
    <t xml:space="preserve">Typical level of selectivity reached for genicular branches.</t>
  </si>
  <si>
    <t xml:space="preserve">36248</t>
  </si>
  <si>
    <t xml:space="preserve">Selective catheter placement, arterial system; additional second order, third order, and beyond, abdominal, pelvic, or lower extremity artery branch, within a vascular family</t>
  </si>
  <si>
    <t xml:space="preserve">Add-on code. Report with 36246 or 36247 for each additional branch in the same vascular family.</t>
  </si>
  <si>
    <t xml:space="preserve">37242</t>
  </si>
  <si>
    <t xml:space="preserve">Embolization</t>
  </si>
  <si>
    <t xml:space="preserve">Vascular embolization or occlusion, inclusive of all radiological supervision and interpretation, intraprocedural roadmapping, and imaging guidance necessary to complete the intervention; non-central nervous system, non-head or neck (eg, congenital or acquired arterial malformations, arteriovenous malformations, arteriovenous fistulas, aneurysms, pseudoaneurysms)</t>
  </si>
  <si>
    <t xml:space="preserve">Primary embolization code for GAE. Includes all radiological S&amp;I, roadmapping and imaging guidance.</t>
  </si>
  <si>
    <t xml:space="preserve">75710</t>
  </si>
  <si>
    <t xml:space="preserve">Angiography S&amp;I</t>
  </si>
  <si>
    <t xml:space="preserve">Angiography, extremity, unilateral, radiological supervision and interpretation</t>
  </si>
  <si>
    <t xml:space="preserve">Diagnostic extremity angiogram, one side.</t>
  </si>
  <si>
    <t xml:space="preserve">75774</t>
  </si>
  <si>
    <t xml:space="preserve">Angiography, selective, each additional vessel studied after basic examination, radiological supervision and interpretation</t>
  </si>
  <si>
    <t xml:space="preserve">Add-on code. Report after the basic examination for each additional selectively studied vessel.</t>
  </si>
  <si>
    <t xml:space="preserve">76937</t>
  </si>
  <si>
    <t xml:space="preserve">Ultrasound guidance</t>
  </si>
  <si>
    <t xml:space="preserve">Ultrasound guidance for vascular access requiring ultrasound evaluation of potential access sites, documentation of selected vessel patency, concurrent real-time ultrasound visualization of vascular needle entry, with permanent recording and reporting</t>
  </si>
  <si>
    <t xml:space="preserve">Add-on code. Requires a permanently recorded image and a separate written report in the record.</t>
  </si>
  <si>
    <t xml:space="preserve">93880</t>
  </si>
  <si>
    <t xml:space="preserve">Cerebrovascular duplex</t>
  </si>
  <si>
    <t xml:space="preserve">Duplex scan of extracranial arteries; complete bilateral study</t>
  </si>
  <si>
    <t xml:space="preserve">Carotid/vertebral duplex, complete bilateral.</t>
  </si>
  <si>
    <t xml:space="preserve">93922</t>
  </si>
  <si>
    <t xml:space="preserve">Physiologic arterial study</t>
  </si>
  <si>
    <t xml:space="preserve">Limited bilateral noninvasive physiologic studies of upper or lower extremity arteries, (eg, for lower extremity: ankle/brachial indices at distal posterior tibial and anterior tibial/dorsalis pedis arteries plus bidirectional, Doppler waveform recording and analysis, at 1-2 levels, or ankle/brachial indices at distal posterior tibial and anterior tibial/dorsalis pedis arteries plus volume plethysmography at 1-2 levels, or ankle/brachial indices at distal posterior tibial and anterior tibial/dorsalis pedis arteries with, transcutaneous oxygen tension measurements at 1-2 levels)</t>
  </si>
  <si>
    <t xml:space="preserve">Limited bilateral study, 1-2 levels. Use 93923 for 3 or more levels. Append modifier 52 for a unilateral study.</t>
  </si>
  <si>
    <t xml:space="preserve">93923</t>
  </si>
  <si>
    <t xml:space="preserve">Complete bilateral noninvasive physiologic studies of upper or lower extremity arteries, 3 or more levels (eg, for lower extremity: ankle/brachial indices at distal posterior tibial and anterior tibial/dorsalis pedis arteries plus segmental blood pressure measurements), or single level study with provocative functional maneuvers</t>
  </si>
  <si>
    <t xml:space="preserve">Segmental pressures / ABI study, 3 or more levels.</t>
  </si>
  <si>
    <t xml:space="preserve">93925</t>
  </si>
  <si>
    <t xml:space="preserve">Arterial duplex</t>
  </si>
  <si>
    <t xml:space="preserve">Duplex scan of lower extremity arteries or arterial bypass grafts; complete bilateral study</t>
  </si>
  <si>
    <t xml:space="preserve">Complete bilateral. Use 93926 for unilateral or limited.</t>
  </si>
  <si>
    <t xml:space="preserve">93970</t>
  </si>
  <si>
    <t xml:space="preserve">Venous duplex</t>
  </si>
  <si>
    <t xml:space="preserve">Duplex scan of extremity veins including responses to compression and other maneuvers; complete bilateral study</t>
  </si>
  <si>
    <t xml:space="preserve">Complete bilateral. Use 93971 for unilateral or limited.</t>
  </si>
  <si>
    <t xml:space="preserve">93971</t>
  </si>
  <si>
    <t xml:space="preserve">Duplex scan of extremity veins including responses to compression and other maneuvers; unilateral or limited study</t>
  </si>
  <si>
    <t xml:space="preserve">Unilateral or limited study. Use 93970 for a complete bilateral study.</t>
  </si>
  <si>
    <t xml:space="preserve">93978</t>
  </si>
  <si>
    <t xml:space="preserve">Visceral duplex</t>
  </si>
  <si>
    <t xml:space="preserve">Duplex scan of aorta, inferior vena cava, iliac vasculature, or bypass grafts; complete study</t>
  </si>
  <si>
    <t xml:space="preserve">Complete study. Use 93979 for unilateral or limited.</t>
  </si>
  <si>
    <t xml:space="preserve">15769</t>
  </si>
  <si>
    <t xml:space="preserve">Soft tissue graft</t>
  </si>
  <si>
    <t xml:space="preserve">Grafting of autologous soft tissue, other, harvested by direct excision (eg, fat, dermis, fascia)</t>
  </si>
  <si>
    <t xml:space="preserve">Autologous soft tissue harvested by direct excision.</t>
  </si>
  <si>
    <t xml:space="preserve">20930</t>
  </si>
  <si>
    <t xml:space="preserve">Spine graft / biologic</t>
  </si>
  <si>
    <t xml:space="preserve">Allograft, morselized, or placement of osteopromotive material, for spine surgery only</t>
  </si>
  <si>
    <t xml:space="preserve">Add-on code. Spine surgery only; report with the primary arthrodesis code.</t>
  </si>
  <si>
    <t xml:space="preserve">22551</t>
  </si>
  <si>
    <t xml:space="preserve">Cervical arthrodesis</t>
  </si>
  <si>
    <t xml:space="preserve">Arthrodesis, anterior interbody, including disc space preparation, discectomy, osteophytectomy and decompression of spinal cord and/or nerve roots; cervical below C2</t>
  </si>
  <si>
    <t xml:space="preserve">ACDF, single interspace. Use 22552 for each additional interspace.</t>
  </si>
  <si>
    <t xml:space="preserve">22612</t>
  </si>
  <si>
    <t xml:space="preserve">Lumbar arthrodesis</t>
  </si>
  <si>
    <t xml:space="preserve">Arthrodesis, posterior or posterolateral technique, single level; lumbar (with lateral transverse technique, when performed)</t>
  </si>
  <si>
    <t xml:space="preserve">Posterolateral fusion, single level.</t>
  </si>
  <si>
    <t xml:space="preserve">22630</t>
  </si>
  <si>
    <t xml:space="preserve">Arthrodesis, posterior interbody technique, including laminectomy and/or discectomy to prepare interspace (other than for decompression), single interspace; lumbar</t>
  </si>
  <si>
    <t xml:space="preserve">PLIF/TLIF, single interspace.</t>
  </si>
  <si>
    <t xml:space="preserve">22633</t>
  </si>
  <si>
    <t xml:space="preserve">Arthrodesis, combined posterior or posterolateral technique with posterior interbody technique including laminectomy and/or discectomy sufficient to prepare interspace (other than for decompression), single interspace and segment; lumbar</t>
  </si>
  <si>
    <t xml:space="preserve">Combined posterolateral + interbody, single interspace and segment.</t>
  </si>
  <si>
    <t xml:space="preserve">22840</t>
  </si>
  <si>
    <t xml:space="preserve">Spinal instrumentation</t>
  </si>
  <si>
    <t xml:space="preserve">Posterior non-segmental instrumentation (eg, Harrington rod technique, pedicle fixation across 1 interspace, atlantoaxial transarticular screw fixation, sublaminar wiring at C1, facet screw fixation)</t>
  </si>
  <si>
    <t xml:space="preserve">Add-on code.</t>
  </si>
  <si>
    <t xml:space="preserve">22845</t>
  </si>
  <si>
    <t xml:space="preserve">Anterior instrumentation; 2 to 3 vertebral segments</t>
  </si>
  <si>
    <t xml:space="preserve">22849</t>
  </si>
  <si>
    <t xml:space="preserve">Reinsertion of spinal fixation device</t>
  </si>
  <si>
    <t xml:space="preserve">Standalone procedure; not an add-on.</t>
  </si>
  <si>
    <t xml:space="preserve">22850</t>
  </si>
  <si>
    <t xml:space="preserve">Removal of posterior nonsegmental instrumentation (eg, Harrington rod)</t>
  </si>
  <si>
    <t xml:space="preserve">22853</t>
  </si>
  <si>
    <t xml:space="preserve">Interbody device</t>
  </si>
  <si>
    <t xml:space="preserve">Insertion of interbody biomechanical device(s) (eg, synthetic cage, mesh, methylmethacrylate) with integral anterior instrumentation for device anchoring (eg, screws, flanges), when performed, to intervertebral disc space in conjunction with interbody arthrodesis, each interspace</t>
  </si>
  <si>
    <t xml:space="preserve">Add-on code. Report once per interspace.</t>
  </si>
  <si>
    <t xml:space="preserve">22855</t>
  </si>
  <si>
    <t xml:space="preserve">Removal of anterior instrumentation</t>
  </si>
  <si>
    <t xml:space="preserve">22856</t>
  </si>
  <si>
    <t xml:space="preserve">Disc arthroplasty</t>
  </si>
  <si>
    <t xml:space="preserve">Total disc arthroplasty (artificial disc), anterior approach, including discectomy with end plate preparation (includes osteophytectomy for nerve root or spinal cord decompression and microdissection), single interspace, cervical</t>
  </si>
  <si>
    <t xml:space="preserve">Cervical artificial disc replacement, first level.</t>
  </si>
  <si>
    <t xml:space="preserve">22858</t>
  </si>
  <si>
    <t xml:space="preserve">Total disc arthroplasty (artificial disc), anterior approach, including discectomy with end plate preparation (includes osteophytectomy for nerve root or spinal cord decompression and microdissection), second level, cervical</t>
  </si>
  <si>
    <t xml:space="preserve">Add-on code. Report with 22856 for the second cervical level.</t>
  </si>
  <si>
    <t xml:space="preserve">27279</t>
  </si>
  <si>
    <t xml:space="preserve">Sacroiliac arthrodesis</t>
  </si>
  <si>
    <t xml:space="preserve">Arthrodesis, sacroiliac joint, percutaneous or minimally invasive (indirect visualization), with image guidance, includes obtaining bone graft when performed, and placement of transfixing device</t>
  </si>
  <si>
    <t xml:space="preserve">Minimally invasive SI joint fusion. Image guidance and graft harvest are included.</t>
  </si>
  <si>
    <t xml:space="preserve">29806</t>
  </si>
  <si>
    <t xml:space="preserve">Shoulder arthroscopy</t>
  </si>
  <si>
    <t xml:space="preserve">Arthroscopy, shoulder, surgical; capsulorrhaphy</t>
  </si>
  <si>
    <t xml:space="preserve">29807</t>
  </si>
  <si>
    <t xml:space="preserve">Arthroscopy, shoulder, surgical; repair of SLAP lesion</t>
  </si>
  <si>
    <t xml:space="preserve">29819</t>
  </si>
  <si>
    <t xml:space="preserve">Arthroscopy, shoulder, surgical; with removal of loose body or foreign body</t>
  </si>
  <si>
    <t xml:space="preserve">29822</t>
  </si>
  <si>
    <t xml:space="preserve">Arthroscopy, shoulder, surgical; debridement, limited, 1 or 2 discrete structures (eg, humeral bone, humeral articular cartilage, glenoid bone, glenoid articular cartilage, biceps tendon, biceps anchor complex, labrum, articular capsule, articular side of the rotator cuff, bursal side of the rotator cuff, subacromial bursa, foreign body[ies])</t>
  </si>
  <si>
    <t xml:space="preserve">Limited debridement: 1 or 2 discrete structures.</t>
  </si>
  <si>
    <t xml:space="preserve">29823</t>
  </si>
  <si>
    <t xml:space="preserve">Arthroscopy, shoulder, surgical; debridement, extensive, 3 or more discrete structures (eg, humeral bone, humeral articular cartilage, glenoid bone, glenoid articular cartilage, biceps tendon, biceps anchor complex, labrum, articular capsule, articular side of the rotator cuff, bursal side of the rotator cuff, subacromial bursa, foreign body[ies])</t>
  </si>
  <si>
    <t xml:space="preserve">Extensive debridement: 3 or more discrete structures.</t>
  </si>
  <si>
    <t xml:space="preserve">29824</t>
  </si>
  <si>
    <t xml:space="preserve">Arthroscopy, shoulder, surgical; distal claviculectomy including distal articular surface (Mumford procedure)</t>
  </si>
  <si>
    <t xml:space="preserve">29827</t>
  </si>
  <si>
    <t xml:space="preserve">Arthroscopy, shoulder, surgical; with rotator cuff repair</t>
  </si>
  <si>
    <t xml:space="preserve">29828</t>
  </si>
  <si>
    <t xml:space="preserve">Arthroscopy, shoulder, surgical; biceps tenodesis</t>
  </si>
  <si>
    <t xml:space="preserve">63020</t>
  </si>
  <si>
    <t xml:space="preserve">Laminotomy / decompression</t>
  </si>
  <si>
    <t xml:space="preserve">Laminotomy (hemilaminectomy), with decompression of nerve root(s), including partial facetectomy, foraminotomy and/or excision of herniated intervertebral disc; 1 interspace, cervical</t>
  </si>
  <si>
    <t xml:space="preserve">63030</t>
  </si>
  <si>
    <t xml:space="preserve">Laminotomy (hemilaminectomy), with decompression of nerve root(s), including partial facetectomy, foraminotomy and/or excision of herniated intervertebral disc; 1 interspace, lumbar</t>
  </si>
  <si>
    <t xml:space="preserve">63035</t>
  </si>
  <si>
    <t xml:space="preserve">Laminotomy (hemilaminectomy), with decompression of nerve root(s), including partial facetectomy, foraminotomy and/or excision of herniated intervertebral disc; each additional interspace, cervical or lumbar</t>
  </si>
  <si>
    <t xml:space="preserve">Add-on code. Report with 63020-63030 or 63040-63042.</t>
  </si>
  <si>
    <t xml:space="preserve">63040</t>
  </si>
  <si>
    <t xml:space="preserve">Laminotomy / re-exploration</t>
  </si>
  <si>
    <t xml:space="preserve">Laminotomy (hemilaminectomy), with decompression of nerve root(s), including partial facetectomy, foraminotomy and/or excision of herniated intervertebral disc, reexploration, single interspace; cervical</t>
  </si>
  <si>
    <t xml:space="preserve">Re-exploration at a previously operated interspace.</t>
  </si>
  <si>
    <t xml:space="preserve">63042</t>
  </si>
  <si>
    <t xml:space="preserve">Laminotomy (hemilaminectomy), with decompression of nerve root(s), including partial facetectomy, foraminotomy and/or excision of herniated intervertebral disc, reexploration, single interspace; lumbar</t>
  </si>
  <si>
    <t xml:space="preserve">63044</t>
  </si>
  <si>
    <t xml:space="preserve">Laminotomy (hemilaminectomy), with decompression of nerve root(s), including partial facetectomy, foraminotomy and/or excision of herniated intervertebral disc, reexploration, single interspace; each additional lumbar interspace</t>
  </si>
  <si>
    <t xml:space="preserve">Add-on code. Report with 63042.</t>
  </si>
  <si>
    <t xml:space="preserve">63045</t>
  </si>
  <si>
    <t xml:space="preserve">Laminectomy / decompression</t>
  </si>
  <si>
    <t xml:space="preserve">Laminectomy, facetectomy and foraminotomy (unilateral or bilateral with decompression of spinal cord, cauda equina and/or nerve root[s], (eg, spinal or lateral recess stenosis)), single vertebral segment; cervical</t>
  </si>
  <si>
    <t xml:space="preserve">63047</t>
  </si>
  <si>
    <t xml:space="preserve">Laminectomy, facetectomy and foraminotomy (unilateral or bilateral with decompression of spinal cord, cauda equina and/or nerve root[s], (eg, spinal or lateral recess stenosis)), single vertebral segment; lumbar</t>
  </si>
  <si>
    <t xml:space="preserve">63048</t>
  </si>
  <si>
    <t xml:space="preserve">Laminectomy, facetectomy and foraminotomy (unilateral or bilateral with decompression of spinal cord, cauda equina and/or nerve root[s], (eg, spinal or lateral recess stenosis)), single vertebral segment; each additional segment, cervical, thoracic, or lumbar</t>
  </si>
  <si>
    <t xml:space="preserve">Add-on code. Report with 63045-63047.</t>
  </si>
  <si>
    <t xml:space="preserve">63052</t>
  </si>
  <si>
    <t xml:space="preserve">Laminectomy with arthrodesis</t>
  </si>
  <si>
    <t xml:space="preserve">Laminectomy, facetectomy, or foraminotomy (unilateral or bilateral with decompression of spinal cord, cauda equina and/or nerve root[s], [eg, spinal or lateral recess stenosis]), during posterior interbody arthrodesis, lumbar; single vertebral segment</t>
  </si>
  <si>
    <t xml:space="preserve">Add-on code. Report with 22630, 22633, 22634.</t>
  </si>
  <si>
    <t xml:space="preserve">63055</t>
  </si>
  <si>
    <t xml:space="preserve">Transpedicular decompression</t>
  </si>
  <si>
    <t xml:space="preserve">Transpedicular approach with decompression of spinal cord, equina and/or nerve root(s) (eg, herniated intervertebral disc), single segment; thoracic</t>
  </si>
  <si>
    <t xml:space="preserve">63056</t>
  </si>
  <si>
    <t xml:space="preserve">Transpedicular approach with decompression of spinal cord, equina and/or nerve root(s) (eg, herniated intervertebral disc), single segment; lumbar (including transfacet, or lateral extraforaminal approach) (eg, far lateral herniated intervertebral disc)</t>
  </si>
  <si>
    <t xml:space="preserve">63057</t>
  </si>
  <si>
    <t xml:space="preserve">Transpedicular approach with decompression of spinal cord, equina and/or nerve root(s) (eg, herniated intervertebral disc), single segment; each additional segment, thoracic or lumbar</t>
  </si>
  <si>
    <t xml:space="preserve">Add-on code. Report with 63055-63056.</t>
  </si>
  <si>
    <t xml:space="preserve">63655</t>
  </si>
  <si>
    <t xml:space="preserve">Neurostimulator</t>
  </si>
  <si>
    <t xml:space="preserve">Laminectomy for implantation of neurostimulator electrodes, plate/paddle, epidural</t>
  </si>
  <si>
    <t xml:space="preserve">Paddle lead placement for spinal cord stimulation.</t>
  </si>
  <si>
    <t xml:space="preserve">63685</t>
  </si>
  <si>
    <t xml:space="preserve">Insertion or replacement of spinal neurostimulator pulse generator or receiver, requiring pocket creation and connection between electrode array and pulse generator or receiver</t>
  </si>
  <si>
    <t xml:space="preserve">IPG implant or replacement.</t>
  </si>
  <si>
    <t xml:space="preserve">64708</t>
  </si>
  <si>
    <t xml:space="preserve">Peripheral nerve</t>
  </si>
  <si>
    <t xml:space="preserve">Neuroplasty, major peripheral nerve, arm or leg, open; other than specified</t>
  </si>
  <si>
    <t xml:space="preserve">97504</t>
  </si>
  <si>
    <t xml:space="preserve">Orthotic training (DELETED)</t>
  </si>
  <si>
    <t xml:space="preserve">Orthotic(s) fitting and training, upper extremity(s), lower extremity(s) and/or trunk, each 15 minutes -- CODE DELETED FROM CPT effective 01/01/2006</t>
  </si>
  <si>
    <t xml:space="preserve">DELETED. Replaced by 97760 (orthotic management and training, initial encounter) and 97763 (subsequent encounter). Do not bill 97504 for current dates of service.</t>
  </si>
  <si>
    <t xml:space="preserve">A6010</t>
  </si>
  <si>
    <t xml:space="preserve">Collagen wound care</t>
  </si>
  <si>
    <t xml:space="preserve">Collagen based wound filler, dry form, sterile, per gram of collagen</t>
  </si>
  <si>
    <t xml:space="preserve">Billed per gram of collagen.</t>
  </si>
  <si>
    <t xml:space="preserve">A6021</t>
  </si>
  <si>
    <t xml:space="preserve">Collagen dressing, sterile, size 16 sq. in. or less, each</t>
  </si>
  <si>
    <t xml:space="preserve">Size tier 1. Use A6022 for &gt;16 to 48 sq. in.</t>
  </si>
  <si>
    <t xml:space="preserve">A6023</t>
  </si>
  <si>
    <t xml:space="preserve">Collagen dressing, sterile, size more than 48 sq. in., each</t>
  </si>
  <si>
    <t xml:space="preserve">Size tier 3.</t>
  </si>
  <si>
    <t xml:space="preserve">A6196</t>
  </si>
  <si>
    <t xml:space="preserve">Alginate dressing</t>
  </si>
  <si>
    <t xml:space="preserve">Alginate or other fiber gelling dressing, wound cover, sterile, pad size 16 sq. in. or less, each dressing</t>
  </si>
  <si>
    <t xml:space="preserve">Size tier 1.</t>
  </si>
  <si>
    <t xml:space="preserve">A6197</t>
  </si>
  <si>
    <t xml:space="preserve">Alginate or other fiber gelling dressing, wound cover, sterile, pad size more than 16 sq. in. but less than or equal to 48 sq. in., each dressing</t>
  </si>
  <si>
    <t xml:space="preserve">Size tier 2.</t>
  </si>
  <si>
    <t xml:space="preserve">A6203</t>
  </si>
  <si>
    <t xml:space="preserve">Composite dressing</t>
  </si>
  <si>
    <t xml:space="preserve">Composite dressing, sterile, pad size 16 sq. in. or less, with any size adhesive border, each dressing</t>
  </si>
  <si>
    <t xml:space="preserve">A6204</t>
  </si>
  <si>
    <t xml:space="preserve">Composite dressing, sterile, pad size more than 16 sq. in. but less than or equal to 48 sq. in., with any size adhesive border, each dressing</t>
  </si>
  <si>
    <t xml:space="preserve">E0730</t>
  </si>
  <si>
    <t xml:space="preserve">Electrical stimulation</t>
  </si>
  <si>
    <t xml:space="preserve">Transcutaneous electrical nerve stimulation (TENS) device, four or more leads, for multiple nerve stimulation</t>
  </si>
  <si>
    <t xml:space="preserve">Four-lead TENS. Use E0720 for a two-lead device.</t>
  </si>
  <si>
    <t xml:space="preserve">L0120</t>
  </si>
  <si>
    <t xml:space="preserve">Cervical orthosis</t>
  </si>
  <si>
    <t xml:space="preserve">Cervical, flexible, non-adjustable, prefabricated, off-the-shelf (foam collar)</t>
  </si>
  <si>
    <t xml:space="preserve">Off-the-shelf.</t>
  </si>
  <si>
    <t xml:space="preserve">L0180</t>
  </si>
  <si>
    <t xml:space="preserve">Cervical, multiple post collar, occipital/mandibular supports, adjustable</t>
  </si>
  <si>
    <t xml:space="preserve">L0456</t>
  </si>
  <si>
    <t xml:space="preserve">TLSO</t>
  </si>
  <si>
    <t xml:space="preserve">Thoracic-lumbar-sacral orthosis (TLSO), flexible, provides trunk support, thoracic region, rigid posterior panel and soft anterior apron, extends from the sacrococcygeal junction and terminates just inferior to the scapular spine, restricts gross trunk motion in the sagittal plane, produces intracavitary pressure to reduce load on the intervertebral discs, includes straps and closures, prefabricated item that has been trimmed, bent, molded, assembled, or otherwise customized to fit a specific patient by an individual with expertise</t>
  </si>
  <si>
    <t xml:space="preserve">CUSTOM FITTED. Off-the-shelf equivalent is L0457.</t>
  </si>
  <si>
    <t xml:space="preserve">L0457</t>
  </si>
  <si>
    <t xml:space="preserve">Thoracic-lumbar-sacral orthosis (TLSO), flexible, provides trunk support, thoracic region, rigid posterior panel and soft anterior apron, extends from the sacrococcygeal junction and terminates just inferior to the scapular spine, restricts gross trunk motion in the sagittal plane, produces intracavitary pressure to reduce load on the intervertebral discs, includes straps and closures, prefabricated, off-the-shelf</t>
  </si>
  <si>
    <t xml:space="preserve">OFF-THE-SHELF. Custom fitted equivalent is L0456.</t>
  </si>
  <si>
    <t xml:space="preserve">L0621</t>
  </si>
  <si>
    <t xml:space="preserve">Sacroiliac orthosis</t>
  </si>
  <si>
    <t xml:space="preserve">Sacroiliac orthosis (SO), flexible, provides pelvic-sacral support, reduces motion about the sacroiliac joint, includes straps, closures, may include pendulous abdomen design, prefabricated, off-the-shelf</t>
  </si>
  <si>
    <t xml:space="preserve">OFF-THE-SHELF.</t>
  </si>
  <si>
    <t xml:space="preserve">L0627</t>
  </si>
  <si>
    <t xml:space="preserve">Lumbar orthosis</t>
  </si>
  <si>
    <t xml:space="preserve">Lumbar orthosis (LO), sagittal control, with rigid anterior and posterior panels, posterior extends from L-1 to below L-5 vertebra, produces intracavitary pressure to reduce load on the intervertebral discs, includes straps, closures, may include padding, shoulder straps, pendulous abdomen design, prefabricated item that has been trimmed, bent, molded, assembled, or otherwise customized to fit a specific patient by an individual with expertise</t>
  </si>
  <si>
    <t xml:space="preserve">CUSTOM FITTED. Off-the-shelf equivalent is L0642.</t>
  </si>
  <si>
    <t xml:space="preserve">L0637</t>
  </si>
  <si>
    <t xml:space="preserve">Lumbar-sacral orthosis</t>
  </si>
  <si>
    <t xml:space="preserve">Lumbar-sacral orthosis (LSO), sagittal-coronal control, with rigid anterior and posterior frame/panels, posterior extends from sacrococcygeal junction to T-9 vertebra, lateral strength provided by rigid lateral frame/panels, produces intracavitary pressure to reduce load on intervertebral discs, includes straps, closures, may include padding, shoulder straps, pendulous abdomen design, prefabricated item that has been trimmed, bent, molded, assembled, or otherwise customized to fit a specific patient by an individual with expertise</t>
  </si>
  <si>
    <t xml:space="preserve">CUSTOM FITTED. Off-the-shelf equivalent is L0650.</t>
  </si>
  <si>
    <t xml:space="preserve">L0642</t>
  </si>
  <si>
    <t xml:space="preserve">Lumbar orthosis (LO), sagittal control, with rigid anterior and posterior panels, posterior extends from L-1 to below L-5 vertebra, produces intracavitary pressure to reduce load on the intervertebral discs, includes straps, closures, may include padding, shoulder straps, pendulous abdomen design, prefabricated, off-the-shelf</t>
  </si>
  <si>
    <t xml:space="preserve">OFF-THE-SHELF. Custom fitted equivalent is L0627.</t>
  </si>
  <si>
    <t xml:space="preserve">L0648</t>
  </si>
  <si>
    <t xml:space="preserve">Lumbar-sacral orthosis (LSO), sagittal control, with rigid anterior and posterior panels, posterior extends from sacrococcygeal junction to T-9 vertebra, produces intracavitary pressure to reduce load on the intervertebral discs, includes straps, closures, may include padding, shoulder straps, pendulous abdomen design, prefabricated, off-the-shelf</t>
  </si>
  <si>
    <t xml:space="preserve">OFF-THE-SHELF. Custom fitted equivalent is L0631.</t>
  </si>
  <si>
    <t xml:space="preserve">L0650</t>
  </si>
  <si>
    <t xml:space="preserve">Lumbar-sacral orthosis (LSO), sagittal-coronal control, with rigid anterior and posterior frame/panel(s), posterior extends from sacrococcygeal junction to T-9 vertebra, lateral strength provided by rigid lateral frame/panel(s), produces intracavitary pressure to reduce load on intervertebral discs, includes straps, closures, may include padding, shoulder straps, pendulous abdomen design, prefabricated, off-the-shelf</t>
  </si>
  <si>
    <t xml:space="preserve">OFF-THE-SHELF. Custom fitted equivalent is L0637.</t>
  </si>
  <si>
    <t xml:space="preserve">L0651</t>
  </si>
  <si>
    <t xml:space="preserve">Lumbar-sacral orthosis (LSO), sagittal-coronal control, rigid shell(s)/panel(s), posterior extends from sacrococcygeal junction to T-9 vertebra, anterior extends from symphysis pubis to xyphoid, produces intracavitary pressure to reduce load on the intervertebral discs, overall strength is provided by overlapping rigid material and stabilizing closures, includes straps, closures, may include soft interface, pendulous abdomen design, prefabricated, off-the-shelf</t>
  </si>
  <si>
    <t xml:space="preserve">L1005</t>
  </si>
  <si>
    <t xml:space="preserve">Scoliosis orthosis</t>
  </si>
  <si>
    <t xml:space="preserve">Tension based scoliosis orthosis and accessory pads, includes fitting and adjustment</t>
  </si>
  <si>
    <t xml:space="preserve">L1686</t>
  </si>
  <si>
    <t xml:space="preserve">Hip orthosis</t>
  </si>
  <si>
    <t xml:space="preserve">Hip orthosis (HO), abduction control of hip joint, postoperative hip abduction type, prefabricated, includes fitting and adjustment</t>
  </si>
  <si>
    <t xml:space="preserve">Post-operative hip abduction brace.</t>
  </si>
  <si>
    <t xml:space="preserve">L1843</t>
  </si>
  <si>
    <t xml:space="preserve">Knee orthosis</t>
  </si>
  <si>
    <t xml:space="preserve">Knee orthosis (KO), single upright, thigh and calf, with adjustable flexion and extension joint (unicentric or polycentric), medial-lateral and rotation control, with or without varus/valgus adjustment, prefabricated item that has been trimmed, bent, molded, assembled, or otherwise customized to fit a specific patient by an individual with expertise</t>
  </si>
  <si>
    <t xml:space="preserve">SINGLE upright, CUSTOM FITTED. Off-the-shelf equivalent is L1851.</t>
  </si>
  <si>
    <t xml:space="preserve">L1845</t>
  </si>
  <si>
    <t xml:space="preserve">Knee orthosis (KO), double upright, thigh and calf, with adjustable flexion and extension joint (unicentric or polycentric), medial-lateral and rotation control, with or without varus/valgus adjustment, prefabricated item that has been trimmed, bent, molded, assembled, or otherwise customized to fit a specific patient by an individual with expertise</t>
  </si>
  <si>
    <t xml:space="preserve">DOUBLE upright, CUSTOM FITTED. Off-the-shelf equivalent is L1852.</t>
  </si>
  <si>
    <t xml:space="preserve">L1846</t>
  </si>
  <si>
    <t xml:space="preserve">Knee orthosis (KO), double upright, thigh and calf, with adjustable flexion and extension joint (unicentric or polycentric), medial-lateral and rotation control, with or without varus/valgus adjustment, custom fabricated</t>
  </si>
  <si>
    <t xml:space="preserve">DOUBLE upright, CUSTOM FABRICATED (not prefabricated).</t>
  </si>
  <si>
    <t xml:space="preserve">L1851</t>
  </si>
  <si>
    <t xml:space="preserve">Knee orthosis (KO), single upright, thigh and calf, with adjustable flexion and extension joint (unicentric or polycentric), medial-lateral and rotation control, with or without varus/valgus adjustment, prefabricated, off-the-shelf</t>
  </si>
  <si>
    <t xml:space="preserve">SINGLE upright, OFF-THE-SHELF. Custom fitted equivalent is L1843.</t>
  </si>
  <si>
    <t xml:space="preserve">L1852</t>
  </si>
  <si>
    <t xml:space="preserve">Knee orthosis (KO), double upright, thigh and calf, with adjustable flexion and extension joint (unicentric or polycentric), medial-lateral and rotation control, with or without varus/valgus adjustment, prefabricated, off-the-shelf</t>
  </si>
  <si>
    <t xml:space="preserve">DOUBLE upright, OFF-THE-SHELF. Custom fitted equivalent is L1845.</t>
  </si>
  <si>
    <t xml:space="preserve">L1951</t>
  </si>
  <si>
    <t xml:space="preserve">Ankle-foot orthosis</t>
  </si>
  <si>
    <t xml:space="preserve">Ankle foot orthosis (AFO), spiral, (institute of rehabilitative medicine type), plastic or other material, prefabricated item that has been trimmed, bent, molded, assembled, or otherwise customized to fit a specific patient by an individual with expertise</t>
  </si>
  <si>
    <t xml:space="preserve">CUSTOM FITTED.</t>
  </si>
  <si>
    <t xml:space="preserve">L1971</t>
  </si>
  <si>
    <t xml:space="preserve">Ankle foot orthosis (AFO), plastic or other material with ankle joint, with or without dorsiflexion assist, prefabricated, includes fitting and adjustment</t>
  </si>
  <si>
    <t xml:space="preserve">Prefabricated with articulating ankle joint. Custom fabricated equivalent is L1970.</t>
  </si>
  <si>
    <t xml:space="preserve">L2385</t>
  </si>
  <si>
    <t xml:space="preserve">Lower extremity addition</t>
  </si>
  <si>
    <t xml:space="preserve">Addition to lower extremity, straight knee joint, heavy duty, each joint</t>
  </si>
  <si>
    <t xml:space="preserve">Addition code. Billed per joint.</t>
  </si>
  <si>
    <t xml:space="preserve">L2390</t>
  </si>
  <si>
    <t xml:space="preserve">Addition to lower extremity, offset knee joint, each joint</t>
  </si>
  <si>
    <t xml:space="preserve">L2395</t>
  </si>
  <si>
    <t xml:space="preserve">Addition to lower extremity, offset knee joint, heavy duty, each joint</t>
  </si>
  <si>
    <t xml:space="preserve">L2397</t>
  </si>
  <si>
    <t xml:space="preserve">Addition to lower extremity orthosis, suspension sleeve</t>
  </si>
  <si>
    <t xml:space="preserve">Addition code.</t>
  </si>
  <si>
    <t xml:space="preserve">L2405</t>
  </si>
  <si>
    <t xml:space="preserve">Knee joint addition</t>
  </si>
  <si>
    <t xml:space="preserve">Addition to knee joint, drop lock, each</t>
  </si>
  <si>
    <t xml:space="preserve">Addition code. Billed each.</t>
  </si>
  <si>
    <t xml:space="preserve">L2415</t>
  </si>
  <si>
    <t xml:space="preserve">Addition to knee lock with integrated release mechanism (bail, cable, or equal), any material, each joint</t>
  </si>
  <si>
    <t xml:space="preserve">L2492</t>
  </si>
  <si>
    <t xml:space="preserve">Addition to knee joint, lift loop for drop lock ring</t>
  </si>
  <si>
    <t xml:space="preserve">L2755</t>
  </si>
  <si>
    <t xml:space="preserve">Addition to lower extremity orthosis, high strength, lightweight material, all hybrid lamination/prepreg composite, per segment, for custom fabricated orthosis only</t>
  </si>
  <si>
    <t xml:space="preserve">Addition code. CUSTOM FABRICATED orthoses only; billed per segment.</t>
  </si>
  <si>
    <t xml:space="preserve">L2785</t>
  </si>
  <si>
    <t xml:space="preserve">Addition to lower extremity orthosis, drop lock retainer, each</t>
  </si>
  <si>
    <t xml:space="preserve">L2795</t>
  </si>
  <si>
    <t xml:space="preserve">Addition to lower extremity orthosis, knee control, full kneecap</t>
  </si>
  <si>
    <t xml:space="preserve">L2800</t>
  </si>
  <si>
    <t xml:space="preserve">Addition to lower extremity orthosis, knee control, knee cap, medial or lateral pull, for use with custom fabricated orthosis only</t>
  </si>
  <si>
    <t xml:space="preserve">Addition code. CUSTOM FABRICATED orthoses only.</t>
  </si>
  <si>
    <t xml:space="preserve">L3020</t>
  </si>
  <si>
    <t xml:space="preserve">Foot orthosis</t>
  </si>
  <si>
    <t xml:space="preserve">Foot, insert, removable, molded to patient model, longitudinal/metatarsal support, each</t>
  </si>
  <si>
    <t xml:space="preserve">Billed each (per foot).</t>
  </si>
  <si>
    <t xml:space="preserve">L3028</t>
  </si>
  <si>
    <t xml:space="preserve">NOT VERIFIED -- no matching HCPCS Level II descriptor could be confirmed for this code</t>
  </si>
  <si>
    <t xml:space="preserve">VERIFY BEFORE BILLING. L3028 was not found in the current HCPCS Level II set; the removable foot insert range runs L3000-L3003, L3010, L3020, L3030, L3031. Possible transcription of L3020 or L3030 (Foot, insert, removable, formed to patient foot, each).</t>
  </si>
  <si>
    <t xml:space="preserve">L3809</t>
  </si>
  <si>
    <t xml:space="preserve">Wrist-hand-finger orthosis</t>
  </si>
  <si>
    <t xml:space="preserve">Wrist hand finger orthosis (WHFO), without joint(s), prefabricated, off-the-shelf, any type</t>
  </si>
  <si>
    <t xml:space="preserve">L3916</t>
  </si>
  <si>
    <t xml:space="preserve">Wrist-hand orthosis</t>
  </si>
  <si>
    <t xml:space="preserve">Wrist hand orthosis (WHO), includes one or more nontorsion joint(s), elastic bands, turnbuckles, may include soft interface, straps, prefabricated, off-the-shelf</t>
  </si>
  <si>
    <t xml:space="preserve">Notes, assumptions and sources</t>
  </si>
  <si>
    <t xml:space="preserve">How to use this workbook</t>
  </si>
  <si>
    <t xml:space="preserve">'Code Master' holds every code, one per row, with the official descriptor. The header row has an AutoFilter -- filter column A to work one specialty at a time. Column A is colour-coded by specialty.</t>
  </si>
  <si>
    <t xml:space="preserve">'Specialties' summarises the five service lines. Its count columns are COUNTIF/COUNTIFS formulas pointed at 'Code Master', so adding or removing a row there updates the counts automatically.</t>
  </si>
  <si>
    <t xml:space="preserve">To add a code: insert a row on 'Code Master' and fill columns A-F. Use exactly 'CPT' or 'HCPCS Level II' in column C so the summary counts pick it up.</t>
  </si>
  <si>
    <t xml:space="preserve">Codes that need review before billing</t>
  </si>
  <si>
    <t xml:space="preserve">97504 -- Deleted from CPT effective 01/01/2006. The descriptor was 'Orthotic(s) fitting and training, upper extremity(s), lower extremity(s) and/or trunk, each 15 minutes'. It was replaced by 97760 (orthotic management and training, initial orthotic encounter, each 15 minutes) and, from 01/01/2018, 97763 for subsequent encounters. A claim carrying 97504 for a current date of service will be rejected as an invalid code.</t>
  </si>
  <si>
    <t xml:space="preserve">L3028 -- Could not be confirmed as a valid HCPCS Level II code. The removable foot insert family is L3000, L3001, L3002, L3003, L3010, L3020, L3030 and L3031, and L3028 does not appear in it. This may be a transcription of L3020 (molded to patient model, longitudinal/metatarsal support) or L3030 (formed to patient foot). Confirm against the current HCPCS Level II file or with the supplier before billing.</t>
  </si>
  <si>
    <t xml:space="preserve">Custom fitted vs off-the-shelf pairs</t>
  </si>
  <si>
    <t xml:space="preserve">Several orthosis codes come in matched pairs where the only difference is whether the item was customised to the patient by someone with expertise (custom fitted) or supplied off-the-shelf. Getting this wrong is a common denial. The pairs in this list are: L0456/L0457 (TLSO), L0627/L0642 (LO), L0637/L0650 (LSO), L1843/L1851 (single upright KO) and L1845/L1852 (double upright KO). L1846 is custom FABRICATED, which is a third, distinct category.</t>
  </si>
  <si>
    <t xml:space="preserve">Add-on codes</t>
  </si>
  <si>
    <t xml:space="preserve">These never stand alone and must be reported with their primary procedure: 99494 (BH); 36248, 75774, 76937 (GAE); 20930, 22840, 22845, 22853, 22858, 63035, 63044, 63048, 63052, 63057 (Ortho).</t>
  </si>
  <si>
    <t xml:space="preserve">Sources</t>
  </si>
  <si>
    <t xml:space="preserve">HCPCS Level II descriptors (A, E and L codes) are the official long descriptors from the CMS HCPCS Level II code set, which is in the public domain. Verified against hcpcsdata.com and AAPC Codify, 2025/2026 code sets.</t>
  </si>
  <si>
    <t xml:space="preserve">CPT descriptors reflect the AMA CPT code set. CPT is a registered trademark of the American Medical Association; the AMA holds the copyright in CPT and its descriptors. This workbook is an internal working reference -- confirm every descriptor against a licensed current-year CPT manual before it is relied on for billing or shared outside the practice.</t>
  </si>
  <si>
    <t xml:space="preserve">Code sets change annually (CPT each 1 January; HCPCS Level II quarterly, with the main update each 1 January). Re-verify this list at each update.</t>
  </si>
  <si>
    <t xml:space="preserve">Compiled 8 August 2026 from the code list supplied by the practice. No claim, patient or payment data is included in this file.</t>
  </si>
</sst>
</file>

<file path=xl/styles.xml><?xml version="1.0" encoding="utf-8"?>
<styleSheet xmlns="http://schemas.openxmlformats.org/spreadsheetml/2006/main">
  <numFmts count="2">
    <numFmt numFmtId="164" formatCode="General"/>
    <numFmt numFmtId="165" formatCode="General"/>
  </numFmts>
  <fonts count="14">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10"/>
      <color rgb="FFFFFFFF"/>
      <name val="Arial"/>
      <family val="0"/>
      <charset val="1"/>
    </font>
    <font>
      <b val="true"/>
      <sz val="10"/>
      <color rgb="FF1F3864"/>
      <name val="Arial"/>
      <family val="0"/>
      <charset val="1"/>
    </font>
    <font>
      <b val="true"/>
      <sz val="10"/>
      <name val="Arial"/>
      <family val="0"/>
      <charset val="1"/>
    </font>
    <font>
      <sz val="10"/>
      <name val="Arial"/>
      <family val="0"/>
      <charset val="1"/>
    </font>
    <font>
      <sz val="10"/>
      <color rgb="FF9C5700"/>
      <name val="Arial"/>
      <family val="0"/>
      <charset val="1"/>
    </font>
    <font>
      <b val="true"/>
      <sz val="10"/>
      <color rgb="FF9C5700"/>
      <name val="Arial"/>
      <family val="0"/>
      <charset val="1"/>
    </font>
    <font>
      <sz val="10"/>
      <name val="Arial"/>
      <family val="2"/>
    </font>
    <font>
      <b val="true"/>
      <sz val="11"/>
      <color rgb="FF1F3864"/>
      <name val="Arial"/>
      <family val="0"/>
      <charset val="1"/>
    </font>
  </fonts>
  <fills count="10">
    <fill>
      <patternFill patternType="none"/>
    </fill>
    <fill>
      <patternFill patternType="gray125"/>
    </fill>
    <fill>
      <patternFill patternType="solid">
        <fgColor rgb="FF1F3864"/>
        <bgColor rgb="FF333333"/>
      </patternFill>
    </fill>
    <fill>
      <patternFill patternType="solid">
        <fgColor rgb="FFE4DFEC"/>
        <bgColor rgb="FFD9E2F3"/>
      </patternFill>
    </fill>
    <fill>
      <patternFill patternType="solid">
        <fgColor rgb="FFFCE4E4"/>
        <bgColor rgb="FFFDF0E0"/>
      </patternFill>
    </fill>
    <fill>
      <patternFill patternType="solid">
        <fgColor rgb="FFDDEBF7"/>
        <bgColor rgb="FFD9E2F3"/>
      </patternFill>
    </fill>
    <fill>
      <patternFill patternType="solid">
        <fgColor rgb="FFE2EFDA"/>
        <bgColor rgb="FFDDEBF7"/>
      </patternFill>
    </fill>
    <fill>
      <patternFill patternType="solid">
        <fgColor rgb="FFFDF0E0"/>
        <bgColor rgb="FFFFF2CC"/>
      </patternFill>
    </fill>
    <fill>
      <patternFill patternType="solid">
        <fgColor rgb="FFD9E2F3"/>
        <bgColor rgb="FFE4DFEC"/>
      </patternFill>
    </fill>
    <fill>
      <patternFill patternType="solid">
        <fgColor rgb="FFFFF2CC"/>
        <bgColor rgb="FFFDF0E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center" vertical="top" textRotation="0" wrapText="false" indent="0" shrinkToFit="false"/>
      <protection locked="true" hidden="false"/>
    </xf>
    <xf numFmtId="164" fontId="7" fillId="4" borderId="1" xfId="0" applyFont="true" applyBorder="true" applyAlignment="true" applyProtection="false">
      <alignment horizontal="center" vertical="top" textRotation="0" wrapText="false" indent="0" shrinkToFit="false"/>
      <protection locked="true" hidden="false"/>
    </xf>
    <xf numFmtId="164" fontId="7" fillId="5" borderId="1" xfId="0" applyFont="true" applyBorder="true" applyAlignment="true" applyProtection="false">
      <alignment horizontal="center" vertical="top" textRotation="0" wrapText="false" indent="0" shrinkToFit="false"/>
      <protection locked="true" hidden="false"/>
    </xf>
    <xf numFmtId="164" fontId="7" fillId="6" borderId="1" xfId="0" applyFont="true" applyBorder="true" applyAlignment="true" applyProtection="false">
      <alignment horizontal="center" vertical="top" textRotation="0" wrapText="false" indent="0" shrinkToFit="false"/>
      <protection locked="true" hidden="false"/>
    </xf>
    <xf numFmtId="164" fontId="7" fillId="7" borderId="1" xfId="0" applyFont="true" applyBorder="true" applyAlignment="true" applyProtection="false">
      <alignment horizontal="center" vertical="top" textRotation="0" wrapText="false" indent="0" shrinkToFit="false"/>
      <protection locked="true" hidden="false"/>
    </xf>
    <xf numFmtId="164" fontId="0" fillId="8" borderId="1" xfId="0" applyFont="false" applyBorder="true" applyAlignment="true" applyProtection="false">
      <alignment horizontal="general" vertical="bottom" textRotation="0" wrapText="false" indent="0" shrinkToFit="false"/>
      <protection locked="true" hidden="false"/>
    </xf>
    <xf numFmtId="164" fontId="8" fillId="8" borderId="1" xfId="0" applyFont="true" applyBorder="true" applyAlignment="true" applyProtection="false">
      <alignment horizontal="general" vertical="bottom" textRotation="0" wrapText="false" indent="0" shrinkToFit="false"/>
      <protection locked="true" hidden="false"/>
    </xf>
    <xf numFmtId="165" fontId="8" fillId="8" borderId="1" xfId="0" applyFont="true" applyBorder="true" applyAlignment="true" applyProtection="false">
      <alignment horizontal="center" vertical="bottom" textRotation="0" wrapText="false" indent="0" shrinkToFit="false"/>
      <protection locked="true" hidden="false"/>
    </xf>
    <xf numFmtId="164" fontId="8" fillId="3"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8" fillId="4" borderId="1" xfId="0" applyFont="true" applyBorder="true" applyAlignment="true" applyProtection="false">
      <alignment horizontal="center" vertical="top" textRotation="0" wrapText="false" indent="0" shrinkToFit="false"/>
      <protection locked="true" hidden="false"/>
    </xf>
    <xf numFmtId="164" fontId="8" fillId="5" borderId="1" xfId="0" applyFont="true" applyBorder="true" applyAlignment="true" applyProtection="false">
      <alignment horizontal="center" vertical="top" textRotation="0" wrapText="false" indent="0" shrinkToFit="false"/>
      <protection locked="true" hidden="false"/>
    </xf>
    <xf numFmtId="164" fontId="8" fillId="6" borderId="1" xfId="0" applyFont="true" applyBorder="true" applyAlignment="true" applyProtection="false">
      <alignment horizontal="center" vertical="top" textRotation="0" wrapText="false" indent="0" shrinkToFit="false"/>
      <protection locked="true" hidden="false"/>
    </xf>
    <xf numFmtId="164" fontId="8" fillId="9" borderId="1" xfId="0" applyFont="true" applyBorder="true" applyAlignment="true" applyProtection="false">
      <alignment horizontal="center" vertical="top" textRotation="0" wrapText="false" indent="0" shrinkToFit="false"/>
      <protection locked="true" hidden="false"/>
    </xf>
    <xf numFmtId="164" fontId="7" fillId="9" borderId="1" xfId="0" applyFont="true" applyBorder="true" applyAlignment="true" applyProtection="false">
      <alignment horizontal="center" vertical="top" textRotation="0" wrapText="false" indent="0" shrinkToFit="false"/>
      <protection locked="true" hidden="false"/>
    </xf>
    <xf numFmtId="164" fontId="9" fillId="9" borderId="1" xfId="0" applyFont="true" applyBorder="true" applyAlignment="true" applyProtection="false">
      <alignment horizontal="center" vertical="top" textRotation="0" wrapText="false" indent="0" shrinkToFit="false"/>
      <protection locked="true" hidden="false"/>
    </xf>
    <xf numFmtId="164" fontId="9" fillId="9" borderId="1" xfId="0" applyFont="true" applyBorder="true" applyAlignment="true" applyProtection="false">
      <alignment horizontal="general" vertical="top" textRotation="0" wrapText="true" indent="0" shrinkToFit="false"/>
      <protection locked="true" hidden="false"/>
    </xf>
    <xf numFmtId="164" fontId="10" fillId="9" borderId="1" xfId="0" applyFont="true" applyBorder="true" applyAlignment="true" applyProtection="false">
      <alignment horizontal="general" vertical="top" textRotation="0" wrapText="true" indent="0" shrinkToFit="false"/>
      <protection locked="true" hidden="false"/>
    </xf>
    <xf numFmtId="164" fontId="11" fillId="9" borderId="1" xfId="0" applyFont="true" applyBorder="true" applyAlignment="true" applyProtection="false">
      <alignment horizontal="general" vertical="top" textRotation="0" wrapText="true" indent="0" shrinkToFit="false"/>
      <protection locked="true" hidden="false"/>
    </xf>
    <xf numFmtId="164" fontId="8" fillId="7" borderId="1" xfId="0" applyFont="true" applyBorder="true" applyAlignment="true" applyProtection="false">
      <alignment horizontal="center" vertical="top"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3864"/>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E4DFEC"/>
          <bgColor rgb="FF000000"/>
        </patternFill>
      </fill>
    </dxf>
    <dxf>
      <fill>
        <patternFill patternType="solid">
          <fgColor rgb="FFFCE4E4"/>
          <bgColor rgb="FF000000"/>
        </patternFill>
      </fill>
    </dxf>
    <dxf>
      <fill>
        <patternFill patternType="solid">
          <fgColor rgb="FFFDF0E0"/>
          <bgColor rgb="FF000000"/>
        </patternFill>
      </fill>
    </dxf>
    <dxf>
      <fill>
        <patternFill patternType="solid">
          <fgColor rgb="FFFFF2CC"/>
          <bgColor rgb="FF000000"/>
        </patternFill>
      </fill>
    </dxf>
    <dxf>
      <fill>
        <patternFill patternType="solid">
          <fgColor rgb="FFFFFFFF"/>
          <bgColor rgb="FF000000"/>
        </patternFill>
      </fill>
    </dxf>
    <dxf>
      <fill>
        <patternFill patternType="solid">
          <bgColor rgb="FF000000"/>
        </patternFill>
      </fill>
    </dxf>
    <dxf>
      <fill>
        <patternFill patternType="solid">
          <fgColor rgb="FF9C57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E4DFEC"/>
      <rgbColor rgb="FFE2EFDA"/>
      <rgbColor rgb="FFFDF0E0"/>
      <rgbColor rgb="FF99CCFF"/>
      <rgbColor rgb="FFFF99CC"/>
      <rgbColor rgb="FFCC99FF"/>
      <rgbColor rgb="FFFCE4E4"/>
      <rgbColor rgb="FF3366FF"/>
      <rgbColor rgb="FF33CCCC"/>
      <rgbColor rgb="FF99CC00"/>
      <rgbColor rgb="FFFFCC00"/>
      <rgbColor rgb="FFFF9900"/>
      <rgbColor rgb="FFFF6600"/>
      <rgbColor rgb="FF595959"/>
      <rgbColor rgb="FF969696"/>
      <rgbColor rgb="FF1F3864"/>
      <rgbColor rgb="FF339966"/>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10"/>
    <col collapsed="false" customWidth="true" hidden="false" outlineLevel="0" max="2" min="2" style="1" width="32"/>
    <col collapsed="false" customWidth="true" hidden="false" outlineLevel="0" max="3" min="3" style="1" width="74"/>
    <col collapsed="false" customWidth="true" hidden="false" outlineLevel="0" max="4" min="4" style="1" width="12"/>
    <col collapsed="false" customWidth="true" hidden="false" outlineLevel="0" max="5" min="5" style="1" width="10"/>
    <col collapsed="false" customWidth="true" hidden="false" outlineLevel="0" max="6" min="6" style="1" width="16"/>
  </cols>
  <sheetData>
    <row r="1" customFormat="false" ht="17.25" hidden="false" customHeight="true" outlineLevel="0" collapsed="false">
      <c r="A1" s="2" t="s">
        <v>0</v>
      </c>
    </row>
    <row r="2" customFormat="false" ht="15" hidden="false" customHeight="true" outlineLevel="0" collapsed="false">
      <c r="A2" s="3" t="s">
        <v>1</v>
      </c>
    </row>
    <row r="4" customFormat="false" ht="30" hidden="false" customHeight="true" outlineLevel="0" collapsed="false">
      <c r="A4" s="4" t="s">
        <v>2</v>
      </c>
      <c r="B4" s="4" t="s">
        <v>3</v>
      </c>
      <c r="C4" s="4" t="s">
        <v>4</v>
      </c>
      <c r="D4" s="4" t="s">
        <v>5</v>
      </c>
      <c r="E4" s="4" t="s">
        <v>6</v>
      </c>
      <c r="F4" s="4" t="s">
        <v>7</v>
      </c>
    </row>
    <row r="5" customFormat="false" ht="45.75" hidden="false" customHeight="true" outlineLevel="0" collapsed="false">
      <c r="A5" s="5" t="s">
        <v>8</v>
      </c>
      <c r="B5" s="6" t="s">
        <v>9</v>
      </c>
      <c r="C5" s="7" t="s">
        <v>10</v>
      </c>
      <c r="D5" s="8" t="n">
        <f aca="false">COUNTIF('Code Master'!$A$5:$A$400,$A5)</f>
        <v>4</v>
      </c>
      <c r="E5" s="8" t="n">
        <f aca="false">COUNTIFS('Code Master'!$A$5:$A$400,$A5,'Code Master'!$C$5:$C$400,"CPT")</f>
        <v>4</v>
      </c>
      <c r="F5" s="8" t="n">
        <f aca="false">COUNTIFS('Code Master'!$A$5:$A$400,$A5,'Code Master'!$C$5:$C$400,"HCPCS Level II")</f>
        <v>0</v>
      </c>
    </row>
    <row r="6" customFormat="false" ht="45.75" hidden="false" customHeight="true" outlineLevel="0" collapsed="false">
      <c r="A6" s="9" t="s">
        <v>11</v>
      </c>
      <c r="B6" s="6" t="s">
        <v>12</v>
      </c>
      <c r="C6" s="7" t="s">
        <v>13</v>
      </c>
      <c r="D6" s="8" t="n">
        <f aca="false">COUNTIF('Code Master'!$A$5:$A$400,$A6)</f>
        <v>9</v>
      </c>
      <c r="E6" s="8" t="n">
        <f aca="false">COUNTIFS('Code Master'!$A$5:$A$400,$A6,'Code Master'!$C$5:$C$400,"CPT")</f>
        <v>9</v>
      </c>
      <c r="F6" s="8" t="n">
        <f aca="false">COUNTIFS('Code Master'!$A$5:$A$400,$A6,'Code Master'!$C$5:$C$400,"HCPCS Level II")</f>
        <v>0</v>
      </c>
    </row>
    <row r="7" customFormat="false" ht="45.75" hidden="false" customHeight="true" outlineLevel="0" collapsed="false">
      <c r="A7" s="10" t="s">
        <v>14</v>
      </c>
      <c r="B7" s="6" t="s">
        <v>15</v>
      </c>
      <c r="C7" s="7" t="s">
        <v>16</v>
      </c>
      <c r="D7" s="8" t="n">
        <f aca="false">COUNTIF('Code Master'!$A$5:$A$400,$A7)</f>
        <v>7</v>
      </c>
      <c r="E7" s="8" t="n">
        <f aca="false">COUNTIFS('Code Master'!$A$5:$A$400,$A7,'Code Master'!$C$5:$C$400,"CPT")</f>
        <v>7</v>
      </c>
      <c r="F7" s="8" t="n">
        <f aca="false">COUNTIFS('Code Master'!$A$5:$A$400,$A7,'Code Master'!$C$5:$C$400,"HCPCS Level II")</f>
        <v>0</v>
      </c>
    </row>
    <row r="8" customFormat="false" ht="45.75" hidden="false" customHeight="true" outlineLevel="0" collapsed="false">
      <c r="A8" s="11" t="s">
        <v>17</v>
      </c>
      <c r="B8" s="6" t="s">
        <v>18</v>
      </c>
      <c r="C8" s="7" t="s">
        <v>19</v>
      </c>
      <c r="D8" s="8" t="n">
        <f aca="false">COUNTIF('Code Master'!$A$5:$A$400,$A8)</f>
        <v>39</v>
      </c>
      <c r="E8" s="8" t="n">
        <f aca="false">COUNTIFS('Code Master'!$A$5:$A$400,$A8,'Code Master'!$C$5:$C$400,"CPT")</f>
        <v>39</v>
      </c>
      <c r="F8" s="8" t="n">
        <f aca="false">COUNTIFS('Code Master'!$A$5:$A$400,$A8,'Code Master'!$C$5:$C$400,"HCPCS Level II")</f>
        <v>0</v>
      </c>
    </row>
    <row r="9" customFormat="false" ht="45.75" hidden="false" customHeight="true" outlineLevel="0" collapsed="false">
      <c r="A9" s="12" t="s">
        <v>20</v>
      </c>
      <c r="B9" s="6" t="s">
        <v>21</v>
      </c>
      <c r="C9" s="7" t="s">
        <v>22</v>
      </c>
      <c r="D9" s="8" t="n">
        <f aca="false">COUNTIF('Code Master'!$A$5:$A$400,$A9)</f>
        <v>44</v>
      </c>
      <c r="E9" s="8" t="n">
        <f aca="false">COUNTIFS('Code Master'!$A$5:$A$400,$A9,'Code Master'!$C$5:$C$400,"CPT")</f>
        <v>1</v>
      </c>
      <c r="F9" s="8" t="n">
        <f aca="false">COUNTIFS('Code Master'!$A$5:$A$400,$A9,'Code Master'!$C$5:$C$400,"HCPCS Level II")</f>
        <v>43</v>
      </c>
    </row>
    <row r="10" customFormat="false" ht="15" hidden="false" customHeight="true" outlineLevel="0" collapsed="false">
      <c r="A10" s="13"/>
      <c r="B10" s="14" t="s">
        <v>23</v>
      </c>
      <c r="C10" s="13"/>
      <c r="D10" s="15" t="n">
        <f aca="false">SUM(D5:D9)</f>
        <v>103</v>
      </c>
      <c r="E10" s="15" t="n">
        <f aca="false">SUM(E5:E9)</f>
        <v>60</v>
      </c>
      <c r="F10" s="15" t="n">
        <f aca="false">SUM(F5:F9)</f>
        <v>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1" width="11"/>
    <col collapsed="false" customWidth="true" hidden="false" outlineLevel="0" max="2" min="2" style="1" width="10"/>
    <col collapsed="false" customWidth="true" hidden="false" outlineLevel="0" max="3" min="3" style="1" width="16"/>
    <col collapsed="false" customWidth="true" hidden="false" outlineLevel="0" max="4" min="4" style="1" width="30"/>
    <col collapsed="false" customWidth="true" hidden="false" outlineLevel="0" max="5" min="5" style="1" width="88"/>
    <col collapsed="false" customWidth="true" hidden="false" outlineLevel="0" max="6" min="6" style="1" width="52"/>
  </cols>
  <sheetData>
    <row r="1" customFormat="false" ht="17.25" hidden="false" customHeight="true" outlineLevel="0" collapsed="false">
      <c r="A1" s="2" t="s">
        <v>24</v>
      </c>
    </row>
    <row r="2" customFormat="false" ht="15" hidden="false" customHeight="true" outlineLevel="0" collapsed="false">
      <c r="A2" s="3" t="s">
        <v>25</v>
      </c>
    </row>
    <row r="4" customFormat="false" ht="27.75" hidden="false" customHeight="true" outlineLevel="0" collapsed="false">
      <c r="A4" s="4" t="s">
        <v>3</v>
      </c>
      <c r="B4" s="4" t="s">
        <v>2</v>
      </c>
      <c r="C4" s="4" t="s">
        <v>26</v>
      </c>
      <c r="D4" s="4" t="s">
        <v>27</v>
      </c>
      <c r="E4" s="4" t="s">
        <v>28</v>
      </c>
      <c r="F4" s="4" t="s">
        <v>29</v>
      </c>
    </row>
    <row r="5" customFormat="false" ht="23.25" hidden="false" customHeight="true" outlineLevel="0" collapsed="false">
      <c r="A5" s="16" t="s">
        <v>8</v>
      </c>
      <c r="B5" s="17" t="s">
        <v>30</v>
      </c>
      <c r="C5" s="8" t="s">
        <v>6</v>
      </c>
      <c r="D5" s="7" t="s">
        <v>31</v>
      </c>
      <c r="E5" s="7" t="s">
        <v>32</v>
      </c>
      <c r="F5" s="7" t="s">
        <v>33</v>
      </c>
    </row>
    <row r="6" customFormat="false" ht="23.25" hidden="false" customHeight="true" outlineLevel="0" collapsed="false">
      <c r="A6" s="16" t="s">
        <v>8</v>
      </c>
      <c r="B6" s="17" t="s">
        <v>34</v>
      </c>
      <c r="C6" s="8" t="s">
        <v>6</v>
      </c>
      <c r="D6" s="7" t="s">
        <v>35</v>
      </c>
      <c r="E6" s="7" t="s">
        <v>36</v>
      </c>
      <c r="F6" s="7" t="s">
        <v>37</v>
      </c>
    </row>
    <row r="7" customFormat="false" ht="23.25" hidden="false" customHeight="true" outlineLevel="0" collapsed="false">
      <c r="A7" s="16" t="s">
        <v>8</v>
      </c>
      <c r="B7" s="17" t="s">
        <v>38</v>
      </c>
      <c r="C7" s="8" t="s">
        <v>6</v>
      </c>
      <c r="D7" s="7" t="s">
        <v>35</v>
      </c>
      <c r="E7" s="7" t="s">
        <v>39</v>
      </c>
      <c r="F7" s="7" t="s">
        <v>40</v>
      </c>
    </row>
    <row r="8" customFormat="false" ht="34.5" hidden="false" customHeight="true" outlineLevel="0" collapsed="false">
      <c r="A8" s="16" t="s">
        <v>8</v>
      </c>
      <c r="B8" s="17" t="s">
        <v>41</v>
      </c>
      <c r="C8" s="8" t="s">
        <v>6</v>
      </c>
      <c r="D8" s="7" t="s">
        <v>35</v>
      </c>
      <c r="E8" s="7" t="s">
        <v>42</v>
      </c>
      <c r="F8" s="7" t="s">
        <v>43</v>
      </c>
    </row>
    <row r="9" customFormat="false" ht="23.25" hidden="false" customHeight="true" outlineLevel="0" collapsed="false">
      <c r="A9" s="18" t="s">
        <v>11</v>
      </c>
      <c r="B9" s="17" t="s">
        <v>44</v>
      </c>
      <c r="C9" s="8" t="s">
        <v>6</v>
      </c>
      <c r="D9" s="7" t="s">
        <v>45</v>
      </c>
      <c r="E9" s="7" t="s">
        <v>46</v>
      </c>
      <c r="F9" s="7" t="s">
        <v>47</v>
      </c>
    </row>
    <row r="10" customFormat="false" ht="15" hidden="false" customHeight="true" outlineLevel="0" collapsed="false">
      <c r="A10" s="18" t="s">
        <v>11</v>
      </c>
      <c r="B10" s="17" t="s">
        <v>48</v>
      </c>
      <c r="C10" s="8" t="s">
        <v>6</v>
      </c>
      <c r="D10" s="7" t="s">
        <v>49</v>
      </c>
      <c r="E10" s="7" t="s">
        <v>50</v>
      </c>
      <c r="F10" s="7" t="s">
        <v>51</v>
      </c>
    </row>
    <row r="11" customFormat="false" ht="23.25" hidden="false" customHeight="true" outlineLevel="0" collapsed="false">
      <c r="A11" s="18" t="s">
        <v>11</v>
      </c>
      <c r="B11" s="17" t="s">
        <v>52</v>
      </c>
      <c r="C11" s="8" t="s">
        <v>6</v>
      </c>
      <c r="D11" s="7" t="s">
        <v>49</v>
      </c>
      <c r="E11" s="7" t="s">
        <v>53</v>
      </c>
      <c r="F11" s="7" t="s">
        <v>54</v>
      </c>
    </row>
    <row r="12" customFormat="false" ht="23.25" hidden="false" customHeight="true" outlineLevel="0" collapsed="false">
      <c r="A12" s="18" t="s">
        <v>11</v>
      </c>
      <c r="B12" s="17" t="s">
        <v>55</v>
      </c>
      <c r="C12" s="8" t="s">
        <v>6</v>
      </c>
      <c r="D12" s="7" t="s">
        <v>49</v>
      </c>
      <c r="E12" s="7" t="s">
        <v>56</v>
      </c>
      <c r="F12" s="7" t="s">
        <v>57</v>
      </c>
    </row>
    <row r="13" customFormat="false" ht="23.25" hidden="false" customHeight="true" outlineLevel="0" collapsed="false">
      <c r="A13" s="18" t="s">
        <v>11</v>
      </c>
      <c r="B13" s="17" t="s">
        <v>58</v>
      </c>
      <c r="C13" s="8" t="s">
        <v>6</v>
      </c>
      <c r="D13" s="7" t="s">
        <v>49</v>
      </c>
      <c r="E13" s="7" t="s">
        <v>59</v>
      </c>
      <c r="F13" s="7" t="s">
        <v>60</v>
      </c>
    </row>
    <row r="14" customFormat="false" ht="34.5" hidden="false" customHeight="true" outlineLevel="0" collapsed="false">
      <c r="A14" s="18" t="s">
        <v>11</v>
      </c>
      <c r="B14" s="17" t="s">
        <v>61</v>
      </c>
      <c r="C14" s="8" t="s">
        <v>6</v>
      </c>
      <c r="D14" s="7" t="s">
        <v>62</v>
      </c>
      <c r="E14" s="7" t="s">
        <v>63</v>
      </c>
      <c r="F14" s="7" t="s">
        <v>64</v>
      </c>
    </row>
    <row r="15" customFormat="false" ht="15" hidden="false" customHeight="true" outlineLevel="0" collapsed="false">
      <c r="A15" s="18" t="s">
        <v>11</v>
      </c>
      <c r="B15" s="17" t="s">
        <v>65</v>
      </c>
      <c r="C15" s="8" t="s">
        <v>6</v>
      </c>
      <c r="D15" s="7" t="s">
        <v>66</v>
      </c>
      <c r="E15" s="7" t="s">
        <v>67</v>
      </c>
      <c r="F15" s="7" t="s">
        <v>68</v>
      </c>
    </row>
    <row r="16" customFormat="false" ht="23.25" hidden="false" customHeight="true" outlineLevel="0" collapsed="false">
      <c r="A16" s="18" t="s">
        <v>11</v>
      </c>
      <c r="B16" s="17" t="s">
        <v>69</v>
      </c>
      <c r="C16" s="8" t="s">
        <v>6</v>
      </c>
      <c r="D16" s="7" t="s">
        <v>66</v>
      </c>
      <c r="E16" s="7" t="s">
        <v>70</v>
      </c>
      <c r="F16" s="7" t="s">
        <v>71</v>
      </c>
    </row>
    <row r="17" customFormat="false" ht="23.25" hidden="false" customHeight="true" outlineLevel="0" collapsed="false">
      <c r="A17" s="18" t="s">
        <v>11</v>
      </c>
      <c r="B17" s="17" t="s">
        <v>72</v>
      </c>
      <c r="C17" s="8" t="s">
        <v>6</v>
      </c>
      <c r="D17" s="7" t="s">
        <v>73</v>
      </c>
      <c r="E17" s="7" t="s">
        <v>74</v>
      </c>
      <c r="F17" s="7" t="s">
        <v>75</v>
      </c>
    </row>
    <row r="18" customFormat="false" ht="15" hidden="false" customHeight="true" outlineLevel="0" collapsed="false">
      <c r="A18" s="19" t="s">
        <v>14</v>
      </c>
      <c r="B18" s="17" t="s">
        <v>76</v>
      </c>
      <c r="C18" s="8" t="s">
        <v>6</v>
      </c>
      <c r="D18" s="7" t="s">
        <v>77</v>
      </c>
      <c r="E18" s="7" t="s">
        <v>78</v>
      </c>
      <c r="F18" s="7" t="s">
        <v>79</v>
      </c>
    </row>
    <row r="19" customFormat="false" ht="57.45" hidden="false" customHeight="false" outlineLevel="0" collapsed="false">
      <c r="A19" s="19" t="s">
        <v>14</v>
      </c>
      <c r="B19" s="17" t="s">
        <v>80</v>
      </c>
      <c r="C19" s="8" t="s">
        <v>6</v>
      </c>
      <c r="D19" s="7" t="s">
        <v>81</v>
      </c>
      <c r="E19" s="7" t="s">
        <v>82</v>
      </c>
      <c r="F19" s="7" t="s">
        <v>83</v>
      </c>
    </row>
    <row r="20" customFormat="false" ht="34.5" hidden="false" customHeight="true" outlineLevel="0" collapsed="false">
      <c r="A20" s="19" t="s">
        <v>14</v>
      </c>
      <c r="B20" s="17" t="s">
        <v>84</v>
      </c>
      <c r="C20" s="8" t="s">
        <v>6</v>
      </c>
      <c r="D20" s="7" t="s">
        <v>81</v>
      </c>
      <c r="E20" s="7" t="s">
        <v>85</v>
      </c>
      <c r="F20" s="7" t="s">
        <v>86</v>
      </c>
    </row>
    <row r="21" customFormat="false" ht="15" hidden="false" customHeight="true" outlineLevel="0" collapsed="false">
      <c r="A21" s="19" t="s">
        <v>14</v>
      </c>
      <c r="B21" s="17" t="s">
        <v>87</v>
      </c>
      <c r="C21" s="8" t="s">
        <v>6</v>
      </c>
      <c r="D21" s="7" t="s">
        <v>88</v>
      </c>
      <c r="E21" s="7" t="s">
        <v>89</v>
      </c>
      <c r="F21" s="7" t="s">
        <v>90</v>
      </c>
    </row>
    <row r="22" customFormat="false" ht="15" hidden="false" customHeight="true" outlineLevel="0" collapsed="false">
      <c r="A22" s="19" t="s">
        <v>14</v>
      </c>
      <c r="B22" s="17" t="s">
        <v>91</v>
      </c>
      <c r="C22" s="8" t="s">
        <v>6</v>
      </c>
      <c r="D22" s="7" t="s">
        <v>92</v>
      </c>
      <c r="E22" s="7" t="s">
        <v>93</v>
      </c>
      <c r="F22" s="7" t="s">
        <v>94</v>
      </c>
    </row>
    <row r="23" customFormat="false" ht="15" hidden="false" customHeight="true" outlineLevel="0" collapsed="false">
      <c r="A23" s="19" t="s">
        <v>14</v>
      </c>
      <c r="B23" s="17" t="s">
        <v>95</v>
      </c>
      <c r="C23" s="8" t="s">
        <v>6</v>
      </c>
      <c r="D23" s="7" t="s">
        <v>92</v>
      </c>
      <c r="E23" s="7" t="s">
        <v>96</v>
      </c>
      <c r="F23" s="7" t="s">
        <v>97</v>
      </c>
    </row>
    <row r="24" customFormat="false" ht="15" hidden="false" customHeight="true" outlineLevel="0" collapsed="false">
      <c r="A24" s="19" t="s">
        <v>14</v>
      </c>
      <c r="B24" s="17" t="s">
        <v>98</v>
      </c>
      <c r="C24" s="8" t="s">
        <v>6</v>
      </c>
      <c r="D24" s="7" t="s">
        <v>99</v>
      </c>
      <c r="E24" s="7" t="s">
        <v>100</v>
      </c>
      <c r="F24" s="7" t="s">
        <v>101</v>
      </c>
    </row>
    <row r="25" customFormat="false" ht="15" hidden="false" customHeight="true" outlineLevel="0" collapsed="false">
      <c r="A25" s="20" t="s">
        <v>17</v>
      </c>
      <c r="B25" s="17" t="s">
        <v>102</v>
      </c>
      <c r="C25" s="8" t="s">
        <v>6</v>
      </c>
      <c r="D25" s="7" t="s">
        <v>103</v>
      </c>
      <c r="E25" s="7" t="s">
        <v>104</v>
      </c>
      <c r="F25" s="7" t="s">
        <v>105</v>
      </c>
    </row>
    <row r="26" customFormat="false" ht="15" hidden="false" customHeight="true" outlineLevel="0" collapsed="false">
      <c r="A26" s="20" t="s">
        <v>17</v>
      </c>
      <c r="B26" s="17" t="s">
        <v>106</v>
      </c>
      <c r="C26" s="8" t="s">
        <v>6</v>
      </c>
      <c r="D26" s="7" t="s">
        <v>107</v>
      </c>
      <c r="E26" s="7" t="s">
        <v>108</v>
      </c>
      <c r="F26" s="7" t="s">
        <v>109</v>
      </c>
    </row>
    <row r="27" customFormat="false" ht="23.25" hidden="false" customHeight="true" outlineLevel="0" collapsed="false">
      <c r="A27" s="20" t="s">
        <v>17</v>
      </c>
      <c r="B27" s="17" t="s">
        <v>110</v>
      </c>
      <c r="C27" s="8" t="s">
        <v>6</v>
      </c>
      <c r="D27" s="7" t="s">
        <v>111</v>
      </c>
      <c r="E27" s="7" t="s">
        <v>112</v>
      </c>
      <c r="F27" s="7" t="s">
        <v>113</v>
      </c>
    </row>
    <row r="28" customFormat="false" ht="15" hidden="false" customHeight="true" outlineLevel="0" collapsed="false">
      <c r="A28" s="20" t="s">
        <v>17</v>
      </c>
      <c r="B28" s="17" t="s">
        <v>114</v>
      </c>
      <c r="C28" s="8" t="s">
        <v>6</v>
      </c>
      <c r="D28" s="7" t="s">
        <v>115</v>
      </c>
      <c r="E28" s="7" t="s">
        <v>116</v>
      </c>
      <c r="F28" s="7" t="s">
        <v>117</v>
      </c>
    </row>
    <row r="29" customFormat="false" ht="23.25" hidden="false" customHeight="true" outlineLevel="0" collapsed="false">
      <c r="A29" s="20" t="s">
        <v>17</v>
      </c>
      <c r="B29" s="17" t="s">
        <v>118</v>
      </c>
      <c r="C29" s="8" t="s">
        <v>6</v>
      </c>
      <c r="D29" s="7" t="s">
        <v>115</v>
      </c>
      <c r="E29" s="7" t="s">
        <v>119</v>
      </c>
      <c r="F29" s="7" t="s">
        <v>120</v>
      </c>
    </row>
    <row r="30" customFormat="false" ht="23.25" hidden="false" customHeight="true" outlineLevel="0" collapsed="false">
      <c r="A30" s="20" t="s">
        <v>17</v>
      </c>
      <c r="B30" s="17" t="s">
        <v>121</v>
      </c>
      <c r="C30" s="8" t="s">
        <v>6</v>
      </c>
      <c r="D30" s="7" t="s">
        <v>115</v>
      </c>
      <c r="E30" s="7" t="s">
        <v>122</v>
      </c>
      <c r="F30" s="7" t="s">
        <v>123</v>
      </c>
    </row>
    <row r="31" customFormat="false" ht="23.25" hidden="false" customHeight="true" outlineLevel="0" collapsed="false">
      <c r="A31" s="20" t="s">
        <v>17</v>
      </c>
      <c r="B31" s="17" t="s">
        <v>124</v>
      </c>
      <c r="C31" s="8" t="s">
        <v>6</v>
      </c>
      <c r="D31" s="7" t="s">
        <v>125</v>
      </c>
      <c r="E31" s="7" t="s">
        <v>126</v>
      </c>
      <c r="F31" s="7" t="s">
        <v>127</v>
      </c>
    </row>
    <row r="32" customFormat="false" ht="15" hidden="false" customHeight="true" outlineLevel="0" collapsed="false">
      <c r="A32" s="20" t="s">
        <v>17</v>
      </c>
      <c r="B32" s="17" t="s">
        <v>128</v>
      </c>
      <c r="C32" s="8" t="s">
        <v>6</v>
      </c>
      <c r="D32" s="7" t="s">
        <v>125</v>
      </c>
      <c r="E32" s="7" t="s">
        <v>129</v>
      </c>
      <c r="F32" s="7" t="s">
        <v>127</v>
      </c>
    </row>
    <row r="33" customFormat="false" ht="15" hidden="false" customHeight="true" outlineLevel="0" collapsed="false">
      <c r="A33" s="20" t="s">
        <v>17</v>
      </c>
      <c r="B33" s="17" t="s">
        <v>130</v>
      </c>
      <c r="C33" s="8" t="s">
        <v>6</v>
      </c>
      <c r="D33" s="7" t="s">
        <v>125</v>
      </c>
      <c r="E33" s="7" t="s">
        <v>131</v>
      </c>
      <c r="F33" s="7" t="s">
        <v>132</v>
      </c>
    </row>
    <row r="34" customFormat="false" ht="15" hidden="false" customHeight="true" outlineLevel="0" collapsed="false">
      <c r="A34" s="20" t="s">
        <v>17</v>
      </c>
      <c r="B34" s="17" t="s">
        <v>133</v>
      </c>
      <c r="C34" s="8" t="s">
        <v>6</v>
      </c>
      <c r="D34" s="7" t="s">
        <v>125</v>
      </c>
      <c r="E34" s="7" t="s">
        <v>134</v>
      </c>
      <c r="F34" s="7" t="s">
        <v>132</v>
      </c>
    </row>
    <row r="35" customFormat="false" ht="34.5" hidden="false" customHeight="true" outlineLevel="0" collapsed="false">
      <c r="A35" s="20" t="s">
        <v>17</v>
      </c>
      <c r="B35" s="17" t="s">
        <v>135</v>
      </c>
      <c r="C35" s="8" t="s">
        <v>6</v>
      </c>
      <c r="D35" s="7" t="s">
        <v>136</v>
      </c>
      <c r="E35" s="7" t="s">
        <v>137</v>
      </c>
      <c r="F35" s="7" t="s">
        <v>138</v>
      </c>
    </row>
    <row r="36" customFormat="false" ht="15" hidden="false" customHeight="true" outlineLevel="0" collapsed="false">
      <c r="A36" s="20" t="s">
        <v>17</v>
      </c>
      <c r="B36" s="17" t="s">
        <v>139</v>
      </c>
      <c r="C36" s="8" t="s">
        <v>6</v>
      </c>
      <c r="D36" s="7" t="s">
        <v>125</v>
      </c>
      <c r="E36" s="7" t="s">
        <v>140</v>
      </c>
      <c r="F36" s="7" t="s">
        <v>132</v>
      </c>
    </row>
    <row r="37" customFormat="false" ht="23.25" hidden="false" customHeight="true" outlineLevel="0" collapsed="false">
      <c r="A37" s="20" t="s">
        <v>17</v>
      </c>
      <c r="B37" s="17" t="s">
        <v>141</v>
      </c>
      <c r="C37" s="8" t="s">
        <v>6</v>
      </c>
      <c r="D37" s="7" t="s">
        <v>142</v>
      </c>
      <c r="E37" s="7" t="s">
        <v>143</v>
      </c>
      <c r="F37" s="7" t="s">
        <v>144</v>
      </c>
    </row>
    <row r="38" customFormat="false" ht="23.25" hidden="false" customHeight="true" outlineLevel="0" collapsed="false">
      <c r="A38" s="20" t="s">
        <v>17</v>
      </c>
      <c r="B38" s="17" t="s">
        <v>145</v>
      </c>
      <c r="C38" s="8" t="s">
        <v>6</v>
      </c>
      <c r="D38" s="7" t="s">
        <v>142</v>
      </c>
      <c r="E38" s="7" t="s">
        <v>146</v>
      </c>
      <c r="F38" s="7" t="s">
        <v>147</v>
      </c>
    </row>
    <row r="39" customFormat="false" ht="23.25" hidden="false" customHeight="true" outlineLevel="0" collapsed="false">
      <c r="A39" s="20" t="s">
        <v>17</v>
      </c>
      <c r="B39" s="17" t="s">
        <v>148</v>
      </c>
      <c r="C39" s="8" t="s">
        <v>6</v>
      </c>
      <c r="D39" s="7" t="s">
        <v>149</v>
      </c>
      <c r="E39" s="7" t="s">
        <v>150</v>
      </c>
      <c r="F39" s="7" t="s">
        <v>151</v>
      </c>
    </row>
    <row r="40" customFormat="false" ht="15" hidden="false" customHeight="true" outlineLevel="0" collapsed="false">
      <c r="A40" s="20" t="s">
        <v>17</v>
      </c>
      <c r="B40" s="17" t="s">
        <v>152</v>
      </c>
      <c r="C40" s="8" t="s">
        <v>6</v>
      </c>
      <c r="D40" s="7" t="s">
        <v>153</v>
      </c>
      <c r="E40" s="7" t="s">
        <v>154</v>
      </c>
      <c r="F40" s="7"/>
    </row>
    <row r="41" customFormat="false" ht="15" hidden="false" customHeight="true" outlineLevel="0" collapsed="false">
      <c r="A41" s="20" t="s">
        <v>17</v>
      </c>
      <c r="B41" s="17" t="s">
        <v>155</v>
      </c>
      <c r="C41" s="8" t="s">
        <v>6</v>
      </c>
      <c r="D41" s="7" t="s">
        <v>153</v>
      </c>
      <c r="E41" s="7" t="s">
        <v>156</v>
      </c>
      <c r="F41" s="7"/>
    </row>
    <row r="42" customFormat="false" ht="15" hidden="false" customHeight="true" outlineLevel="0" collapsed="false">
      <c r="A42" s="20" t="s">
        <v>17</v>
      </c>
      <c r="B42" s="17" t="s">
        <v>157</v>
      </c>
      <c r="C42" s="8" t="s">
        <v>6</v>
      </c>
      <c r="D42" s="7" t="s">
        <v>153</v>
      </c>
      <c r="E42" s="7" t="s">
        <v>158</v>
      </c>
      <c r="F42" s="7"/>
    </row>
    <row r="43" customFormat="false" ht="34.5" hidden="false" customHeight="true" outlineLevel="0" collapsed="false">
      <c r="A43" s="20" t="s">
        <v>17</v>
      </c>
      <c r="B43" s="17" t="s">
        <v>159</v>
      </c>
      <c r="C43" s="8" t="s">
        <v>6</v>
      </c>
      <c r="D43" s="7" t="s">
        <v>153</v>
      </c>
      <c r="E43" s="7" t="s">
        <v>160</v>
      </c>
      <c r="F43" s="7" t="s">
        <v>161</v>
      </c>
    </row>
    <row r="44" customFormat="false" ht="34.5" hidden="false" customHeight="true" outlineLevel="0" collapsed="false">
      <c r="A44" s="20" t="s">
        <v>17</v>
      </c>
      <c r="B44" s="17" t="s">
        <v>162</v>
      </c>
      <c r="C44" s="8" t="s">
        <v>6</v>
      </c>
      <c r="D44" s="7" t="s">
        <v>153</v>
      </c>
      <c r="E44" s="7" t="s">
        <v>163</v>
      </c>
      <c r="F44" s="7" t="s">
        <v>164</v>
      </c>
    </row>
    <row r="45" customFormat="false" ht="15" hidden="false" customHeight="true" outlineLevel="0" collapsed="false">
      <c r="A45" s="20" t="s">
        <v>17</v>
      </c>
      <c r="B45" s="17" t="s">
        <v>165</v>
      </c>
      <c r="C45" s="8" t="s">
        <v>6</v>
      </c>
      <c r="D45" s="7" t="s">
        <v>153</v>
      </c>
      <c r="E45" s="7" t="s">
        <v>166</v>
      </c>
      <c r="F45" s="7"/>
    </row>
    <row r="46" customFormat="false" ht="15" hidden="false" customHeight="true" outlineLevel="0" collapsed="false">
      <c r="A46" s="20" t="s">
        <v>17</v>
      </c>
      <c r="B46" s="17" t="s">
        <v>167</v>
      </c>
      <c r="C46" s="8" t="s">
        <v>6</v>
      </c>
      <c r="D46" s="7" t="s">
        <v>153</v>
      </c>
      <c r="E46" s="7" t="s">
        <v>168</v>
      </c>
      <c r="F46" s="7"/>
    </row>
    <row r="47" customFormat="false" ht="15" hidden="false" customHeight="true" outlineLevel="0" collapsed="false">
      <c r="A47" s="20" t="s">
        <v>17</v>
      </c>
      <c r="B47" s="17" t="s">
        <v>169</v>
      </c>
      <c r="C47" s="8" t="s">
        <v>6</v>
      </c>
      <c r="D47" s="7" t="s">
        <v>153</v>
      </c>
      <c r="E47" s="7" t="s">
        <v>170</v>
      </c>
      <c r="F47" s="7"/>
    </row>
    <row r="48" customFormat="false" ht="23.25" hidden="false" customHeight="true" outlineLevel="0" collapsed="false">
      <c r="A48" s="20" t="s">
        <v>17</v>
      </c>
      <c r="B48" s="17" t="s">
        <v>171</v>
      </c>
      <c r="C48" s="8" t="s">
        <v>6</v>
      </c>
      <c r="D48" s="7" t="s">
        <v>172</v>
      </c>
      <c r="E48" s="7" t="s">
        <v>173</v>
      </c>
      <c r="F48" s="7"/>
    </row>
    <row r="49" customFormat="false" ht="23.25" hidden="false" customHeight="true" outlineLevel="0" collapsed="false">
      <c r="A49" s="20" t="s">
        <v>17</v>
      </c>
      <c r="B49" s="17" t="s">
        <v>174</v>
      </c>
      <c r="C49" s="8" t="s">
        <v>6</v>
      </c>
      <c r="D49" s="7" t="s">
        <v>172</v>
      </c>
      <c r="E49" s="7" t="s">
        <v>175</v>
      </c>
      <c r="F49" s="7"/>
    </row>
    <row r="50" customFormat="false" ht="23.25" hidden="false" customHeight="true" outlineLevel="0" collapsed="false">
      <c r="A50" s="20" t="s">
        <v>17</v>
      </c>
      <c r="B50" s="17" t="s">
        <v>176</v>
      </c>
      <c r="C50" s="8" t="s">
        <v>6</v>
      </c>
      <c r="D50" s="7" t="s">
        <v>172</v>
      </c>
      <c r="E50" s="7" t="s">
        <v>177</v>
      </c>
      <c r="F50" s="7" t="s">
        <v>178</v>
      </c>
    </row>
    <row r="51" customFormat="false" ht="23.25" hidden="false" customHeight="true" outlineLevel="0" collapsed="false">
      <c r="A51" s="20" t="s">
        <v>17</v>
      </c>
      <c r="B51" s="17" t="s">
        <v>179</v>
      </c>
      <c r="C51" s="8" t="s">
        <v>6</v>
      </c>
      <c r="D51" s="7" t="s">
        <v>180</v>
      </c>
      <c r="E51" s="7" t="s">
        <v>181</v>
      </c>
      <c r="F51" s="7" t="s">
        <v>182</v>
      </c>
    </row>
    <row r="52" customFormat="false" ht="23.25" hidden="false" customHeight="true" outlineLevel="0" collapsed="false">
      <c r="A52" s="20" t="s">
        <v>17</v>
      </c>
      <c r="B52" s="17" t="s">
        <v>183</v>
      </c>
      <c r="C52" s="8" t="s">
        <v>6</v>
      </c>
      <c r="D52" s="7" t="s">
        <v>180</v>
      </c>
      <c r="E52" s="7" t="s">
        <v>184</v>
      </c>
      <c r="F52" s="7" t="s">
        <v>182</v>
      </c>
    </row>
    <row r="53" customFormat="false" ht="23.25" hidden="false" customHeight="true" outlineLevel="0" collapsed="false">
      <c r="A53" s="20" t="s">
        <v>17</v>
      </c>
      <c r="B53" s="17" t="s">
        <v>185</v>
      </c>
      <c r="C53" s="8" t="s">
        <v>6</v>
      </c>
      <c r="D53" s="7" t="s">
        <v>180</v>
      </c>
      <c r="E53" s="7" t="s">
        <v>186</v>
      </c>
      <c r="F53" s="7" t="s">
        <v>187</v>
      </c>
    </row>
    <row r="54" customFormat="false" ht="23.25" hidden="false" customHeight="true" outlineLevel="0" collapsed="false">
      <c r="A54" s="20" t="s">
        <v>17</v>
      </c>
      <c r="B54" s="17" t="s">
        <v>188</v>
      </c>
      <c r="C54" s="8" t="s">
        <v>6</v>
      </c>
      <c r="D54" s="7" t="s">
        <v>189</v>
      </c>
      <c r="E54" s="7" t="s">
        <v>190</v>
      </c>
      <c r="F54" s="7"/>
    </row>
    <row r="55" customFormat="false" ht="23.25" hidden="false" customHeight="true" outlineLevel="0" collapsed="false">
      <c r="A55" s="20" t="s">
        <v>17</v>
      </c>
      <c r="B55" s="17" t="s">
        <v>191</v>
      </c>
      <c r="C55" s="8" t="s">
        <v>6</v>
      </c>
      <c r="D55" s="7" t="s">
        <v>189</v>
      </c>
      <c r="E55" s="7" t="s">
        <v>192</v>
      </c>
      <c r="F55" s="7"/>
    </row>
    <row r="56" customFormat="false" ht="23.25" hidden="false" customHeight="true" outlineLevel="0" collapsed="false">
      <c r="A56" s="20" t="s">
        <v>17</v>
      </c>
      <c r="B56" s="17" t="s">
        <v>193</v>
      </c>
      <c r="C56" s="8" t="s">
        <v>6</v>
      </c>
      <c r="D56" s="7" t="s">
        <v>189</v>
      </c>
      <c r="E56" s="7" t="s">
        <v>194</v>
      </c>
      <c r="F56" s="7" t="s">
        <v>195</v>
      </c>
    </row>
    <row r="57" customFormat="false" ht="23.25" hidden="false" customHeight="true" outlineLevel="0" collapsed="false">
      <c r="A57" s="20" t="s">
        <v>17</v>
      </c>
      <c r="B57" s="17" t="s">
        <v>196</v>
      </c>
      <c r="C57" s="8" t="s">
        <v>6</v>
      </c>
      <c r="D57" s="7" t="s">
        <v>197</v>
      </c>
      <c r="E57" s="7" t="s">
        <v>198</v>
      </c>
      <c r="F57" s="7" t="s">
        <v>199</v>
      </c>
    </row>
    <row r="58" customFormat="false" ht="23.25" hidden="false" customHeight="true" outlineLevel="0" collapsed="false">
      <c r="A58" s="20" t="s">
        <v>17</v>
      </c>
      <c r="B58" s="17" t="s">
        <v>200</v>
      </c>
      <c r="C58" s="8" t="s">
        <v>6</v>
      </c>
      <c r="D58" s="7" t="s">
        <v>201</v>
      </c>
      <c r="E58" s="7" t="s">
        <v>202</v>
      </c>
      <c r="F58" s="7"/>
    </row>
    <row r="59" customFormat="false" ht="23.25" hidden="false" customHeight="true" outlineLevel="0" collapsed="false">
      <c r="A59" s="20" t="s">
        <v>17</v>
      </c>
      <c r="B59" s="17" t="s">
        <v>203</v>
      </c>
      <c r="C59" s="8" t="s">
        <v>6</v>
      </c>
      <c r="D59" s="7" t="s">
        <v>201</v>
      </c>
      <c r="E59" s="7" t="s">
        <v>204</v>
      </c>
      <c r="F59" s="7"/>
    </row>
    <row r="60" customFormat="false" ht="23.25" hidden="false" customHeight="true" outlineLevel="0" collapsed="false">
      <c r="A60" s="20" t="s">
        <v>17</v>
      </c>
      <c r="B60" s="17" t="s">
        <v>205</v>
      </c>
      <c r="C60" s="8" t="s">
        <v>6</v>
      </c>
      <c r="D60" s="7" t="s">
        <v>201</v>
      </c>
      <c r="E60" s="7" t="s">
        <v>206</v>
      </c>
      <c r="F60" s="7" t="s">
        <v>207</v>
      </c>
    </row>
    <row r="61" customFormat="false" ht="15" hidden="false" customHeight="true" outlineLevel="0" collapsed="false">
      <c r="A61" s="20" t="s">
        <v>17</v>
      </c>
      <c r="B61" s="17" t="s">
        <v>208</v>
      </c>
      <c r="C61" s="8" t="s">
        <v>6</v>
      </c>
      <c r="D61" s="7" t="s">
        <v>209</v>
      </c>
      <c r="E61" s="7" t="s">
        <v>210</v>
      </c>
      <c r="F61" s="7" t="s">
        <v>211</v>
      </c>
    </row>
    <row r="62" customFormat="false" ht="23.25" hidden="false" customHeight="true" outlineLevel="0" collapsed="false">
      <c r="A62" s="20" t="s">
        <v>17</v>
      </c>
      <c r="B62" s="17" t="s">
        <v>212</v>
      </c>
      <c r="C62" s="8" t="s">
        <v>6</v>
      </c>
      <c r="D62" s="7" t="s">
        <v>209</v>
      </c>
      <c r="E62" s="7" t="s">
        <v>213</v>
      </c>
      <c r="F62" s="7" t="s">
        <v>214</v>
      </c>
    </row>
    <row r="63" customFormat="false" ht="15" hidden="false" customHeight="true" outlineLevel="0" collapsed="false">
      <c r="A63" s="20" t="s">
        <v>17</v>
      </c>
      <c r="B63" s="17" t="s">
        <v>215</v>
      </c>
      <c r="C63" s="8" t="s">
        <v>6</v>
      </c>
      <c r="D63" s="7" t="s">
        <v>216</v>
      </c>
      <c r="E63" s="7" t="s">
        <v>217</v>
      </c>
      <c r="F63" s="7"/>
    </row>
    <row r="64" customFormat="false" ht="34.5" hidden="false" customHeight="true" outlineLevel="0" collapsed="false">
      <c r="A64" s="21" t="s">
        <v>20</v>
      </c>
      <c r="B64" s="22" t="s">
        <v>218</v>
      </c>
      <c r="C64" s="23" t="s">
        <v>6</v>
      </c>
      <c r="D64" s="24" t="s">
        <v>219</v>
      </c>
      <c r="E64" s="25" t="s">
        <v>220</v>
      </c>
      <c r="F64" s="26" t="s">
        <v>221</v>
      </c>
    </row>
    <row r="65" customFormat="false" ht="15" hidden="false" customHeight="true" outlineLevel="0" collapsed="false">
      <c r="A65" s="27" t="s">
        <v>20</v>
      </c>
      <c r="B65" s="17" t="s">
        <v>222</v>
      </c>
      <c r="C65" s="8" t="s">
        <v>7</v>
      </c>
      <c r="D65" s="7" t="s">
        <v>223</v>
      </c>
      <c r="E65" s="7" t="s">
        <v>224</v>
      </c>
      <c r="F65" s="7" t="s">
        <v>225</v>
      </c>
    </row>
    <row r="66" customFormat="false" ht="15" hidden="false" customHeight="true" outlineLevel="0" collapsed="false">
      <c r="A66" s="27" t="s">
        <v>20</v>
      </c>
      <c r="B66" s="17" t="s">
        <v>226</v>
      </c>
      <c r="C66" s="8" t="s">
        <v>7</v>
      </c>
      <c r="D66" s="7" t="s">
        <v>223</v>
      </c>
      <c r="E66" s="7" t="s">
        <v>227</v>
      </c>
      <c r="F66" s="7" t="s">
        <v>228</v>
      </c>
    </row>
    <row r="67" customFormat="false" ht="15" hidden="false" customHeight="true" outlineLevel="0" collapsed="false">
      <c r="A67" s="27" t="s">
        <v>20</v>
      </c>
      <c r="B67" s="17" t="s">
        <v>229</v>
      </c>
      <c r="C67" s="8" t="s">
        <v>7</v>
      </c>
      <c r="D67" s="7" t="s">
        <v>223</v>
      </c>
      <c r="E67" s="7" t="s">
        <v>230</v>
      </c>
      <c r="F67" s="7" t="s">
        <v>231</v>
      </c>
    </row>
    <row r="68" customFormat="false" ht="15" hidden="false" customHeight="true" outlineLevel="0" collapsed="false">
      <c r="A68" s="27" t="s">
        <v>20</v>
      </c>
      <c r="B68" s="17" t="s">
        <v>232</v>
      </c>
      <c r="C68" s="8" t="s">
        <v>7</v>
      </c>
      <c r="D68" s="7" t="s">
        <v>233</v>
      </c>
      <c r="E68" s="7" t="s">
        <v>234</v>
      </c>
      <c r="F68" s="7" t="s">
        <v>235</v>
      </c>
    </row>
    <row r="69" customFormat="false" ht="23.25" hidden="false" customHeight="true" outlineLevel="0" collapsed="false">
      <c r="A69" s="27" t="s">
        <v>20</v>
      </c>
      <c r="B69" s="17" t="s">
        <v>236</v>
      </c>
      <c r="C69" s="8" t="s">
        <v>7</v>
      </c>
      <c r="D69" s="7" t="s">
        <v>233</v>
      </c>
      <c r="E69" s="7" t="s">
        <v>237</v>
      </c>
      <c r="F69" s="7" t="s">
        <v>238</v>
      </c>
    </row>
    <row r="70" customFormat="false" ht="15" hidden="false" customHeight="true" outlineLevel="0" collapsed="false">
      <c r="A70" s="27" t="s">
        <v>20</v>
      </c>
      <c r="B70" s="17" t="s">
        <v>239</v>
      </c>
      <c r="C70" s="8" t="s">
        <v>7</v>
      </c>
      <c r="D70" s="7" t="s">
        <v>240</v>
      </c>
      <c r="E70" s="7" t="s">
        <v>241</v>
      </c>
      <c r="F70" s="7" t="s">
        <v>235</v>
      </c>
    </row>
    <row r="71" customFormat="false" ht="23.25" hidden="false" customHeight="true" outlineLevel="0" collapsed="false">
      <c r="A71" s="27" t="s">
        <v>20</v>
      </c>
      <c r="B71" s="17" t="s">
        <v>242</v>
      </c>
      <c r="C71" s="8" t="s">
        <v>7</v>
      </c>
      <c r="D71" s="7" t="s">
        <v>240</v>
      </c>
      <c r="E71" s="7" t="s">
        <v>243</v>
      </c>
      <c r="F71" s="7" t="s">
        <v>238</v>
      </c>
    </row>
    <row r="72" customFormat="false" ht="15" hidden="false" customHeight="true" outlineLevel="0" collapsed="false">
      <c r="A72" s="27" t="s">
        <v>20</v>
      </c>
      <c r="B72" s="17" t="s">
        <v>244</v>
      </c>
      <c r="C72" s="8" t="s">
        <v>7</v>
      </c>
      <c r="D72" s="7" t="s">
        <v>245</v>
      </c>
      <c r="E72" s="7" t="s">
        <v>246</v>
      </c>
      <c r="F72" s="7" t="s">
        <v>247</v>
      </c>
    </row>
    <row r="73" customFormat="false" ht="15" hidden="false" customHeight="true" outlineLevel="0" collapsed="false">
      <c r="A73" s="27" t="s">
        <v>20</v>
      </c>
      <c r="B73" s="17" t="s">
        <v>248</v>
      </c>
      <c r="C73" s="8" t="s">
        <v>7</v>
      </c>
      <c r="D73" s="7" t="s">
        <v>249</v>
      </c>
      <c r="E73" s="7" t="s">
        <v>250</v>
      </c>
      <c r="F73" s="7" t="s">
        <v>251</v>
      </c>
    </row>
    <row r="74" customFormat="false" ht="15" hidden="false" customHeight="true" outlineLevel="0" collapsed="false">
      <c r="A74" s="27" t="s">
        <v>20</v>
      </c>
      <c r="B74" s="17" t="s">
        <v>252</v>
      </c>
      <c r="C74" s="8" t="s">
        <v>7</v>
      </c>
      <c r="D74" s="7" t="s">
        <v>249</v>
      </c>
      <c r="E74" s="7" t="s">
        <v>253</v>
      </c>
      <c r="F74" s="7"/>
    </row>
    <row r="75" customFormat="false" ht="45.75" hidden="false" customHeight="true" outlineLevel="0" collapsed="false">
      <c r="A75" s="27" t="s">
        <v>20</v>
      </c>
      <c r="B75" s="17" t="s">
        <v>254</v>
      </c>
      <c r="C75" s="8" t="s">
        <v>7</v>
      </c>
      <c r="D75" s="7" t="s">
        <v>255</v>
      </c>
      <c r="E75" s="7" t="s">
        <v>256</v>
      </c>
      <c r="F75" s="7" t="s">
        <v>257</v>
      </c>
    </row>
    <row r="76" customFormat="false" ht="34.5" hidden="false" customHeight="true" outlineLevel="0" collapsed="false">
      <c r="A76" s="27" t="s">
        <v>20</v>
      </c>
      <c r="B76" s="17" t="s">
        <v>258</v>
      </c>
      <c r="C76" s="8" t="s">
        <v>7</v>
      </c>
      <c r="D76" s="7" t="s">
        <v>255</v>
      </c>
      <c r="E76" s="7" t="s">
        <v>259</v>
      </c>
      <c r="F76" s="7" t="s">
        <v>260</v>
      </c>
    </row>
    <row r="77" customFormat="false" ht="23.25" hidden="false" customHeight="true" outlineLevel="0" collapsed="false">
      <c r="A77" s="27" t="s">
        <v>20</v>
      </c>
      <c r="B77" s="17" t="s">
        <v>261</v>
      </c>
      <c r="C77" s="8" t="s">
        <v>7</v>
      </c>
      <c r="D77" s="7" t="s">
        <v>262</v>
      </c>
      <c r="E77" s="7" t="s">
        <v>263</v>
      </c>
      <c r="F77" s="7" t="s">
        <v>264</v>
      </c>
    </row>
    <row r="78" customFormat="false" ht="45.75" hidden="false" customHeight="true" outlineLevel="0" collapsed="false">
      <c r="A78" s="27" t="s">
        <v>20</v>
      </c>
      <c r="B78" s="17" t="s">
        <v>265</v>
      </c>
      <c r="C78" s="8" t="s">
        <v>7</v>
      </c>
      <c r="D78" s="7" t="s">
        <v>266</v>
      </c>
      <c r="E78" s="7" t="s">
        <v>267</v>
      </c>
      <c r="F78" s="7" t="s">
        <v>268</v>
      </c>
    </row>
    <row r="79" customFormat="false" ht="45.75" hidden="false" customHeight="true" outlineLevel="0" collapsed="false">
      <c r="A79" s="27" t="s">
        <v>20</v>
      </c>
      <c r="B79" s="17" t="s">
        <v>269</v>
      </c>
      <c r="C79" s="8" t="s">
        <v>7</v>
      </c>
      <c r="D79" s="7" t="s">
        <v>270</v>
      </c>
      <c r="E79" s="7" t="s">
        <v>271</v>
      </c>
      <c r="F79" s="7" t="s">
        <v>272</v>
      </c>
    </row>
    <row r="80" customFormat="false" ht="34.5" hidden="false" customHeight="true" outlineLevel="0" collapsed="false">
      <c r="A80" s="27" t="s">
        <v>20</v>
      </c>
      <c r="B80" s="17" t="s">
        <v>273</v>
      </c>
      <c r="C80" s="8" t="s">
        <v>7</v>
      </c>
      <c r="D80" s="7" t="s">
        <v>266</v>
      </c>
      <c r="E80" s="7" t="s">
        <v>274</v>
      </c>
      <c r="F80" s="7" t="s">
        <v>275</v>
      </c>
    </row>
    <row r="81" customFormat="false" ht="34.5" hidden="false" customHeight="true" outlineLevel="0" collapsed="false">
      <c r="A81" s="27" t="s">
        <v>20</v>
      </c>
      <c r="B81" s="17" t="s">
        <v>276</v>
      </c>
      <c r="C81" s="8" t="s">
        <v>7</v>
      </c>
      <c r="D81" s="7" t="s">
        <v>270</v>
      </c>
      <c r="E81" s="7" t="s">
        <v>277</v>
      </c>
      <c r="F81" s="7" t="s">
        <v>278</v>
      </c>
    </row>
    <row r="82" customFormat="false" ht="45.75" hidden="false" customHeight="true" outlineLevel="0" collapsed="false">
      <c r="A82" s="27" t="s">
        <v>20</v>
      </c>
      <c r="B82" s="17" t="s">
        <v>279</v>
      </c>
      <c r="C82" s="8" t="s">
        <v>7</v>
      </c>
      <c r="D82" s="7" t="s">
        <v>270</v>
      </c>
      <c r="E82" s="7" t="s">
        <v>280</v>
      </c>
      <c r="F82" s="7" t="s">
        <v>281</v>
      </c>
    </row>
    <row r="83" customFormat="false" ht="45.75" hidden="false" customHeight="true" outlineLevel="0" collapsed="false">
      <c r="A83" s="27" t="s">
        <v>20</v>
      </c>
      <c r="B83" s="17" t="s">
        <v>282</v>
      </c>
      <c r="C83" s="8" t="s">
        <v>7</v>
      </c>
      <c r="D83" s="7" t="s">
        <v>270</v>
      </c>
      <c r="E83" s="7" t="s">
        <v>283</v>
      </c>
      <c r="F83" s="7" t="s">
        <v>264</v>
      </c>
    </row>
    <row r="84" customFormat="false" ht="15" hidden="false" customHeight="true" outlineLevel="0" collapsed="false">
      <c r="A84" s="27" t="s">
        <v>20</v>
      </c>
      <c r="B84" s="17" t="s">
        <v>284</v>
      </c>
      <c r="C84" s="8" t="s">
        <v>7</v>
      </c>
      <c r="D84" s="7" t="s">
        <v>285</v>
      </c>
      <c r="E84" s="7" t="s">
        <v>286</v>
      </c>
      <c r="F84" s="7"/>
    </row>
    <row r="85" customFormat="false" ht="15" hidden="false" customHeight="true" outlineLevel="0" collapsed="false">
      <c r="A85" s="27" t="s">
        <v>20</v>
      </c>
      <c r="B85" s="17" t="s">
        <v>287</v>
      </c>
      <c r="C85" s="8" t="s">
        <v>7</v>
      </c>
      <c r="D85" s="7" t="s">
        <v>288</v>
      </c>
      <c r="E85" s="7" t="s">
        <v>289</v>
      </c>
      <c r="F85" s="7" t="s">
        <v>290</v>
      </c>
    </row>
    <row r="86" customFormat="false" ht="34.5" hidden="false" customHeight="true" outlineLevel="0" collapsed="false">
      <c r="A86" s="27" t="s">
        <v>20</v>
      </c>
      <c r="B86" s="17" t="s">
        <v>291</v>
      </c>
      <c r="C86" s="8" t="s">
        <v>7</v>
      </c>
      <c r="D86" s="7" t="s">
        <v>292</v>
      </c>
      <c r="E86" s="7" t="s">
        <v>293</v>
      </c>
      <c r="F86" s="7" t="s">
        <v>294</v>
      </c>
    </row>
    <row r="87" customFormat="false" ht="34.5" hidden="false" customHeight="true" outlineLevel="0" collapsed="false">
      <c r="A87" s="27" t="s">
        <v>20</v>
      </c>
      <c r="B87" s="17" t="s">
        <v>295</v>
      </c>
      <c r="C87" s="8" t="s">
        <v>7</v>
      </c>
      <c r="D87" s="7" t="s">
        <v>292</v>
      </c>
      <c r="E87" s="7" t="s">
        <v>296</v>
      </c>
      <c r="F87" s="7" t="s">
        <v>297</v>
      </c>
    </row>
    <row r="88" customFormat="false" ht="23.25" hidden="false" customHeight="true" outlineLevel="0" collapsed="false">
      <c r="A88" s="27" t="s">
        <v>20</v>
      </c>
      <c r="B88" s="17" t="s">
        <v>298</v>
      </c>
      <c r="C88" s="8" t="s">
        <v>7</v>
      </c>
      <c r="D88" s="7" t="s">
        <v>292</v>
      </c>
      <c r="E88" s="7" t="s">
        <v>299</v>
      </c>
      <c r="F88" s="7" t="s">
        <v>300</v>
      </c>
    </row>
    <row r="89" customFormat="false" ht="23.25" hidden="false" customHeight="true" outlineLevel="0" collapsed="false">
      <c r="A89" s="27" t="s">
        <v>20</v>
      </c>
      <c r="B89" s="17" t="s">
        <v>301</v>
      </c>
      <c r="C89" s="8" t="s">
        <v>7</v>
      </c>
      <c r="D89" s="7" t="s">
        <v>292</v>
      </c>
      <c r="E89" s="7" t="s">
        <v>302</v>
      </c>
      <c r="F89" s="7" t="s">
        <v>303</v>
      </c>
    </row>
    <row r="90" customFormat="false" ht="23.25" hidden="false" customHeight="true" outlineLevel="0" collapsed="false">
      <c r="A90" s="27" t="s">
        <v>20</v>
      </c>
      <c r="B90" s="17" t="s">
        <v>304</v>
      </c>
      <c r="C90" s="8" t="s">
        <v>7</v>
      </c>
      <c r="D90" s="7" t="s">
        <v>292</v>
      </c>
      <c r="E90" s="7" t="s">
        <v>305</v>
      </c>
      <c r="F90" s="7" t="s">
        <v>306</v>
      </c>
    </row>
    <row r="91" customFormat="false" ht="23.25" hidden="false" customHeight="true" outlineLevel="0" collapsed="false">
      <c r="A91" s="27" t="s">
        <v>20</v>
      </c>
      <c r="B91" s="17" t="s">
        <v>307</v>
      </c>
      <c r="C91" s="8" t="s">
        <v>7</v>
      </c>
      <c r="D91" s="7" t="s">
        <v>308</v>
      </c>
      <c r="E91" s="7" t="s">
        <v>309</v>
      </c>
      <c r="F91" s="7" t="s">
        <v>310</v>
      </c>
    </row>
    <row r="92" customFormat="false" ht="23.25" hidden="false" customHeight="true" outlineLevel="0" collapsed="false">
      <c r="A92" s="27" t="s">
        <v>20</v>
      </c>
      <c r="B92" s="17" t="s">
        <v>311</v>
      </c>
      <c r="C92" s="8" t="s">
        <v>7</v>
      </c>
      <c r="D92" s="7" t="s">
        <v>308</v>
      </c>
      <c r="E92" s="7" t="s">
        <v>312</v>
      </c>
      <c r="F92" s="7" t="s">
        <v>313</v>
      </c>
    </row>
    <row r="93" customFormat="false" ht="15" hidden="false" customHeight="true" outlineLevel="0" collapsed="false">
      <c r="A93" s="27" t="s">
        <v>20</v>
      </c>
      <c r="B93" s="17" t="s">
        <v>314</v>
      </c>
      <c r="C93" s="8" t="s">
        <v>7</v>
      </c>
      <c r="D93" s="7" t="s">
        <v>315</v>
      </c>
      <c r="E93" s="7" t="s">
        <v>316</v>
      </c>
      <c r="F93" s="7" t="s">
        <v>317</v>
      </c>
    </row>
    <row r="94" customFormat="false" ht="15" hidden="false" customHeight="true" outlineLevel="0" collapsed="false">
      <c r="A94" s="27" t="s">
        <v>20</v>
      </c>
      <c r="B94" s="17" t="s">
        <v>318</v>
      </c>
      <c r="C94" s="8" t="s">
        <v>7</v>
      </c>
      <c r="D94" s="7" t="s">
        <v>315</v>
      </c>
      <c r="E94" s="7" t="s">
        <v>319</v>
      </c>
      <c r="F94" s="7" t="s">
        <v>317</v>
      </c>
    </row>
    <row r="95" customFormat="false" ht="15" hidden="false" customHeight="true" outlineLevel="0" collapsed="false">
      <c r="A95" s="27" t="s">
        <v>20</v>
      </c>
      <c r="B95" s="17" t="s">
        <v>320</v>
      </c>
      <c r="C95" s="8" t="s">
        <v>7</v>
      </c>
      <c r="D95" s="7" t="s">
        <v>315</v>
      </c>
      <c r="E95" s="7" t="s">
        <v>321</v>
      </c>
      <c r="F95" s="7" t="s">
        <v>317</v>
      </c>
    </row>
    <row r="96" customFormat="false" ht="15" hidden="false" customHeight="true" outlineLevel="0" collapsed="false">
      <c r="A96" s="27" t="s">
        <v>20</v>
      </c>
      <c r="B96" s="17" t="s">
        <v>322</v>
      </c>
      <c r="C96" s="8" t="s">
        <v>7</v>
      </c>
      <c r="D96" s="7" t="s">
        <v>315</v>
      </c>
      <c r="E96" s="7" t="s">
        <v>323</v>
      </c>
      <c r="F96" s="7" t="s">
        <v>324</v>
      </c>
    </row>
    <row r="97" customFormat="false" ht="15" hidden="false" customHeight="true" outlineLevel="0" collapsed="false">
      <c r="A97" s="27" t="s">
        <v>20</v>
      </c>
      <c r="B97" s="17" t="s">
        <v>325</v>
      </c>
      <c r="C97" s="8" t="s">
        <v>7</v>
      </c>
      <c r="D97" s="7" t="s">
        <v>326</v>
      </c>
      <c r="E97" s="7" t="s">
        <v>327</v>
      </c>
      <c r="F97" s="7" t="s">
        <v>328</v>
      </c>
    </row>
    <row r="98" customFormat="false" ht="15" hidden="false" customHeight="true" outlineLevel="0" collapsed="false">
      <c r="A98" s="27" t="s">
        <v>20</v>
      </c>
      <c r="B98" s="17" t="s">
        <v>329</v>
      </c>
      <c r="C98" s="8" t="s">
        <v>7</v>
      </c>
      <c r="D98" s="7" t="s">
        <v>326</v>
      </c>
      <c r="E98" s="7" t="s">
        <v>330</v>
      </c>
      <c r="F98" s="7" t="s">
        <v>317</v>
      </c>
    </row>
    <row r="99" customFormat="false" ht="15" hidden="false" customHeight="true" outlineLevel="0" collapsed="false">
      <c r="A99" s="27" t="s">
        <v>20</v>
      </c>
      <c r="B99" s="17" t="s">
        <v>331</v>
      </c>
      <c r="C99" s="8" t="s">
        <v>7</v>
      </c>
      <c r="D99" s="7" t="s">
        <v>326</v>
      </c>
      <c r="E99" s="7" t="s">
        <v>332</v>
      </c>
      <c r="F99" s="7" t="s">
        <v>324</v>
      </c>
    </row>
    <row r="100" customFormat="false" ht="23.25" hidden="false" customHeight="true" outlineLevel="0" collapsed="false">
      <c r="A100" s="27" t="s">
        <v>20</v>
      </c>
      <c r="B100" s="17" t="s">
        <v>333</v>
      </c>
      <c r="C100" s="8" t="s">
        <v>7</v>
      </c>
      <c r="D100" s="7" t="s">
        <v>315</v>
      </c>
      <c r="E100" s="7" t="s">
        <v>334</v>
      </c>
      <c r="F100" s="7" t="s">
        <v>335</v>
      </c>
    </row>
    <row r="101" customFormat="false" ht="15" hidden="false" customHeight="true" outlineLevel="0" collapsed="false">
      <c r="A101" s="27" t="s">
        <v>20</v>
      </c>
      <c r="B101" s="17" t="s">
        <v>336</v>
      </c>
      <c r="C101" s="8" t="s">
        <v>7</v>
      </c>
      <c r="D101" s="7" t="s">
        <v>315</v>
      </c>
      <c r="E101" s="7" t="s">
        <v>337</v>
      </c>
      <c r="F101" s="7" t="s">
        <v>328</v>
      </c>
    </row>
    <row r="102" customFormat="false" ht="15" hidden="false" customHeight="true" outlineLevel="0" collapsed="false">
      <c r="A102" s="27" t="s">
        <v>20</v>
      </c>
      <c r="B102" s="17" t="s">
        <v>338</v>
      </c>
      <c r="C102" s="8" t="s">
        <v>7</v>
      </c>
      <c r="D102" s="7" t="s">
        <v>315</v>
      </c>
      <c r="E102" s="7" t="s">
        <v>339</v>
      </c>
      <c r="F102" s="7" t="s">
        <v>324</v>
      </c>
    </row>
    <row r="103" customFormat="false" ht="15" hidden="false" customHeight="true" outlineLevel="0" collapsed="false">
      <c r="A103" s="27" t="s">
        <v>20</v>
      </c>
      <c r="B103" s="17" t="s">
        <v>340</v>
      </c>
      <c r="C103" s="8" t="s">
        <v>7</v>
      </c>
      <c r="D103" s="7" t="s">
        <v>315</v>
      </c>
      <c r="E103" s="7" t="s">
        <v>341</v>
      </c>
      <c r="F103" s="7" t="s">
        <v>342</v>
      </c>
    </row>
    <row r="104" customFormat="false" ht="15" hidden="false" customHeight="true" outlineLevel="0" collapsed="false">
      <c r="A104" s="27" t="s">
        <v>20</v>
      </c>
      <c r="B104" s="17" t="s">
        <v>343</v>
      </c>
      <c r="C104" s="8" t="s">
        <v>7</v>
      </c>
      <c r="D104" s="7" t="s">
        <v>344</v>
      </c>
      <c r="E104" s="7" t="s">
        <v>345</v>
      </c>
      <c r="F104" s="7" t="s">
        <v>346</v>
      </c>
    </row>
    <row r="105" customFormat="false" ht="45.75" hidden="false" customHeight="true" outlineLevel="0" collapsed="false">
      <c r="A105" s="21" t="s">
        <v>20</v>
      </c>
      <c r="B105" s="22" t="s">
        <v>347</v>
      </c>
      <c r="C105" s="23" t="s">
        <v>7</v>
      </c>
      <c r="D105" s="24" t="s">
        <v>344</v>
      </c>
      <c r="E105" s="25" t="s">
        <v>348</v>
      </c>
      <c r="F105" s="26" t="s">
        <v>349</v>
      </c>
    </row>
    <row r="106" customFormat="false" ht="15" hidden="false" customHeight="true" outlineLevel="0" collapsed="false">
      <c r="A106" s="27" t="s">
        <v>20</v>
      </c>
      <c r="B106" s="17" t="s">
        <v>350</v>
      </c>
      <c r="C106" s="8" t="s">
        <v>7</v>
      </c>
      <c r="D106" s="7" t="s">
        <v>351</v>
      </c>
      <c r="E106" s="7" t="s">
        <v>352</v>
      </c>
      <c r="F106" s="7" t="s">
        <v>264</v>
      </c>
    </row>
    <row r="107" customFormat="false" ht="23.25" hidden="false" customHeight="true" outlineLevel="0" collapsed="false">
      <c r="A107" s="27" t="s">
        <v>20</v>
      </c>
      <c r="B107" s="17" t="s">
        <v>353</v>
      </c>
      <c r="C107" s="8" t="s">
        <v>7</v>
      </c>
      <c r="D107" s="7" t="s">
        <v>354</v>
      </c>
      <c r="E107" s="7" t="s">
        <v>355</v>
      </c>
      <c r="F107" s="7" t="s">
        <v>264</v>
      </c>
    </row>
  </sheetData>
  <autoFilter ref="A4:F10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128"/>
  </cols>
  <sheetData>
    <row r="1" customFormat="false" ht="17.25" hidden="false" customHeight="true" outlineLevel="0" collapsed="false">
      <c r="A1" s="2" t="s">
        <v>356</v>
      </c>
    </row>
    <row r="3" customFormat="false" ht="15" hidden="false" customHeight="true" outlineLevel="0" collapsed="false">
      <c r="A3" s="28" t="s">
        <v>357</v>
      </c>
    </row>
    <row r="4" customFormat="false" ht="25.5" hidden="false" customHeight="true" outlineLevel="0" collapsed="false">
      <c r="A4" s="29" t="s">
        <v>358</v>
      </c>
    </row>
    <row r="5" customFormat="false" ht="25.5" hidden="false" customHeight="true" outlineLevel="0" collapsed="false">
      <c r="A5" s="29" t="s">
        <v>359</v>
      </c>
    </row>
    <row r="6" customFormat="false" ht="25.5" hidden="false" customHeight="true" outlineLevel="0" collapsed="false">
      <c r="A6" s="29" t="s">
        <v>360</v>
      </c>
    </row>
    <row r="7" customFormat="false" ht="15" hidden="false" customHeight="true" outlineLevel="0" collapsed="false">
      <c r="A7" s="29"/>
    </row>
    <row r="8" customFormat="false" ht="15" hidden="false" customHeight="true" outlineLevel="0" collapsed="false">
      <c r="A8" s="28" t="s">
        <v>361</v>
      </c>
    </row>
    <row r="9" customFormat="false" ht="51.75" hidden="false" customHeight="true" outlineLevel="0" collapsed="false">
      <c r="A9" s="29" t="s">
        <v>362</v>
      </c>
    </row>
    <row r="10" customFormat="false" ht="51.75" hidden="false" customHeight="true" outlineLevel="0" collapsed="false">
      <c r="A10" s="29" t="s">
        <v>363</v>
      </c>
    </row>
    <row r="11" customFormat="false" ht="15" hidden="false" customHeight="true" outlineLevel="0" collapsed="false">
      <c r="A11" s="29"/>
    </row>
    <row r="12" customFormat="false" ht="15" hidden="false" customHeight="true" outlineLevel="0" collapsed="false">
      <c r="A12" s="28" t="s">
        <v>364</v>
      </c>
    </row>
    <row r="13" customFormat="false" ht="51.75" hidden="false" customHeight="true" outlineLevel="0" collapsed="false">
      <c r="A13" s="29" t="s">
        <v>365</v>
      </c>
    </row>
    <row r="14" customFormat="false" ht="15" hidden="false" customHeight="true" outlineLevel="0" collapsed="false">
      <c r="A14" s="29"/>
    </row>
    <row r="15" customFormat="false" ht="15" hidden="false" customHeight="true" outlineLevel="0" collapsed="false">
      <c r="A15" s="28" t="s">
        <v>366</v>
      </c>
    </row>
    <row r="16" customFormat="false" ht="25.5" hidden="false" customHeight="true" outlineLevel="0" collapsed="false">
      <c r="A16" s="29" t="s">
        <v>367</v>
      </c>
    </row>
    <row r="17" customFormat="false" ht="15" hidden="false" customHeight="true" outlineLevel="0" collapsed="false">
      <c r="A17" s="29"/>
    </row>
    <row r="18" customFormat="false" ht="15" hidden="false" customHeight="true" outlineLevel="0" collapsed="false">
      <c r="A18" s="28" t="s">
        <v>368</v>
      </c>
    </row>
    <row r="19" customFormat="false" ht="25.5" hidden="false" customHeight="true" outlineLevel="0" collapsed="false">
      <c r="A19" s="29" t="s">
        <v>369</v>
      </c>
    </row>
    <row r="20" customFormat="false" ht="39" hidden="false" customHeight="true" outlineLevel="0" collapsed="false">
      <c r="A20" s="29" t="s">
        <v>370</v>
      </c>
    </row>
    <row r="21" customFormat="false" ht="25.5" hidden="false" customHeight="true" outlineLevel="0" collapsed="false">
      <c r="A21" s="29" t="s">
        <v>371</v>
      </c>
    </row>
    <row r="22" customFormat="false" ht="15" hidden="false" customHeight="true" outlineLevel="0" collapsed="false">
      <c r="A22" s="29"/>
    </row>
    <row r="23" customFormat="false" ht="25.5" hidden="false" customHeight="true" outlineLevel="0" collapsed="false">
      <c r="A23" s="29" t="s">
        <v>372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2026-08-08T17:20:04Z</dcterms:created>
  <dc:creator>openpyxl</dc:creator>
  <dc:description/>
  <dc:language>en-US</dc:language>
  <cp:lastModifiedBy/>
  <dcterms:modified xsi:type="dcterms:W3CDTF">2026-09-13T18:56:41Z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