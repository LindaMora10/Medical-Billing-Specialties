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pecialties" sheetId="2" state="visible" r:id="rId2"/>
    <sheet name="Codes" sheetId="3" state="visible" r:id="rId3"/>
    <sheet name="Providers" sheetId="4" state="visible" r:id="rId4"/>
    <sheet name="Locations" sheetId="5" state="visible" r:id="rId5"/>
    <sheet name="Payers" sheetId="6" state="visible" r:id="rId6"/>
    <sheet name="Functions &amp; Tasks" sheetId="7" state="visible" r:id="rId7"/>
    <sheet name="Notes &amp; Sources" sheetId="8" state="visible" r:id="rId8"/>
  </sheets>
  <definedNames>
    <definedName name="_xlnm._FilterDatabase" localSheetId="2" hidden="1">'Codes'!$A$4:$G$105</definedName>
    <definedName name="_xlnm._FilterDatabase" localSheetId="3" hidden="1">'Providers'!$A$4:$E$40</definedName>
    <definedName name="_xlnm._FilterDatabase" localSheetId="4" hidden="1">'Locations'!$A$4:$E$26</definedName>
    <definedName name="_xlnm._FilterDatabase" localSheetId="5" hidden="1">'Payers'!$A$4:$I$89</definedName>
    <definedName name="_xlnm._FilterDatabase" localSheetId="6" hidden="1">'Functions &amp; Tasks'!$A$4:$F$24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4"/>
    </font>
    <font>
      <name val="Arial"/>
      <color rgb="00595959"/>
      <sz val="9"/>
    </font>
    <font>
      <name val="Arial"/>
      <b val="1"/>
      <color rgb="001F3864"/>
      <sz val="11"/>
    </font>
    <font>
      <name val="Arial"/>
      <sz val="10"/>
    </font>
    <font>
      <name val="Arial"/>
      <b val="1"/>
      <color rgb="00FFFFFF"/>
      <sz val="10"/>
    </font>
    <font>
      <name val="Arial"/>
      <b val="1"/>
      <sz val="10"/>
    </font>
    <font>
      <name val="Arial"/>
      <color rgb="000000FF"/>
      <sz val="10"/>
    </font>
    <font>
      <name val="Arial"/>
      <b val="1"/>
      <color rgb="001F3864"/>
      <sz val="10"/>
    </font>
  </fonts>
  <fills count="11">
    <fill>
      <patternFill/>
    </fill>
    <fill>
      <patternFill patternType="gray125"/>
    </fill>
    <fill>
      <patternFill patternType="solid">
        <fgColor rgb="001F3864"/>
      </patternFill>
    </fill>
    <fill>
      <patternFill patternType="solid">
        <fgColor rgb="00E4DFEC"/>
      </patternFill>
    </fill>
    <fill>
      <patternFill patternType="solid">
        <fgColor rgb="00FCE4E4"/>
      </patternFill>
    </fill>
    <fill>
      <patternFill patternType="solid">
        <fgColor rgb="00DDEBF7"/>
      </patternFill>
    </fill>
    <fill>
      <patternFill patternType="solid">
        <fgColor rgb="00E2EFDA"/>
      </patternFill>
    </fill>
    <fill>
      <patternFill patternType="solid">
        <fgColor rgb="00FFF2CC"/>
      </patternFill>
    </fill>
    <fill>
      <patternFill patternType="solid">
        <fgColor rgb="00F2F2F2"/>
      </patternFill>
    </fill>
    <fill>
      <patternFill patternType="solid">
        <fgColor rgb="00D9E2F3"/>
      </patternFill>
    </fill>
    <fill>
      <patternFill patternType="solid">
        <fgColor rgb="00EDF2F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3" borderId="1" applyAlignment="1" pivotButton="0" quotePrefix="0" xfId="0">
      <alignment vertical="top"/>
    </xf>
    <xf numFmtId="0" fontId="6"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top"/>
    </xf>
    <xf numFmtId="0" fontId="7" fillId="0" borderId="1" applyAlignment="1" pivotButton="0" quotePrefix="0" xfId="0">
      <alignment horizontal="center" vertical="top"/>
    </xf>
    <xf numFmtId="0" fontId="6" fillId="4" borderId="1" applyAlignment="1" pivotButton="0" quotePrefix="0" xfId="0">
      <alignment vertical="top"/>
    </xf>
    <xf numFmtId="0" fontId="6" fillId="5" borderId="1" applyAlignment="1" pivotButton="0" quotePrefix="0" xfId="0">
      <alignment vertical="top"/>
    </xf>
    <xf numFmtId="0" fontId="6" fillId="6" borderId="1" applyAlignment="1" pivotButton="0" quotePrefix="0" xfId="0">
      <alignment vertical="top"/>
    </xf>
    <xf numFmtId="0" fontId="6" fillId="7" borderId="1" applyAlignment="1" pivotButton="0" quotePrefix="0" xfId="0">
      <alignment vertical="top"/>
    </xf>
    <xf numFmtId="0" fontId="6" fillId="8" borderId="1" applyAlignment="1" pivotButton="0" quotePrefix="0" xfId="0">
      <alignment vertical="top"/>
    </xf>
    <xf numFmtId="0" fontId="4" fillId="7" borderId="1" applyAlignment="1" pivotButton="0" quotePrefix="0" xfId="0">
      <alignment vertical="top" wrapText="1"/>
    </xf>
    <xf numFmtId="0" fontId="4" fillId="9" borderId="1" applyAlignment="1" pivotButton="0" quotePrefix="0" xfId="0">
      <alignment vertical="top"/>
    </xf>
    <xf numFmtId="0" fontId="6" fillId="9" borderId="1" applyAlignment="1" pivotButton="0" quotePrefix="0" xfId="0">
      <alignment vertical="top"/>
    </xf>
    <xf numFmtId="0" fontId="6" fillId="9" borderId="1" applyAlignment="1" pivotButton="0" quotePrefix="0" xfId="0">
      <alignment horizontal="center" vertical="top"/>
    </xf>
    <xf numFmtId="0" fontId="2" fillId="0" borderId="0" applyAlignment="1" pivotButton="0" quotePrefix="0" xfId="0">
      <alignment vertical="top" wrapText="1"/>
    </xf>
    <xf numFmtId="0" fontId="8" fillId="0" borderId="1" applyAlignment="1" pivotButton="0" quotePrefix="0" xfId="0">
      <alignment vertical="top"/>
    </xf>
    <xf numFmtId="0" fontId="4" fillId="0" borderId="1" applyAlignment="1" pivotButton="0" quotePrefix="0" xfId="0">
      <alignment vertical="top"/>
    </xf>
    <xf numFmtId="0" fontId="6" fillId="0" borderId="1" applyAlignment="1" pivotButton="0" quotePrefix="0" xfId="0">
      <alignment vertical="top"/>
    </xf>
    <xf numFmtId="0" fontId="4" fillId="7" borderId="1" applyAlignment="1" pivotButton="0" quotePrefix="0" xfId="0">
      <alignment horizontal="center" vertical="top"/>
    </xf>
    <xf numFmtId="0" fontId="6" fillId="9" borderId="1" applyAlignment="1" pivotButton="0" quotePrefix="0" xfId="0">
      <alignment vertical="top" wrapText="1"/>
    </xf>
    <xf numFmtId="0" fontId="4" fillId="10" borderId="1" applyAlignment="1" pivotButton="0" quotePrefix="0" xfId="0">
      <alignment horizontal="center" vertical="top"/>
    </xf>
    <xf numFmtId="0" fontId="6" fillId="10" borderId="1" applyAlignment="1" pivotButton="0" quotePrefix="0" xfId="0">
      <alignment vertical="top" wrapText="1"/>
    </xf>
    <xf numFmtId="0" fontId="4"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A27"/>
  <sheetViews>
    <sheetView showGridLines="0" workbookViewId="0">
      <selection activeCell="A1" sqref="A1"/>
    </sheetView>
  </sheetViews>
  <sheetFormatPr baseColWidth="8" defaultRowHeight="15"/>
  <cols>
    <col width="118" customWidth="1" min="1" max="1"/>
  </cols>
  <sheetData>
    <row r="1">
      <c r="A1" s="1" t="inlineStr">
        <is>
          <t>Job responsibilities inventory - Specialty AR / denials</t>
        </is>
      </c>
    </row>
    <row r="2">
      <c r="A2" s="2" t="inlineStr">
        <is>
          <t>What I handle: specialties, codes, providers, locations, payers, and the functions and tasks the role covers.</t>
        </is>
      </c>
    </row>
    <row r="4">
      <c r="A4" s="3" t="inlineStr">
        <is>
          <t>Who this covers</t>
        </is>
      </c>
    </row>
    <row r="5">
      <c r="A5" s="4" t="inlineStr">
        <is>
          <t>Linda Mora - specialty accounts receivable and denials. I work the specialty claim inventory from the first claim through to payment: research, correction, resubmission, appeal, and payment posting.</t>
        </is>
      </c>
    </row>
    <row r="7">
      <c r="A7" s="3" t="inlineStr">
        <is>
          <t>Who I report to and who I work for</t>
        </is>
      </c>
    </row>
    <row r="8">
      <c r="A8" s="4" t="inlineStr">
        <is>
          <t>Employer: 2Centric. Raquel is my manager at 2Centric and requested this inventory.</t>
        </is>
      </c>
    </row>
    <row r="9">
      <c r="A9" s="4" t="inlineStr">
        <is>
          <t>Client: ASAP, a clinic. The claims in this inventory are ASAP's. Brianna is my direct lead at ASAP and the person I review most claims with. Deanne is the billing department manager at ASAP.</t>
        </is>
      </c>
    </row>
    <row r="11">
      <c r="A11" s="3" t="inlineStr">
        <is>
          <t>How I prioritise the work</t>
        </is>
      </c>
    </row>
    <row r="12">
      <c r="A12" s="4" t="inlineStr">
        <is>
          <t>1. Claims still inside the payer's timely filing deadline come first, worked from the deadline that is closest to the one that is farthest out - the claim about to run out of window is the claim that gets worked.</t>
        </is>
      </c>
    </row>
    <row r="13">
      <c r="A13" s="4" t="inlineStr">
        <is>
          <t>2. Denials already past the filing deadline come second, reviewed for what can still be recovered through reconsideration, appeal, or a documented write-off.</t>
        </is>
      </c>
    </row>
    <row r="14">
      <c r="A14" s="4" t="inlineStr">
        <is>
          <t>There is no target number of claims per day. The nature of the work does not support one - a claim may close in a single correction, or take several calls, a records submission and an appeal over weeks.</t>
        </is>
      </c>
    </row>
    <row r="16">
      <c r="A16" s="3" t="inlineStr">
        <is>
          <t>What is in this workbook</t>
        </is>
      </c>
    </row>
    <row r="17">
      <c r="A17" s="4" t="inlineStr">
        <is>
          <t>'Specialties' - the five specialties I own, plus the three (podiatry, EMG, RTM) I am asked to look at on request.</t>
        </is>
      </c>
    </row>
    <row r="18">
      <c r="A18" s="4" t="inlineStr">
        <is>
          <t>'Codes' - every CPT and HCPCS Level II code across those specialties, with the code set, category, descriptor and billing notes.</t>
        </is>
      </c>
    </row>
    <row r="19">
      <c r="A19" s="4" t="inlineStr">
        <is>
          <t>'Providers' - the rendering providers whose claims I work, with the specialties and locations each appears under.</t>
        </is>
      </c>
    </row>
    <row r="20">
      <c r="A20" s="4" t="inlineStr">
        <is>
          <t>'Locations' - the service locations I work claims for.</t>
        </is>
      </c>
    </row>
    <row r="21">
      <c r="A21" s="4" t="inlineStr">
        <is>
          <t>'Payers' - every payer that appears on my claims as primary, secondary or responsible payer, with the timely filing carrier it maps to.</t>
        </is>
      </c>
    </row>
    <row r="22">
      <c r="A22" s="4" t="inlineStr">
        <is>
          <t>'Functions &amp; Tasks' - what the role actually consists of, day to day.</t>
        </is>
      </c>
    </row>
    <row r="23">
      <c r="A23" s="4" t="inlineStr">
        <is>
          <t>'Notes &amp; Sources' - where each figure comes from, and what to re-check before relying on it.</t>
        </is>
      </c>
    </row>
    <row r="25">
      <c r="A25" s="3" t="inlineStr">
        <is>
          <t>Reading the counts</t>
        </is>
      </c>
    </row>
    <row r="26">
      <c r="A26" s="4" t="inlineStr">
        <is>
          <t>Every claim-line count in this workbook is measured over one dataset: the 'Merged' sheet of 'Specialty Claims Pending 2026-S1.xlsx' - 1,086 claim lines, dates of service 01/05/2026 to 06/30/2026. It is a snapshot of pending AR, not a record of everything worked. Counts show where the volume sits; they are not a productivity measure.</t>
        </is>
      </c>
    </row>
    <row r="27">
      <c r="A27" s="4" t="inlineStr">
        <is>
          <t>Counts carried in from that file are shown in blue. Black figures are formulas calculated inside this workbook.</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H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8" customWidth="1" min="3" max="3"/>
    <col width="70" customWidth="1" min="4" max="4"/>
    <col width="10" customWidth="1" min="5" max="5"/>
    <col width="8" customWidth="1" min="6" max="6"/>
    <col width="14" customWidth="1" min="7" max="7"/>
    <col width="12" customWidth="1" min="8" max="8"/>
  </cols>
  <sheetData>
    <row r="1">
      <c r="A1" s="1" t="inlineStr">
        <is>
          <t>Specialties I handle</t>
        </is>
      </c>
    </row>
    <row r="2">
      <c r="A2" s="2" t="inlineStr">
        <is>
          <t>Five specialties are mine day to day. Three more come to me on request. Code counts are live formulas over the 'Codes' tab.</t>
        </is>
      </c>
    </row>
    <row r="4" ht="30" customHeight="1">
      <c r="A4" s="5" t="inlineStr">
        <is>
          <t>Code</t>
        </is>
      </c>
      <c r="B4" s="5" t="inlineStr">
        <is>
          <t>Specialty</t>
        </is>
      </c>
      <c r="C4" s="5" t="inlineStr">
        <is>
          <t>How I handle it</t>
        </is>
      </c>
      <c r="D4" s="5" t="inlineStr">
        <is>
          <t>Scope of work</t>
        </is>
      </c>
      <c r="E4" s="5" t="inlineStr">
        <is>
          <t>Total codes</t>
        </is>
      </c>
      <c r="F4" s="5" t="inlineStr">
        <is>
          <t>CPT</t>
        </is>
      </c>
      <c r="G4" s="5" t="inlineStr">
        <is>
          <t>HCPCS Level II</t>
        </is>
      </c>
      <c r="H4" s="5" t="inlineStr">
        <is>
          <t>Claim lines 2026 S1</t>
        </is>
      </c>
    </row>
    <row r="5">
      <c r="A5" s="6" t="inlineStr">
        <is>
          <t>BH</t>
        </is>
      </c>
      <c r="B5" s="7" t="inlineStr">
        <is>
          <t>Behavioral Health</t>
        </is>
      </c>
      <c r="C5" s="8" t="inlineStr">
        <is>
          <t>Core - I own it</t>
        </is>
      </c>
      <c r="D5" s="8" t="inlineStr">
        <is>
          <t>Behavioral health integration and psychiatric collaborative care management delivered in the primary care setting.</t>
        </is>
      </c>
      <c r="E5" s="9">
        <f>COUNTIF(Codes!$A$5:$A$200,$A5)</f>
        <v>4</v>
      </c>
      <c r="F5" s="9">
        <f>COUNTIFS(Codes!$A$5:$A$200,$A5,Codes!$C$5:$C$200,"CPT")</f>
        <v>4</v>
      </c>
      <c r="G5" s="9">
        <f>COUNTIFS(Codes!$A$5:$A$200,$A5,Codes!$C$5:$C$200,"HCPCS Level II")</f>
        <v>0</v>
      </c>
      <c r="H5" s="10" t="n">
        <v>323</v>
      </c>
    </row>
    <row r="6">
      <c r="A6" s="11" t="inlineStr">
        <is>
          <t>GAE</t>
        </is>
      </c>
      <c r="B6" s="7" t="inlineStr">
        <is>
          <t>Genicular Artery Embolization</t>
        </is>
      </c>
      <c r="C6" s="8" t="inlineStr">
        <is>
          <t>Core - I own it</t>
        </is>
      </c>
      <c r="D6" s="8" t="inlineStr">
        <is>
          <t>Image-guided embolization of the genicular arteries for knee osteoarthritis, including arterial access, selective catheterization and angiographic supervision and interpretation.</t>
        </is>
      </c>
      <c r="E6" s="9">
        <f>COUNTIF(Codes!$A$5:$A$200,$A6)</f>
        <v>9</v>
      </c>
      <c r="F6" s="9">
        <f>COUNTIFS(Codes!$A$5:$A$200,$A6,Codes!$C$5:$C$200,"CPT")</f>
        <v>9</v>
      </c>
      <c r="G6" s="9">
        <f>COUNTIFS(Codes!$A$5:$A$200,$A6,Codes!$C$5:$C$200,"HCPCS Level II")</f>
        <v>0</v>
      </c>
      <c r="H6" s="10" t="n">
        <v>278</v>
      </c>
    </row>
    <row r="7">
      <c r="A7" s="12" t="inlineStr">
        <is>
          <t>US</t>
        </is>
      </c>
      <c r="B7" s="7" t="inlineStr">
        <is>
          <t>Ultrasound</t>
        </is>
      </c>
      <c r="C7" s="8" t="inlineStr">
        <is>
          <t>Core - I own it</t>
        </is>
      </c>
      <c r="D7" s="8" t="inlineStr">
        <is>
          <t>Non-invasive vascular ultrasound: extracranial, extremity arterial and venous duplex, physiologic arterial studies and visceral duplex.</t>
        </is>
      </c>
      <c r="E7" s="9">
        <f>COUNTIF(Codes!$A$5:$A$200,$A7)</f>
        <v>5</v>
      </c>
      <c r="F7" s="9">
        <f>COUNTIFS(Codes!$A$5:$A$200,$A7,Codes!$C$5:$C$200,"CPT")</f>
        <v>5</v>
      </c>
      <c r="G7" s="9">
        <f>COUNTIFS(Codes!$A$5:$A$200,$A7,Codes!$C$5:$C$200,"HCPCS Level II")</f>
        <v>0</v>
      </c>
      <c r="H7" s="10" t="n">
        <v>157</v>
      </c>
    </row>
    <row r="8">
      <c r="A8" s="13" t="inlineStr">
        <is>
          <t>ORTHO</t>
        </is>
      </c>
      <c r="B8" s="7" t="inlineStr">
        <is>
          <t>Orthopedic</t>
        </is>
      </c>
      <c r="C8" s="8" t="inlineStr">
        <is>
          <t>Core - I own it</t>
        </is>
      </c>
      <c r="D8" s="8" t="inlineStr">
        <is>
          <t>Orthopedic and spine surgery: arthrodesis, instrumentation, disc arthroplasty, decompression, shoulder arthroscopy and neurostimulator implantation.</t>
        </is>
      </c>
      <c r="E8" s="9">
        <f>COUNTIF(Codes!$A$5:$A$200,$A8)</f>
        <v>39</v>
      </c>
      <c r="F8" s="9">
        <f>COUNTIFS(Codes!$A$5:$A$200,$A8,Codes!$C$5:$C$200,"CPT")</f>
        <v>39</v>
      </c>
      <c r="G8" s="9">
        <f>COUNTIFS(Codes!$A$5:$A$200,$A8,Codes!$C$5:$C$200,"HCPCS Level II")</f>
        <v>0</v>
      </c>
      <c r="H8" s="10" t="n">
        <v>178</v>
      </c>
    </row>
    <row r="9">
      <c r="A9" s="14" t="inlineStr">
        <is>
          <t>DME</t>
        </is>
      </c>
      <c r="B9" s="7" t="inlineStr">
        <is>
          <t>Durable Medical Equipment</t>
        </is>
      </c>
      <c r="C9" s="8" t="inlineStr">
        <is>
          <t>Core - I own it</t>
        </is>
      </c>
      <c r="D9" s="8" t="inlineStr">
        <is>
          <t>Durable medical equipment and supplies, including collagen and other advanced wound dressings, spinal and lower/upper extremity orthoses, and TENS devices.</t>
        </is>
      </c>
      <c r="E9" s="9">
        <f>COUNTIF(Codes!$A$5:$A$200,$A9)</f>
        <v>44</v>
      </c>
      <c r="F9" s="9">
        <f>COUNTIFS(Codes!$A$5:$A$200,$A9,Codes!$C$5:$C$200,"CPT")</f>
        <v>1</v>
      </c>
      <c r="G9" s="9">
        <f>COUNTIFS(Codes!$A$5:$A$200,$A9,Codes!$C$5:$C$200,"HCPCS Level II")</f>
        <v>43</v>
      </c>
      <c r="H9" s="10" t="n">
        <v>150</v>
      </c>
    </row>
    <row r="10">
      <c r="A10" s="15" t="inlineStr">
        <is>
          <t>POD</t>
        </is>
      </c>
      <c r="B10" s="7" t="inlineStr">
        <is>
          <t>Podiatry</t>
        </is>
      </c>
      <c r="C10" s="16" t="inlineStr">
        <is>
          <t>On request only</t>
        </is>
      </c>
      <c r="D10" s="8" t="inlineStr">
        <is>
          <t>Podiatry claims. Not one of my five core service lines - I do not carry the routine inventory for it.</t>
        </is>
      </c>
      <c r="E10" s="9" t="inlineStr">
        <is>
          <t>-</t>
        </is>
      </c>
      <c r="F10" s="9" t="inlineStr">
        <is>
          <t>-</t>
        </is>
      </c>
      <c r="G10" s="9" t="inlineStr">
        <is>
          <t>-</t>
        </is>
      </c>
      <c r="H10" s="9" t="inlineStr">
        <is>
          <t>-</t>
        </is>
      </c>
    </row>
    <row r="11">
      <c r="A11" s="15" t="inlineStr">
        <is>
          <t>EMG</t>
        </is>
      </c>
      <c r="B11" s="7" t="inlineStr">
        <is>
          <t>Electromyography (EMG)</t>
        </is>
      </c>
      <c r="C11" s="16" t="inlineStr">
        <is>
          <t>On request only</t>
        </is>
      </c>
      <c r="D11" s="8" t="inlineStr">
        <is>
          <t>EMG and nerve conduction claims. Not one of my five core service lines - I do not carry the routine inventory for it.</t>
        </is>
      </c>
      <c r="E11" s="9" t="inlineStr">
        <is>
          <t>-</t>
        </is>
      </c>
      <c r="F11" s="9" t="inlineStr">
        <is>
          <t>-</t>
        </is>
      </c>
      <c r="G11" s="9" t="inlineStr">
        <is>
          <t>-</t>
        </is>
      </c>
      <c r="H11" s="9" t="inlineStr">
        <is>
          <t>-</t>
        </is>
      </c>
    </row>
    <row r="12">
      <c r="A12" s="15" t="inlineStr">
        <is>
          <t>RTM</t>
        </is>
      </c>
      <c r="B12" s="7" t="inlineStr">
        <is>
          <t>Remote Therapeutic Monitoring (RTM)</t>
        </is>
      </c>
      <c r="C12" s="16" t="inlineStr">
        <is>
          <t>On request only</t>
        </is>
      </c>
      <c r="D12" s="8" t="inlineStr">
        <is>
          <t>Remote therapeutic monitoring claims. Not one of my five core service lines - I do not carry the routine inventory for it.</t>
        </is>
      </c>
      <c r="E12" s="9" t="inlineStr">
        <is>
          <t>-</t>
        </is>
      </c>
      <c r="F12" s="9" t="inlineStr">
        <is>
          <t>-</t>
        </is>
      </c>
      <c r="G12" s="9" t="inlineStr">
        <is>
          <t>-</t>
        </is>
      </c>
      <c r="H12" s="9" t="inlineStr">
        <is>
          <t>-</t>
        </is>
      </c>
    </row>
    <row r="14">
      <c r="A14" s="17" t="inlineStr"/>
      <c r="B14" s="18" t="inlineStr">
        <is>
          <t>Total - core specialties</t>
        </is>
      </c>
      <c r="C14" s="17" t="inlineStr"/>
      <c r="D14" s="17" t="inlineStr"/>
      <c r="E14" s="19">
        <f>SUM(E5:E9)</f>
        <v>101</v>
      </c>
      <c r="F14" s="19">
        <f>SUM(F5:F9)</f>
        <v>58</v>
      </c>
      <c r="G14" s="19">
        <f>SUM(G5:G9)</f>
        <v>43</v>
      </c>
      <c r="H14" s="19">
        <f>SUM(H5:H9)</f>
        <v>1086</v>
      </c>
    </row>
    <row r="16">
      <c r="A16" s="20" t="inlineStr">
        <is>
          <t>Brianna (my direct lead) and Deanne (billing department manager) sometimes ask me to review unsolved issues in podiatry, EMG and RTM. These are ad hoc reviews of unresolved claims, not a standing inventory - the codes, volumes and payers for them are not tracked in this workbook.</t>
        </is>
      </c>
    </row>
    <row r="17"/>
  </sheetData>
  <mergeCells count="1">
    <mergeCell ref="A16:H17"/>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1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6" customWidth="1" min="3" max="3"/>
    <col width="30" customWidth="1" min="4" max="4"/>
    <col width="84" customWidth="1" min="5" max="5"/>
    <col width="50" customWidth="1" min="6" max="6"/>
    <col width="13" customWidth="1" min="7" max="7"/>
  </cols>
  <sheetData>
    <row r="1">
      <c r="A1" s="1" t="inlineStr">
        <is>
          <t>CPT and HCPCS Level II codes I handle</t>
        </is>
      </c>
    </row>
    <row r="2">
      <c r="A2" s="2" t="inlineStr">
        <is>
          <t>One row per code, with the official descriptor. Column A is colour-coded by specialty; the header row is filtered.</t>
        </is>
      </c>
    </row>
    <row r="4" ht="30" customHeight="1">
      <c r="A4" s="5" t="inlineStr">
        <is>
          <t>Specialty</t>
        </is>
      </c>
      <c r="B4" s="5" t="inlineStr">
        <is>
          <t>Code</t>
        </is>
      </c>
      <c r="C4" s="5" t="inlineStr">
        <is>
          <t>Code Set</t>
        </is>
      </c>
      <c r="D4" s="5" t="inlineStr">
        <is>
          <t>Category</t>
        </is>
      </c>
      <c r="E4" s="5" t="inlineStr">
        <is>
          <t>Description</t>
        </is>
      </c>
      <c r="F4" s="5" t="inlineStr">
        <is>
          <t>Billing Notes</t>
        </is>
      </c>
      <c r="G4" s="5" t="inlineStr">
        <is>
          <t>On 2026 S1 claims</t>
        </is>
      </c>
    </row>
    <row r="5">
      <c r="A5" s="6" t="inlineStr">
        <is>
          <t>BH</t>
        </is>
      </c>
      <c r="B5" s="21" t="inlineStr">
        <is>
          <t>99484</t>
        </is>
      </c>
      <c r="C5" s="22" t="inlineStr">
        <is>
          <t>CPT</t>
        </is>
      </c>
      <c r="D5" s="8" t="inlineStr">
        <is>
          <t>Behavioral Health Integration</t>
        </is>
      </c>
      <c r="E5" s="8" t="inlineStr">
        <is>
          <t>Care management services for behavioral health conditions, at least 20 minutes of clinical staff time, directed by a physician or other qualified health care professional, per calendar month</t>
        </is>
      </c>
      <c r="F5" s="8" t="inlineStr">
        <is>
          <t>General BHI. Time-based; report once per calendar month.</t>
        </is>
      </c>
      <c r="G5" s="9" t="inlineStr">
        <is>
          <t>Yes</t>
        </is>
      </c>
    </row>
    <row r="6">
      <c r="A6" s="6" t="inlineStr">
        <is>
          <t>BH</t>
        </is>
      </c>
      <c r="B6" s="21" t="inlineStr">
        <is>
          <t>99492</t>
        </is>
      </c>
      <c r="C6" s="22" t="inlineStr">
        <is>
          <t>CPT</t>
        </is>
      </c>
      <c r="D6" s="8" t="inlineStr">
        <is>
          <t>Psychiatric Collaborative Care (CoCM)</t>
        </is>
      </c>
      <c r="E6" s="8" t="inlineStr">
        <is>
          <t>Initial psychiatric collaborative care management, first 70 minutes in the first calendar month of behavioral health care manager activities, in consultation with a psychiatric consultant, and directed by the treating physician or other qualified health care professional</t>
        </is>
      </c>
      <c r="F6" s="8" t="inlineStr">
        <is>
          <t>First calendar month of CoCM only.</t>
        </is>
      </c>
      <c r="G6" s="9" t="inlineStr">
        <is>
          <t>Yes</t>
        </is>
      </c>
    </row>
    <row r="7">
      <c r="A7" s="6" t="inlineStr">
        <is>
          <t>BH</t>
        </is>
      </c>
      <c r="B7" s="21" t="inlineStr">
        <is>
          <t>99493</t>
        </is>
      </c>
      <c r="C7" s="22" t="inlineStr">
        <is>
          <t>CPT</t>
        </is>
      </c>
      <c r="D7" s="8" t="inlineStr">
        <is>
          <t>Psychiatric Collaborative Care (CoCM)</t>
        </is>
      </c>
      <c r="E7" s="8" t="inlineStr">
        <is>
          <t>Subsequent psychiatric collaborative care management, first 60 minutes in a subsequent month of behavioral health care manager activities, in consultation with a psychiatric consultant, and directed by the treating physician or other qualified health care professional</t>
        </is>
      </c>
      <c r="F7" s="8" t="inlineStr">
        <is>
          <t>Subsequent calendar months of CoCM.</t>
        </is>
      </c>
      <c r="G7" s="9" t="inlineStr">
        <is>
          <t>Yes</t>
        </is>
      </c>
    </row>
    <row r="8">
      <c r="A8" s="6" t="inlineStr">
        <is>
          <t>BH</t>
        </is>
      </c>
      <c r="B8" s="21" t="inlineStr">
        <is>
          <t>99494</t>
        </is>
      </c>
      <c r="C8" s="22" t="inlineStr">
        <is>
          <t>CPT</t>
        </is>
      </c>
      <c r="D8" s="8" t="inlineStr">
        <is>
          <t>Psychiatric Collaborative Care (CoCM)</t>
        </is>
      </c>
      <c r="E8" s="8" t="inlineStr">
        <is>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t>
        </is>
      </c>
      <c r="F8" s="8" t="inlineStr">
        <is>
          <t>Add-on code. Report with 99492 or 99493.</t>
        </is>
      </c>
      <c r="G8" s="9" t="inlineStr">
        <is>
          <t>Yes</t>
        </is>
      </c>
    </row>
    <row r="9">
      <c r="A9" s="11" t="inlineStr">
        <is>
          <t>GAE</t>
        </is>
      </c>
      <c r="B9" s="21" t="inlineStr">
        <is>
          <t>36140</t>
        </is>
      </c>
      <c r="C9" s="22" t="inlineStr">
        <is>
          <t>CPT</t>
        </is>
      </c>
      <c r="D9" s="8" t="inlineStr">
        <is>
          <t>Arterial access</t>
        </is>
      </c>
      <c r="E9" s="8" t="inlineStr">
        <is>
          <t>Introduction of needle or intracatheter, upper or lower extremity artery</t>
        </is>
      </c>
      <c r="F9" s="8" t="inlineStr">
        <is>
          <t>NCCI bundles 36140 into 36245-36248; append modifier 59/XS only when a separate access site is documented.</t>
        </is>
      </c>
      <c r="G9" s="9" t="inlineStr">
        <is>
          <t>Yes</t>
        </is>
      </c>
    </row>
    <row r="10">
      <c r="A10" s="11" t="inlineStr">
        <is>
          <t>GAE</t>
        </is>
      </c>
      <c r="B10" s="21" t="inlineStr">
        <is>
          <t>36245</t>
        </is>
      </c>
      <c r="C10" s="22" t="inlineStr">
        <is>
          <t>CPT</t>
        </is>
      </c>
      <c r="D10" s="8" t="inlineStr">
        <is>
          <t>Selective catheterization</t>
        </is>
      </c>
      <c r="E10" s="8" t="inlineStr">
        <is>
          <t>Selective catheter placement, arterial system; each first order abdominal, pelvic, or lower extremity artery branch, within a vascular family</t>
        </is>
      </c>
      <c r="F10" s="8" t="inlineStr">
        <is>
          <t>First order selective placement.</t>
        </is>
      </c>
      <c r="G10" s="9" t="inlineStr">
        <is>
          <t>Yes</t>
        </is>
      </c>
    </row>
    <row r="11">
      <c r="A11" s="11" t="inlineStr">
        <is>
          <t>GAE</t>
        </is>
      </c>
      <c r="B11" s="21" t="inlineStr">
        <is>
          <t>36246</t>
        </is>
      </c>
      <c r="C11" s="22" t="inlineStr">
        <is>
          <t>CPT</t>
        </is>
      </c>
      <c r="D11" s="8" t="inlineStr">
        <is>
          <t>Selective catheterization</t>
        </is>
      </c>
      <c r="E11" s="8" t="inlineStr">
        <is>
          <t>Selective catheter placement, arterial system; initial second order abdominal, pelvic, or lower extremity artery branch, within a vascular family</t>
        </is>
      </c>
      <c r="F11" s="8" t="inlineStr">
        <is>
          <t>Second order selective placement.</t>
        </is>
      </c>
      <c r="G11" s="9" t="inlineStr">
        <is>
          <t>Yes</t>
        </is>
      </c>
    </row>
    <row r="12">
      <c r="A12" s="11" t="inlineStr">
        <is>
          <t>GAE</t>
        </is>
      </c>
      <c r="B12" s="21" t="inlineStr">
        <is>
          <t>36247</t>
        </is>
      </c>
      <c r="C12" s="22" t="inlineStr">
        <is>
          <t>CPT</t>
        </is>
      </c>
      <c r="D12" s="8" t="inlineStr">
        <is>
          <t>Selective catheterization</t>
        </is>
      </c>
      <c r="E12" s="8" t="inlineStr">
        <is>
          <t>Selective catheter placement, arterial system; initial third order or more selective abdominal, pelvic, or lower extremity artery branch, within a vascular family</t>
        </is>
      </c>
      <c r="F12" s="8" t="inlineStr">
        <is>
          <t>Typical level of selectivity reached for genicular branches.</t>
        </is>
      </c>
      <c r="G12" s="9" t="inlineStr">
        <is>
          <t>Yes</t>
        </is>
      </c>
    </row>
    <row r="13">
      <c r="A13" s="11" t="inlineStr">
        <is>
          <t>GAE</t>
        </is>
      </c>
      <c r="B13" s="21" t="inlineStr">
        <is>
          <t>36248</t>
        </is>
      </c>
      <c r="C13" s="22" t="inlineStr">
        <is>
          <t>CPT</t>
        </is>
      </c>
      <c r="D13" s="8" t="inlineStr">
        <is>
          <t>Selective catheterization</t>
        </is>
      </c>
      <c r="E13" s="8" t="inlineStr">
        <is>
          <t>Selective catheter placement, arterial system; additional second order, third order, and beyond, abdominal, pelvic, or lower extremity artery branch, within a vascular family</t>
        </is>
      </c>
      <c r="F13" s="8" t="inlineStr">
        <is>
          <t>Add-on code. Report with 36246 or 36247 for each additional branch in the same vascular family.</t>
        </is>
      </c>
      <c r="G13" s="9" t="inlineStr">
        <is>
          <t>Yes</t>
        </is>
      </c>
    </row>
    <row r="14">
      <c r="A14" s="11" t="inlineStr">
        <is>
          <t>GAE</t>
        </is>
      </c>
      <c r="B14" s="21" t="inlineStr">
        <is>
          <t>37242</t>
        </is>
      </c>
      <c r="C14" s="22" t="inlineStr">
        <is>
          <t>CPT</t>
        </is>
      </c>
      <c r="D14" s="8" t="inlineStr">
        <is>
          <t>Embolization</t>
        </is>
      </c>
      <c r="E14" s="8" t="inlineStr">
        <is>
          <t>Vascular embolization or occlusion, inclusive of all radiological supervision and interpretation, intraprocedural roadmapping, and imaging guidance necessary to complete the intervention; non-central nervous system, non-head or neck (eg, congenital or acquired arterial malformations, arteriovenous malformations, arteriovenous fistulas, aneurysms, pseudoaneurysms)</t>
        </is>
      </c>
      <c r="F14" s="8" t="inlineStr">
        <is>
          <t>Primary embolization code for GAE. Includes all radiological S&amp;I, roadmapping and imaging guidance.</t>
        </is>
      </c>
      <c r="G14" s="9" t="inlineStr">
        <is>
          <t>Yes</t>
        </is>
      </c>
    </row>
    <row r="15">
      <c r="A15" s="11" t="inlineStr">
        <is>
          <t>GAE</t>
        </is>
      </c>
      <c r="B15" s="21" t="inlineStr">
        <is>
          <t>75710</t>
        </is>
      </c>
      <c r="C15" s="22" t="inlineStr">
        <is>
          <t>CPT</t>
        </is>
      </c>
      <c r="D15" s="8" t="inlineStr">
        <is>
          <t>Angiography S&amp;I</t>
        </is>
      </c>
      <c r="E15" s="8" t="inlineStr">
        <is>
          <t>Angiography, extremity, unilateral, radiological supervision and interpretation</t>
        </is>
      </c>
      <c r="F15" s="8" t="inlineStr">
        <is>
          <t>Diagnostic extremity angiogram, one side.</t>
        </is>
      </c>
      <c r="G15" s="9" t="inlineStr">
        <is>
          <t>Yes</t>
        </is>
      </c>
    </row>
    <row r="16">
      <c r="A16" s="11" t="inlineStr">
        <is>
          <t>GAE</t>
        </is>
      </c>
      <c r="B16" s="21" t="inlineStr">
        <is>
          <t>75774</t>
        </is>
      </c>
      <c r="C16" s="22" t="inlineStr">
        <is>
          <t>CPT</t>
        </is>
      </c>
      <c r="D16" s="8" t="inlineStr">
        <is>
          <t>Angiography S&amp;I</t>
        </is>
      </c>
      <c r="E16" s="8" t="inlineStr">
        <is>
          <t>Angiography, selective, each additional vessel studied after basic examination, radiological supervision and interpretation</t>
        </is>
      </c>
      <c r="F16" s="8" t="inlineStr">
        <is>
          <t>Add-on code. Report after the basic examination for each additional selectively studied vessel.</t>
        </is>
      </c>
      <c r="G16" s="9" t="inlineStr">
        <is>
          <t>Yes</t>
        </is>
      </c>
    </row>
    <row r="17">
      <c r="A17" s="11" t="inlineStr">
        <is>
          <t>GAE</t>
        </is>
      </c>
      <c r="B17" s="21" t="inlineStr">
        <is>
          <t>76937</t>
        </is>
      </c>
      <c r="C17" s="22" t="inlineStr">
        <is>
          <t>CPT</t>
        </is>
      </c>
      <c r="D17" s="8" t="inlineStr">
        <is>
          <t>Ultrasound guidance</t>
        </is>
      </c>
      <c r="E17" s="8" t="inlineStr">
        <is>
          <t>Ultrasound guidance for vascular access requiring ultrasound evaluation of potential access sites, documentation of selected vessel patency, concurrent real-time ultrasound visualization of vascular needle entry, with permanent recording and reporting</t>
        </is>
      </c>
      <c r="F17" s="8" t="inlineStr">
        <is>
          <t>Add-on code. Requires a permanently recorded image and a separate written report in the record.</t>
        </is>
      </c>
      <c r="G17" s="9" t="inlineStr">
        <is>
          <t>Yes</t>
        </is>
      </c>
    </row>
    <row r="18">
      <c r="A18" s="12" t="inlineStr">
        <is>
          <t>US</t>
        </is>
      </c>
      <c r="B18" s="21" t="inlineStr">
        <is>
          <t>93880</t>
        </is>
      </c>
      <c r="C18" s="22" t="inlineStr">
        <is>
          <t>CPT</t>
        </is>
      </c>
      <c r="D18" s="8" t="inlineStr">
        <is>
          <t>Cerebrovascular duplex</t>
        </is>
      </c>
      <c r="E18" s="8" t="inlineStr">
        <is>
          <t>Duplex scan of extracranial arteries; complete bilateral study</t>
        </is>
      </c>
      <c r="F18" s="8" t="inlineStr">
        <is>
          <t>Carotid/vertebral duplex, complete bilateral.</t>
        </is>
      </c>
      <c r="G18" s="9" t="inlineStr">
        <is>
          <t>Yes</t>
        </is>
      </c>
    </row>
    <row r="19">
      <c r="A19" s="12" t="inlineStr">
        <is>
          <t>US</t>
        </is>
      </c>
      <c r="B19" s="21" t="inlineStr">
        <is>
          <t>93923</t>
        </is>
      </c>
      <c r="C19" s="22" t="inlineStr">
        <is>
          <t>CPT</t>
        </is>
      </c>
      <c r="D19" s="8" t="inlineStr">
        <is>
          <t>Physiologic arterial study</t>
        </is>
      </c>
      <c r="E19" s="8" t="inlineStr">
        <is>
          <t>Complete bilateral noninvasive physiologic studies of upper or lower extremity arteries, 3 or more levels (eg, for lower extremity: ankle/brachial indices at distal posterior tibial and anterior tibial/dorsalis pedis arteries plus segmental blood pressure measurements), or single level study with provocative functional maneuvers</t>
        </is>
      </c>
      <c r="F19" s="8" t="inlineStr">
        <is>
          <t>Segmental pressures / ABI study, 3 or more levels.</t>
        </is>
      </c>
      <c r="G19" s="9" t="inlineStr">
        <is>
          <t>Yes</t>
        </is>
      </c>
    </row>
    <row r="20">
      <c r="A20" s="12" t="inlineStr">
        <is>
          <t>US</t>
        </is>
      </c>
      <c r="B20" s="21" t="inlineStr">
        <is>
          <t>93925</t>
        </is>
      </c>
      <c r="C20" s="22" t="inlineStr">
        <is>
          <t>CPT</t>
        </is>
      </c>
      <c r="D20" s="8" t="inlineStr">
        <is>
          <t>Arterial duplex</t>
        </is>
      </c>
      <c r="E20" s="8" t="inlineStr">
        <is>
          <t>Duplex scan of lower extremity arteries or arterial bypass grafts; complete bilateral study</t>
        </is>
      </c>
      <c r="F20" s="8" t="inlineStr">
        <is>
          <t>Complete bilateral. Use 93926 for unilateral or limited.</t>
        </is>
      </c>
      <c r="G20" s="9" t="inlineStr">
        <is>
          <t>Yes</t>
        </is>
      </c>
    </row>
    <row r="21">
      <c r="A21" s="12" t="inlineStr">
        <is>
          <t>US</t>
        </is>
      </c>
      <c r="B21" s="21" t="inlineStr">
        <is>
          <t>93970</t>
        </is>
      </c>
      <c r="C21" s="22" t="inlineStr">
        <is>
          <t>CPT</t>
        </is>
      </c>
      <c r="D21" s="8" t="inlineStr">
        <is>
          <t>Venous duplex</t>
        </is>
      </c>
      <c r="E21" s="8" t="inlineStr">
        <is>
          <t>Duplex scan of extremity veins including responses to compression and other maneuvers; complete bilateral study</t>
        </is>
      </c>
      <c r="F21" s="8" t="inlineStr">
        <is>
          <t>Complete bilateral. Use 93971 for unilateral or limited.</t>
        </is>
      </c>
      <c r="G21" s="9" t="inlineStr">
        <is>
          <t>Yes</t>
        </is>
      </c>
    </row>
    <row r="22">
      <c r="A22" s="12" t="inlineStr">
        <is>
          <t>US</t>
        </is>
      </c>
      <c r="B22" s="21" t="inlineStr">
        <is>
          <t>93978</t>
        </is>
      </c>
      <c r="C22" s="22" t="inlineStr">
        <is>
          <t>CPT</t>
        </is>
      </c>
      <c r="D22" s="8" t="inlineStr">
        <is>
          <t>Visceral duplex</t>
        </is>
      </c>
      <c r="E22" s="8" t="inlineStr">
        <is>
          <t>Duplex scan of aorta, inferior vena cava, iliac vasculature, or bypass grafts; complete study</t>
        </is>
      </c>
      <c r="F22" s="8" t="inlineStr">
        <is>
          <t>Complete study. Use 93979 for unilateral or limited.</t>
        </is>
      </c>
      <c r="G22" s="9" t="inlineStr">
        <is>
          <t>No</t>
        </is>
      </c>
    </row>
    <row r="23">
      <c r="A23" s="13" t="inlineStr">
        <is>
          <t>ORTHO</t>
        </is>
      </c>
      <c r="B23" s="21" t="inlineStr">
        <is>
          <t>15769</t>
        </is>
      </c>
      <c r="C23" s="22" t="inlineStr">
        <is>
          <t>CPT</t>
        </is>
      </c>
      <c r="D23" s="8" t="inlineStr">
        <is>
          <t>Soft tissue graft</t>
        </is>
      </c>
      <c r="E23" s="8" t="inlineStr">
        <is>
          <t>Grafting of autologous soft tissue, other, harvested by direct excision (eg, fat, dermis, fascia)</t>
        </is>
      </c>
      <c r="F23" s="8" t="inlineStr">
        <is>
          <t>Autologous soft tissue harvested by direct excision.</t>
        </is>
      </c>
      <c r="G23" s="9" t="inlineStr">
        <is>
          <t>No</t>
        </is>
      </c>
    </row>
    <row r="24">
      <c r="A24" s="13" t="inlineStr">
        <is>
          <t>ORTHO</t>
        </is>
      </c>
      <c r="B24" s="21" t="inlineStr">
        <is>
          <t>20930</t>
        </is>
      </c>
      <c r="C24" s="22" t="inlineStr">
        <is>
          <t>CPT</t>
        </is>
      </c>
      <c r="D24" s="8" t="inlineStr">
        <is>
          <t>Spine graft / biologic</t>
        </is>
      </c>
      <c r="E24" s="8" t="inlineStr">
        <is>
          <t>Allograft, morselized, or placement of osteopromotive material, for spine surgery only</t>
        </is>
      </c>
      <c r="F24" s="8" t="inlineStr">
        <is>
          <t>Add-on code. Spine surgery only; report with the primary arthrodesis code.</t>
        </is>
      </c>
      <c r="G24" s="9" t="inlineStr">
        <is>
          <t>Yes</t>
        </is>
      </c>
    </row>
    <row r="25">
      <c r="A25" s="13" t="inlineStr">
        <is>
          <t>ORTHO</t>
        </is>
      </c>
      <c r="B25" s="21" t="inlineStr">
        <is>
          <t>22551</t>
        </is>
      </c>
      <c r="C25" s="22" t="inlineStr">
        <is>
          <t>CPT</t>
        </is>
      </c>
      <c r="D25" s="8" t="inlineStr">
        <is>
          <t>Cervical arthrodesis</t>
        </is>
      </c>
      <c r="E25" s="8" t="inlineStr">
        <is>
          <t>Arthrodesis, anterior interbody, including disc space preparation, discectomy, osteophytectomy and decompression of spinal cord and/or nerve roots; cervical below C2</t>
        </is>
      </c>
      <c r="F25" s="8" t="inlineStr">
        <is>
          <t>ACDF, single interspace. Use 22552 for each additional interspace.</t>
        </is>
      </c>
      <c r="G25" s="9" t="inlineStr">
        <is>
          <t>Yes</t>
        </is>
      </c>
    </row>
    <row r="26">
      <c r="A26" s="13" t="inlineStr">
        <is>
          <t>ORTHO</t>
        </is>
      </c>
      <c r="B26" s="21" t="inlineStr">
        <is>
          <t>22612</t>
        </is>
      </c>
      <c r="C26" s="22" t="inlineStr">
        <is>
          <t>CPT</t>
        </is>
      </c>
      <c r="D26" s="8" t="inlineStr">
        <is>
          <t>Lumbar arthrodesis</t>
        </is>
      </c>
      <c r="E26" s="8" t="inlineStr">
        <is>
          <t>Arthrodesis, posterior or posterolateral technique, single level; lumbar (with lateral transverse technique, when performed)</t>
        </is>
      </c>
      <c r="F26" s="8" t="inlineStr">
        <is>
          <t>Posterolateral fusion, single level.</t>
        </is>
      </c>
      <c r="G26" s="9" t="inlineStr">
        <is>
          <t>Yes</t>
        </is>
      </c>
    </row>
    <row r="27">
      <c r="A27" s="13" t="inlineStr">
        <is>
          <t>ORTHO</t>
        </is>
      </c>
      <c r="B27" s="21" t="inlineStr">
        <is>
          <t>22630</t>
        </is>
      </c>
      <c r="C27" s="22" t="inlineStr">
        <is>
          <t>CPT</t>
        </is>
      </c>
      <c r="D27" s="8" t="inlineStr">
        <is>
          <t>Lumbar arthrodesis</t>
        </is>
      </c>
      <c r="E27" s="8" t="inlineStr">
        <is>
          <t>Arthrodesis, posterior interbody technique, including laminectomy and/or discectomy to prepare interspace (other than for decompression), single interspace; lumbar</t>
        </is>
      </c>
      <c r="F27" s="8" t="inlineStr">
        <is>
          <t>PLIF/TLIF, single interspace.</t>
        </is>
      </c>
      <c r="G27" s="9" t="inlineStr">
        <is>
          <t>No</t>
        </is>
      </c>
    </row>
    <row r="28">
      <c r="A28" s="13" t="inlineStr">
        <is>
          <t>ORTHO</t>
        </is>
      </c>
      <c r="B28" s="21" t="inlineStr">
        <is>
          <t>22633</t>
        </is>
      </c>
      <c r="C28" s="22" t="inlineStr">
        <is>
          <t>CPT</t>
        </is>
      </c>
      <c r="D28" s="8" t="inlineStr">
        <is>
          <t>Lumbar arthrodesis</t>
        </is>
      </c>
      <c r="E28" s="8" t="inlineStr">
        <is>
          <t>Arthrodesis, combined posterior or posterolateral technique with posterior interbody technique including laminectomy and/or discectomy sufficient to prepare interspace (other than for decompression), single interspace and segment; lumbar</t>
        </is>
      </c>
      <c r="F28" s="8" t="inlineStr">
        <is>
          <t>Combined posterolateral + interbody, single interspace and segment.</t>
        </is>
      </c>
      <c r="G28" s="9" t="inlineStr">
        <is>
          <t>No</t>
        </is>
      </c>
    </row>
    <row r="29">
      <c r="A29" s="13" t="inlineStr">
        <is>
          <t>ORTHO</t>
        </is>
      </c>
      <c r="B29" s="21" t="inlineStr">
        <is>
          <t>22840</t>
        </is>
      </c>
      <c r="C29" s="22" t="inlineStr">
        <is>
          <t>CPT</t>
        </is>
      </c>
      <c r="D29" s="8" t="inlineStr">
        <is>
          <t>Spinal instrumentation</t>
        </is>
      </c>
      <c r="E29" s="8" t="inlineStr">
        <is>
          <t>Posterior non-segmental instrumentation (eg, Harrington rod technique, pedicle fixation across 1 interspace, atlantoaxial transarticular screw fixation, sublaminar wiring at C1, facet screw fixation)</t>
        </is>
      </c>
      <c r="F29" s="8" t="inlineStr">
        <is>
          <t>Add-on code.</t>
        </is>
      </c>
      <c r="G29" s="9" t="inlineStr">
        <is>
          <t>Yes</t>
        </is>
      </c>
    </row>
    <row r="30">
      <c r="A30" s="13" t="inlineStr">
        <is>
          <t>ORTHO</t>
        </is>
      </c>
      <c r="B30" s="21" t="inlineStr">
        <is>
          <t>22845</t>
        </is>
      </c>
      <c r="C30" s="22" t="inlineStr">
        <is>
          <t>CPT</t>
        </is>
      </c>
      <c r="D30" s="8" t="inlineStr">
        <is>
          <t>Spinal instrumentation</t>
        </is>
      </c>
      <c r="E30" s="8" t="inlineStr">
        <is>
          <t>Anterior instrumentation; 2 to 3 vertebral segments</t>
        </is>
      </c>
      <c r="F30" s="8" t="inlineStr">
        <is>
          <t>Add-on code.</t>
        </is>
      </c>
      <c r="G30" s="9" t="inlineStr">
        <is>
          <t>Yes</t>
        </is>
      </c>
    </row>
    <row r="31">
      <c r="A31" s="13" t="inlineStr">
        <is>
          <t>ORTHO</t>
        </is>
      </c>
      <c r="B31" s="21" t="inlineStr">
        <is>
          <t>22849</t>
        </is>
      </c>
      <c r="C31" s="22" t="inlineStr">
        <is>
          <t>CPT</t>
        </is>
      </c>
      <c r="D31" s="8" t="inlineStr">
        <is>
          <t>Spinal instrumentation</t>
        </is>
      </c>
      <c r="E31" s="8" t="inlineStr">
        <is>
          <t>Reinsertion of spinal fixation device</t>
        </is>
      </c>
      <c r="F31" s="8" t="inlineStr">
        <is>
          <t>Standalone procedure; not an add-on.</t>
        </is>
      </c>
      <c r="G31" s="9" t="inlineStr">
        <is>
          <t>No</t>
        </is>
      </c>
    </row>
    <row r="32">
      <c r="A32" s="13" t="inlineStr">
        <is>
          <t>ORTHO</t>
        </is>
      </c>
      <c r="B32" s="21" t="inlineStr">
        <is>
          <t>22850</t>
        </is>
      </c>
      <c r="C32" s="22" t="inlineStr">
        <is>
          <t>CPT</t>
        </is>
      </c>
      <c r="D32" s="8" t="inlineStr">
        <is>
          <t>Spinal instrumentation</t>
        </is>
      </c>
      <c r="E32" s="8" t="inlineStr">
        <is>
          <t>Removal of posterior nonsegmental instrumentation (eg, Harrington rod)</t>
        </is>
      </c>
      <c r="F32" s="8" t="inlineStr">
        <is>
          <t>Standalone procedure; not an add-on.</t>
        </is>
      </c>
      <c r="G32" s="9" t="inlineStr">
        <is>
          <t>No</t>
        </is>
      </c>
    </row>
    <row r="33">
      <c r="A33" s="13" t="inlineStr">
        <is>
          <t>ORTHO</t>
        </is>
      </c>
      <c r="B33" s="21" t="inlineStr">
        <is>
          <t>22853</t>
        </is>
      </c>
      <c r="C33" s="22" t="inlineStr">
        <is>
          <t>CPT</t>
        </is>
      </c>
      <c r="D33" s="8" t="inlineStr">
        <is>
          <t>Interbody device</t>
        </is>
      </c>
      <c r="E33" s="8" t="inlineStr">
        <is>
          <t>Insertion of interbody biomechanical device(s) (eg, synthetic cage, mesh, methylmethacrylate) with integral anterior instrumentation for device anchoring (eg, screws, flanges), when performed, to intervertebral disc space in conjunction with interbody arthrodesis, each interspace</t>
        </is>
      </c>
      <c r="F33" s="8" t="inlineStr">
        <is>
          <t>Add-on code. Report once per interspace.</t>
        </is>
      </c>
      <c r="G33" s="9" t="inlineStr">
        <is>
          <t>Yes</t>
        </is>
      </c>
    </row>
    <row r="34">
      <c r="A34" s="13" t="inlineStr">
        <is>
          <t>ORTHO</t>
        </is>
      </c>
      <c r="B34" s="21" t="inlineStr">
        <is>
          <t>22855</t>
        </is>
      </c>
      <c r="C34" s="22" t="inlineStr">
        <is>
          <t>CPT</t>
        </is>
      </c>
      <c r="D34" s="8" t="inlineStr">
        <is>
          <t>Spinal instrumentation</t>
        </is>
      </c>
      <c r="E34" s="8" t="inlineStr">
        <is>
          <t>Removal of anterior instrumentation</t>
        </is>
      </c>
      <c r="F34" s="8" t="inlineStr">
        <is>
          <t>Standalone procedure; not an add-on.</t>
        </is>
      </c>
      <c r="G34" s="9" t="inlineStr">
        <is>
          <t>No</t>
        </is>
      </c>
    </row>
    <row r="35">
      <c r="A35" s="13" t="inlineStr">
        <is>
          <t>ORTHO</t>
        </is>
      </c>
      <c r="B35" s="21" t="inlineStr">
        <is>
          <t>22856</t>
        </is>
      </c>
      <c r="C35" s="22" t="inlineStr">
        <is>
          <t>CPT</t>
        </is>
      </c>
      <c r="D35" s="8" t="inlineStr">
        <is>
          <t>Disc arthroplasty</t>
        </is>
      </c>
      <c r="E35" s="8" t="inlineStr">
        <is>
          <t>Total disc arthroplasty (artificial disc), anterior approach, including discectomy with end plate preparation (includes osteophytectomy for nerve root or spinal cord decompression and microdissection), single interspace, cervical</t>
        </is>
      </c>
      <c r="F35" s="8" t="inlineStr">
        <is>
          <t>Cervical artificial disc replacement, first level.</t>
        </is>
      </c>
      <c r="G35" s="9" t="inlineStr">
        <is>
          <t>Yes</t>
        </is>
      </c>
    </row>
    <row r="36">
      <c r="A36" s="13" t="inlineStr">
        <is>
          <t>ORTHO</t>
        </is>
      </c>
      <c r="B36" s="21" t="inlineStr">
        <is>
          <t>22858</t>
        </is>
      </c>
      <c r="C36" s="22" t="inlineStr">
        <is>
          <t>CPT</t>
        </is>
      </c>
      <c r="D36" s="8" t="inlineStr">
        <is>
          <t>Disc arthroplasty</t>
        </is>
      </c>
      <c r="E36" s="8" t="inlineStr">
        <is>
          <t>Total disc arthroplasty (artificial disc), anterior approach, including discectomy with end plate preparation (includes osteophytectomy for nerve root or spinal cord decompression and microdissection), second level, cervical</t>
        </is>
      </c>
      <c r="F36" s="8" t="inlineStr">
        <is>
          <t>Add-on code. Report with 22856 for the second cervical level.</t>
        </is>
      </c>
      <c r="G36" s="9" t="inlineStr">
        <is>
          <t>Yes</t>
        </is>
      </c>
    </row>
    <row r="37">
      <c r="A37" s="13" t="inlineStr">
        <is>
          <t>ORTHO</t>
        </is>
      </c>
      <c r="B37" s="21" t="inlineStr">
        <is>
          <t>27279</t>
        </is>
      </c>
      <c r="C37" s="22" t="inlineStr">
        <is>
          <t>CPT</t>
        </is>
      </c>
      <c r="D37" s="8" t="inlineStr">
        <is>
          <t>Sacroiliac arthrodesis</t>
        </is>
      </c>
      <c r="E37" s="8" t="inlineStr">
        <is>
          <t>Arthrodesis, sacroiliac joint, percutaneous or minimally invasive (indirect visualization), with image guidance, includes obtaining bone graft when performed, and placement of transfixing device</t>
        </is>
      </c>
      <c r="F37" s="8" t="inlineStr">
        <is>
          <t>Minimally invasive SI joint fusion. Image guidance and graft harvest are included.</t>
        </is>
      </c>
      <c r="G37" s="9" t="inlineStr">
        <is>
          <t>Yes</t>
        </is>
      </c>
    </row>
    <row r="38">
      <c r="A38" s="13" t="inlineStr">
        <is>
          <t>ORTHO</t>
        </is>
      </c>
      <c r="B38" s="21" t="inlineStr">
        <is>
          <t>29806</t>
        </is>
      </c>
      <c r="C38" s="22" t="inlineStr">
        <is>
          <t>CPT</t>
        </is>
      </c>
      <c r="D38" s="8" t="inlineStr">
        <is>
          <t>Shoulder arthroscopy</t>
        </is>
      </c>
      <c r="E38" s="8" t="inlineStr">
        <is>
          <t>Arthroscopy, shoulder, surgical; capsulorrhaphy</t>
        </is>
      </c>
      <c r="F38" s="8" t="n"/>
      <c r="G38" s="9" t="inlineStr">
        <is>
          <t>No</t>
        </is>
      </c>
    </row>
    <row r="39">
      <c r="A39" s="13" t="inlineStr">
        <is>
          <t>ORTHO</t>
        </is>
      </c>
      <c r="B39" s="21" t="inlineStr">
        <is>
          <t>29807</t>
        </is>
      </c>
      <c r="C39" s="22" t="inlineStr">
        <is>
          <t>CPT</t>
        </is>
      </c>
      <c r="D39" s="8" t="inlineStr">
        <is>
          <t>Shoulder arthroscopy</t>
        </is>
      </c>
      <c r="E39" s="8" t="inlineStr">
        <is>
          <t>Arthroscopy, shoulder, surgical; repair of SLAP lesion</t>
        </is>
      </c>
      <c r="F39" s="8" t="n"/>
      <c r="G39" s="9" t="inlineStr">
        <is>
          <t>No</t>
        </is>
      </c>
    </row>
    <row r="40">
      <c r="A40" s="13" t="inlineStr">
        <is>
          <t>ORTHO</t>
        </is>
      </c>
      <c r="B40" s="21" t="inlineStr">
        <is>
          <t>29819</t>
        </is>
      </c>
      <c r="C40" s="22" t="inlineStr">
        <is>
          <t>CPT</t>
        </is>
      </c>
      <c r="D40" s="8" t="inlineStr">
        <is>
          <t>Shoulder arthroscopy</t>
        </is>
      </c>
      <c r="E40" s="8" t="inlineStr">
        <is>
          <t>Arthroscopy, shoulder, surgical; with removal of loose body or foreign body</t>
        </is>
      </c>
      <c r="F40" s="8" t="n"/>
      <c r="G40" s="9" t="inlineStr">
        <is>
          <t>No</t>
        </is>
      </c>
    </row>
    <row r="41">
      <c r="A41" s="13" t="inlineStr">
        <is>
          <t>ORTHO</t>
        </is>
      </c>
      <c r="B41" s="21" t="inlineStr">
        <is>
          <t>29822</t>
        </is>
      </c>
      <c r="C41" s="22" t="inlineStr">
        <is>
          <t>CPT</t>
        </is>
      </c>
      <c r="D41" s="8" t="inlineStr">
        <is>
          <t>Shoulder arthroscopy</t>
        </is>
      </c>
      <c r="E41" s="8" t="inlineStr">
        <is>
          <t>Arthroscopy, shoulder, surgical; debridement, limited, 1 or 2 discrete structures (eg, humeral bone, humeral articular cartilage, glenoid bone, glenoid articular cartilage, biceps tendon, biceps anchor complex, labrum, articular capsule, articular side of the rotator cuff, bursal side of the rotator cuff, subacromial bursa, foreign body[ies])</t>
        </is>
      </c>
      <c r="F41" s="8" t="inlineStr">
        <is>
          <t>Limited debridement: 1 or 2 discrete structures.</t>
        </is>
      </c>
      <c r="G41" s="9" t="inlineStr">
        <is>
          <t>No</t>
        </is>
      </c>
    </row>
    <row r="42">
      <c r="A42" s="13" t="inlineStr">
        <is>
          <t>ORTHO</t>
        </is>
      </c>
      <c r="B42" s="21" t="inlineStr">
        <is>
          <t>29823</t>
        </is>
      </c>
      <c r="C42" s="22" t="inlineStr">
        <is>
          <t>CPT</t>
        </is>
      </c>
      <c r="D42" s="8" t="inlineStr">
        <is>
          <t>Shoulder arthroscopy</t>
        </is>
      </c>
      <c r="E42" s="8" t="inlineStr">
        <is>
          <t>Arthroscopy, shoulder, surgical; debridement, extensive, 3 or more discrete structures (eg, humeral bone, humeral articular cartilage, glenoid bone, glenoid articular cartilage, biceps tendon, biceps anchor complex, labrum, articular capsule, articular side of the rotator cuff, bursal side of the rotator cuff, subacromial bursa, foreign body[ies])</t>
        </is>
      </c>
      <c r="F42" s="8" t="inlineStr">
        <is>
          <t>Extensive debridement: 3 or more discrete structures.</t>
        </is>
      </c>
      <c r="G42" s="9" t="inlineStr">
        <is>
          <t>No</t>
        </is>
      </c>
    </row>
    <row r="43">
      <c r="A43" s="13" t="inlineStr">
        <is>
          <t>ORTHO</t>
        </is>
      </c>
      <c r="B43" s="21" t="inlineStr">
        <is>
          <t>29824</t>
        </is>
      </c>
      <c r="C43" s="22" t="inlineStr">
        <is>
          <t>CPT</t>
        </is>
      </c>
      <c r="D43" s="8" t="inlineStr">
        <is>
          <t>Shoulder arthroscopy</t>
        </is>
      </c>
      <c r="E43" s="8" t="inlineStr">
        <is>
          <t>Arthroscopy, shoulder, surgical; distal claviculectomy including distal articular surface (Mumford procedure)</t>
        </is>
      </c>
      <c r="F43" s="8" t="n"/>
      <c r="G43" s="9" t="inlineStr">
        <is>
          <t>No</t>
        </is>
      </c>
    </row>
    <row r="44">
      <c r="A44" s="13" t="inlineStr">
        <is>
          <t>ORTHO</t>
        </is>
      </c>
      <c r="B44" s="21" t="inlineStr">
        <is>
          <t>29827</t>
        </is>
      </c>
      <c r="C44" s="22" t="inlineStr">
        <is>
          <t>CPT</t>
        </is>
      </c>
      <c r="D44" s="8" t="inlineStr">
        <is>
          <t>Shoulder arthroscopy</t>
        </is>
      </c>
      <c r="E44" s="8" t="inlineStr">
        <is>
          <t>Arthroscopy, shoulder, surgical; with rotator cuff repair</t>
        </is>
      </c>
      <c r="F44" s="8" t="n"/>
      <c r="G44" s="9" t="inlineStr">
        <is>
          <t>No</t>
        </is>
      </c>
    </row>
    <row r="45">
      <c r="A45" s="13" t="inlineStr">
        <is>
          <t>ORTHO</t>
        </is>
      </c>
      <c r="B45" s="21" t="inlineStr">
        <is>
          <t>29828</t>
        </is>
      </c>
      <c r="C45" s="22" t="inlineStr">
        <is>
          <t>CPT</t>
        </is>
      </c>
      <c r="D45" s="8" t="inlineStr">
        <is>
          <t>Shoulder arthroscopy</t>
        </is>
      </c>
      <c r="E45" s="8" t="inlineStr">
        <is>
          <t>Arthroscopy, shoulder, surgical; biceps tenodesis</t>
        </is>
      </c>
      <c r="F45" s="8" t="n"/>
      <c r="G45" s="9" t="inlineStr">
        <is>
          <t>No</t>
        </is>
      </c>
    </row>
    <row r="46">
      <c r="A46" s="13" t="inlineStr">
        <is>
          <t>ORTHO</t>
        </is>
      </c>
      <c r="B46" s="21" t="inlineStr">
        <is>
          <t>63020</t>
        </is>
      </c>
      <c r="C46" s="22" t="inlineStr">
        <is>
          <t>CPT</t>
        </is>
      </c>
      <c r="D46" s="8" t="inlineStr">
        <is>
          <t>Laminotomy / decompression</t>
        </is>
      </c>
      <c r="E46" s="8" t="inlineStr">
        <is>
          <t>Laminotomy (hemilaminectomy), with decompression of nerve root(s), including partial facetectomy, foraminotomy and/or excision of herniated intervertebral disc; 1 interspace, cervical</t>
        </is>
      </c>
      <c r="F46" s="8" t="n"/>
      <c r="G46" s="9" t="inlineStr">
        <is>
          <t>No</t>
        </is>
      </c>
    </row>
    <row r="47">
      <c r="A47" s="13" t="inlineStr">
        <is>
          <t>ORTHO</t>
        </is>
      </c>
      <c r="B47" s="21" t="inlineStr">
        <is>
          <t>63030</t>
        </is>
      </c>
      <c r="C47" s="22" t="inlineStr">
        <is>
          <t>CPT</t>
        </is>
      </c>
      <c r="D47" s="8" t="inlineStr">
        <is>
          <t>Laminotomy / decompression</t>
        </is>
      </c>
      <c r="E47" s="8" t="inlineStr">
        <is>
          <t>Laminotomy (hemilaminectomy), with decompression of nerve root(s), including partial facetectomy, foraminotomy and/or excision of herniated intervertebral disc; 1 interspace, lumbar</t>
        </is>
      </c>
      <c r="F47" s="8" t="n"/>
      <c r="G47" s="9" t="inlineStr">
        <is>
          <t>Yes</t>
        </is>
      </c>
    </row>
    <row r="48">
      <c r="A48" s="13" t="inlineStr">
        <is>
          <t>ORTHO</t>
        </is>
      </c>
      <c r="B48" s="21" t="inlineStr">
        <is>
          <t>63035</t>
        </is>
      </c>
      <c r="C48" s="22" t="inlineStr">
        <is>
          <t>CPT</t>
        </is>
      </c>
      <c r="D48" s="8" t="inlineStr">
        <is>
          <t>Laminotomy / decompression</t>
        </is>
      </c>
      <c r="E48" s="8" t="inlineStr">
        <is>
          <t>Laminotomy (hemilaminectomy), with decompression of nerve root(s), including partial facetectomy, foraminotomy and/or excision of herniated intervertebral disc; each additional interspace, cervical or lumbar</t>
        </is>
      </c>
      <c r="F48" s="8" t="inlineStr">
        <is>
          <t>Add-on code. Report with 63020-63030 or 63040-63042.</t>
        </is>
      </c>
      <c r="G48" s="9" t="inlineStr">
        <is>
          <t>Yes</t>
        </is>
      </c>
    </row>
    <row r="49">
      <c r="A49" s="13" t="inlineStr">
        <is>
          <t>ORTHO</t>
        </is>
      </c>
      <c r="B49" s="21" t="inlineStr">
        <is>
          <t>63040</t>
        </is>
      </c>
      <c r="C49" s="22" t="inlineStr">
        <is>
          <t>CPT</t>
        </is>
      </c>
      <c r="D49" s="8" t="inlineStr">
        <is>
          <t>Laminotomy / re-exploration</t>
        </is>
      </c>
      <c r="E49" s="8" t="inlineStr">
        <is>
          <t>Laminotomy (hemilaminectomy), with decompression of nerve root(s), including partial facetectomy, foraminotomy and/or excision of herniated intervertebral disc, reexploration, single interspace; cervical</t>
        </is>
      </c>
      <c r="F49" s="8" t="inlineStr">
        <is>
          <t>Re-exploration at a previously operated interspace.</t>
        </is>
      </c>
      <c r="G49" s="9" t="inlineStr">
        <is>
          <t>No</t>
        </is>
      </c>
    </row>
    <row r="50">
      <c r="A50" s="13" t="inlineStr">
        <is>
          <t>ORTHO</t>
        </is>
      </c>
      <c r="B50" s="21" t="inlineStr">
        <is>
          <t>63042</t>
        </is>
      </c>
      <c r="C50" s="22" t="inlineStr">
        <is>
          <t>CPT</t>
        </is>
      </c>
      <c r="D50" s="8" t="inlineStr">
        <is>
          <t>Laminotomy / re-exploration</t>
        </is>
      </c>
      <c r="E50" s="8" t="inlineStr">
        <is>
          <t>Laminotomy (hemilaminectomy), with decompression of nerve root(s), including partial facetectomy, foraminotomy and/or excision of herniated intervertebral disc, reexploration, single interspace; lumbar</t>
        </is>
      </c>
      <c r="F50" s="8" t="inlineStr">
        <is>
          <t>Re-exploration at a previously operated interspace.</t>
        </is>
      </c>
      <c r="G50" s="9" t="inlineStr">
        <is>
          <t>Yes</t>
        </is>
      </c>
    </row>
    <row r="51">
      <c r="A51" s="13" t="inlineStr">
        <is>
          <t>ORTHO</t>
        </is>
      </c>
      <c r="B51" s="21" t="inlineStr">
        <is>
          <t>63044</t>
        </is>
      </c>
      <c r="C51" s="22" t="inlineStr">
        <is>
          <t>CPT</t>
        </is>
      </c>
      <c r="D51" s="8" t="inlineStr">
        <is>
          <t>Laminotomy / re-exploration</t>
        </is>
      </c>
      <c r="E51" s="8" t="inlineStr">
        <is>
          <t>Laminotomy (hemilaminectomy), with decompression of nerve root(s), including partial facetectomy, foraminotomy and/or excision of herniated intervertebral disc, reexploration, single interspace; each additional lumbar interspace</t>
        </is>
      </c>
      <c r="F51" s="8" t="inlineStr">
        <is>
          <t>Add-on code. Report with 63042.</t>
        </is>
      </c>
      <c r="G51" s="9" t="inlineStr">
        <is>
          <t>No</t>
        </is>
      </c>
    </row>
    <row r="52">
      <c r="A52" s="13" t="inlineStr">
        <is>
          <t>ORTHO</t>
        </is>
      </c>
      <c r="B52" s="21" t="inlineStr">
        <is>
          <t>63045</t>
        </is>
      </c>
      <c r="C52" s="22" t="inlineStr">
        <is>
          <t>CPT</t>
        </is>
      </c>
      <c r="D52" s="8" t="inlineStr">
        <is>
          <t>Laminectomy / decompression</t>
        </is>
      </c>
      <c r="E52" s="8" t="inlineStr">
        <is>
          <t>Laminectomy, facetectomy and foraminotomy (unilateral or bilateral with decompression of spinal cord, cauda equina and/or nerve root[s], (eg, spinal or lateral recess stenosis)), single vertebral segment; cervical</t>
        </is>
      </c>
      <c r="F52" s="8" t="n"/>
      <c r="G52" s="9" t="inlineStr">
        <is>
          <t>Yes</t>
        </is>
      </c>
    </row>
    <row r="53">
      <c r="A53" s="13" t="inlineStr">
        <is>
          <t>ORTHO</t>
        </is>
      </c>
      <c r="B53" s="21" t="inlineStr">
        <is>
          <t>63047</t>
        </is>
      </c>
      <c r="C53" s="22" t="inlineStr">
        <is>
          <t>CPT</t>
        </is>
      </c>
      <c r="D53" s="8" t="inlineStr">
        <is>
          <t>Laminectomy / decompression</t>
        </is>
      </c>
      <c r="E53" s="8" t="inlineStr">
        <is>
          <t>Laminectomy, facetectomy and foraminotomy (unilateral or bilateral with decompression of spinal cord, cauda equina and/or nerve root[s], (eg, spinal or lateral recess stenosis)), single vertebral segment; lumbar</t>
        </is>
      </c>
      <c r="F53" s="8" t="n"/>
      <c r="G53" s="9" t="inlineStr">
        <is>
          <t>Yes</t>
        </is>
      </c>
    </row>
    <row r="54">
      <c r="A54" s="13" t="inlineStr">
        <is>
          <t>ORTHO</t>
        </is>
      </c>
      <c r="B54" s="21" t="inlineStr">
        <is>
          <t>63048</t>
        </is>
      </c>
      <c r="C54" s="22" t="inlineStr">
        <is>
          <t>CPT</t>
        </is>
      </c>
      <c r="D54" s="8" t="inlineStr">
        <is>
          <t>Laminectomy / decompression</t>
        </is>
      </c>
      <c r="E54" s="8" t="inlineStr">
        <is>
          <t>Laminectomy, facetectomy and foraminotomy (unilateral or bilateral with decompression of spinal cord, cauda equina and/or nerve root[s], (eg, spinal or lateral recess stenosis)), single vertebral segment; each additional segment, cervical, thoracic, or lumbar</t>
        </is>
      </c>
      <c r="F54" s="8" t="inlineStr">
        <is>
          <t>Add-on code. Report with 63045-63047.</t>
        </is>
      </c>
      <c r="G54" s="9" t="inlineStr">
        <is>
          <t>Yes</t>
        </is>
      </c>
    </row>
    <row r="55">
      <c r="A55" s="13" t="inlineStr">
        <is>
          <t>ORTHO</t>
        </is>
      </c>
      <c r="B55" s="21" t="inlineStr">
        <is>
          <t>63052</t>
        </is>
      </c>
      <c r="C55" s="22" t="inlineStr">
        <is>
          <t>CPT</t>
        </is>
      </c>
      <c r="D55" s="8" t="inlineStr">
        <is>
          <t>Laminectomy with arthrodesis</t>
        </is>
      </c>
      <c r="E55" s="8" t="inlineStr">
        <is>
          <t>Laminectomy, facetectomy, or foraminotomy (unilateral or bilateral with decompression of spinal cord, cauda equina and/or nerve root[s], [eg, spinal or lateral recess stenosis]), during posterior interbody arthrodesis, lumbar; single vertebral segment</t>
        </is>
      </c>
      <c r="F55" s="8" t="inlineStr">
        <is>
          <t>Add-on code. Report with 22630, 22633, 22634.</t>
        </is>
      </c>
      <c r="G55" s="9" t="inlineStr">
        <is>
          <t>No</t>
        </is>
      </c>
    </row>
    <row r="56">
      <c r="A56" s="13" t="inlineStr">
        <is>
          <t>ORTHO</t>
        </is>
      </c>
      <c r="B56" s="21" t="inlineStr">
        <is>
          <t>63055</t>
        </is>
      </c>
      <c r="C56" s="22" t="inlineStr">
        <is>
          <t>CPT</t>
        </is>
      </c>
      <c r="D56" s="8" t="inlineStr">
        <is>
          <t>Transpedicular decompression</t>
        </is>
      </c>
      <c r="E56" s="8" t="inlineStr">
        <is>
          <t>Transpedicular approach with decompression of spinal cord, equina and/or nerve root(s) (eg, herniated intervertebral disc), single segment; thoracic</t>
        </is>
      </c>
      <c r="F56" s="8" t="n"/>
      <c r="G56" s="9" t="inlineStr">
        <is>
          <t>No</t>
        </is>
      </c>
    </row>
    <row r="57">
      <c r="A57" s="13" t="inlineStr">
        <is>
          <t>ORTHO</t>
        </is>
      </c>
      <c r="B57" s="21" t="inlineStr">
        <is>
          <t>63056</t>
        </is>
      </c>
      <c r="C57" s="22" t="inlineStr">
        <is>
          <t>CPT</t>
        </is>
      </c>
      <c r="D57" s="8" t="inlineStr">
        <is>
          <t>Transpedicular decompression</t>
        </is>
      </c>
      <c r="E57" s="8" t="inlineStr">
        <is>
          <t>Transpedicular approach with decompression of spinal cord, equina and/or nerve root(s) (eg, herniated intervertebral disc), single segment; lumbar (including transfacet, or lateral extraforaminal approach) (eg, far lateral herniated intervertebral disc)</t>
        </is>
      </c>
      <c r="F57" s="8" t="n"/>
      <c r="G57" s="9" t="inlineStr">
        <is>
          <t>No</t>
        </is>
      </c>
    </row>
    <row r="58">
      <c r="A58" s="13" t="inlineStr">
        <is>
          <t>ORTHO</t>
        </is>
      </c>
      <c r="B58" s="21" t="inlineStr">
        <is>
          <t>63057</t>
        </is>
      </c>
      <c r="C58" s="22" t="inlineStr">
        <is>
          <t>CPT</t>
        </is>
      </c>
      <c r="D58" s="8" t="inlineStr">
        <is>
          <t>Transpedicular decompression</t>
        </is>
      </c>
      <c r="E58" s="8" t="inlineStr">
        <is>
          <t>Transpedicular approach with decompression of spinal cord, equina and/or nerve root(s) (eg, herniated intervertebral disc), single segment; each additional segment, thoracic or lumbar</t>
        </is>
      </c>
      <c r="F58" s="8" t="inlineStr">
        <is>
          <t>Add-on code. Report with 63055-63056.</t>
        </is>
      </c>
      <c r="G58" s="9" t="inlineStr">
        <is>
          <t>Yes</t>
        </is>
      </c>
    </row>
    <row r="59">
      <c r="A59" s="13" t="inlineStr">
        <is>
          <t>ORTHO</t>
        </is>
      </c>
      <c r="B59" s="21" t="inlineStr">
        <is>
          <t>63655</t>
        </is>
      </c>
      <c r="C59" s="22" t="inlineStr">
        <is>
          <t>CPT</t>
        </is>
      </c>
      <c r="D59" s="8" t="inlineStr">
        <is>
          <t>Neurostimulator</t>
        </is>
      </c>
      <c r="E59" s="8" t="inlineStr">
        <is>
          <t>Laminectomy for implantation of neurostimulator electrodes, plate/paddle, epidural</t>
        </is>
      </c>
      <c r="F59" s="8" t="inlineStr">
        <is>
          <t>Paddle lead placement for spinal cord stimulation.</t>
        </is>
      </c>
      <c r="G59" s="9" t="inlineStr">
        <is>
          <t>Yes</t>
        </is>
      </c>
    </row>
    <row r="60">
      <c r="A60" s="13" t="inlineStr">
        <is>
          <t>ORTHO</t>
        </is>
      </c>
      <c r="B60" s="21" t="inlineStr">
        <is>
          <t>63685</t>
        </is>
      </c>
      <c r="C60" s="22" t="inlineStr">
        <is>
          <t>CPT</t>
        </is>
      </c>
      <c r="D60" s="8" t="inlineStr">
        <is>
          <t>Neurostimulator</t>
        </is>
      </c>
      <c r="E60" s="8" t="inlineStr">
        <is>
          <t>Insertion or replacement of spinal neurostimulator pulse generator or receiver, requiring pocket creation and connection between electrode array and pulse generator or receiver</t>
        </is>
      </c>
      <c r="F60" s="8" t="inlineStr">
        <is>
          <t>IPG implant or replacement.</t>
        </is>
      </c>
      <c r="G60" s="9" t="inlineStr">
        <is>
          <t>Yes</t>
        </is>
      </c>
    </row>
    <row r="61">
      <c r="A61" s="13" t="inlineStr">
        <is>
          <t>ORTHO</t>
        </is>
      </c>
      <c r="B61" s="21" t="inlineStr">
        <is>
          <t>64708</t>
        </is>
      </c>
      <c r="C61" s="22" t="inlineStr">
        <is>
          <t>CPT</t>
        </is>
      </c>
      <c r="D61" s="8" t="inlineStr">
        <is>
          <t>Peripheral nerve</t>
        </is>
      </c>
      <c r="E61" s="8" t="inlineStr">
        <is>
          <t>Neuroplasty, major peripheral nerve, arm or leg, open; other than specified</t>
        </is>
      </c>
      <c r="F61" s="8" t="n"/>
      <c r="G61" s="9" t="inlineStr">
        <is>
          <t>Yes</t>
        </is>
      </c>
    </row>
    <row r="62">
      <c r="A62" s="14" t="inlineStr">
        <is>
          <t>DME</t>
        </is>
      </c>
      <c r="B62" s="21" t="inlineStr">
        <is>
          <t>97504</t>
        </is>
      </c>
      <c r="C62" s="22" t="inlineStr">
        <is>
          <t>CPT</t>
        </is>
      </c>
      <c r="D62" s="8" t="inlineStr">
        <is>
          <t>Orthotic training (DELETED)</t>
        </is>
      </c>
      <c r="E62" s="8" t="inlineStr">
        <is>
          <t>Orthotic(s) fitting and training, upper extremity(s), lower extremity(s) and/or trunk, each 15 minutes -- CODE DELETED FROM CPT effective 01/01/2006</t>
        </is>
      </c>
      <c r="F62" s="8" t="inlineStr">
        <is>
          <t>DELETED. Replaced by 97760 (orthotic management and training, initial encounter) and 97763 (subsequent encounter). Do not bill 97504 for current dates of service.</t>
        </is>
      </c>
      <c r="G62" s="9" t="inlineStr">
        <is>
          <t>No</t>
        </is>
      </c>
    </row>
    <row r="63">
      <c r="A63" s="14" t="inlineStr">
        <is>
          <t>DME</t>
        </is>
      </c>
      <c r="B63" s="21" t="inlineStr">
        <is>
          <t>A6010</t>
        </is>
      </c>
      <c r="C63" s="22" t="inlineStr">
        <is>
          <t>HCPCS Level II</t>
        </is>
      </c>
      <c r="D63" s="8" t="inlineStr">
        <is>
          <t>Collagen wound care</t>
        </is>
      </c>
      <c r="E63" s="8" t="inlineStr">
        <is>
          <t>Collagen based wound filler, dry form, sterile, per gram of collagen</t>
        </is>
      </c>
      <c r="F63" s="8" t="inlineStr">
        <is>
          <t>Billed per gram of collagen.</t>
        </is>
      </c>
      <c r="G63" s="9" t="inlineStr">
        <is>
          <t>Yes</t>
        </is>
      </c>
    </row>
    <row r="64">
      <c r="A64" s="14" t="inlineStr">
        <is>
          <t>DME</t>
        </is>
      </c>
      <c r="B64" s="21" t="inlineStr">
        <is>
          <t>A6021</t>
        </is>
      </c>
      <c r="C64" s="22" t="inlineStr">
        <is>
          <t>HCPCS Level II</t>
        </is>
      </c>
      <c r="D64" s="8" t="inlineStr">
        <is>
          <t>Collagen wound care</t>
        </is>
      </c>
      <c r="E64" s="8" t="inlineStr">
        <is>
          <t>Collagen dressing, sterile, size 16 sq. in. or less, each</t>
        </is>
      </c>
      <c r="F64" s="8" t="inlineStr">
        <is>
          <t>Size tier 1. Use A6022 for &gt;16 to 48 sq. in.</t>
        </is>
      </c>
      <c r="G64" s="9" t="inlineStr">
        <is>
          <t>No</t>
        </is>
      </c>
    </row>
    <row r="65">
      <c r="A65" s="14" t="inlineStr">
        <is>
          <t>DME</t>
        </is>
      </c>
      <c r="B65" s="21" t="inlineStr">
        <is>
          <t>A6023</t>
        </is>
      </c>
      <c r="C65" s="22" t="inlineStr">
        <is>
          <t>HCPCS Level II</t>
        </is>
      </c>
      <c r="D65" s="8" t="inlineStr">
        <is>
          <t>Collagen wound care</t>
        </is>
      </c>
      <c r="E65" s="8" t="inlineStr">
        <is>
          <t>Collagen dressing, sterile, size more than 48 sq. in., each</t>
        </is>
      </c>
      <c r="F65" s="8" t="inlineStr">
        <is>
          <t>Size tier 3.</t>
        </is>
      </c>
      <c r="G65" s="9" t="inlineStr">
        <is>
          <t>Yes</t>
        </is>
      </c>
    </row>
    <row r="66">
      <c r="A66" s="14" t="inlineStr">
        <is>
          <t>DME</t>
        </is>
      </c>
      <c r="B66" s="21" t="inlineStr">
        <is>
          <t>A6196</t>
        </is>
      </c>
      <c r="C66" s="22" t="inlineStr">
        <is>
          <t>HCPCS Level II</t>
        </is>
      </c>
      <c r="D66" s="8" t="inlineStr">
        <is>
          <t>Alginate dressing</t>
        </is>
      </c>
      <c r="E66" s="8" t="inlineStr">
        <is>
          <t>Alginate or other fiber gelling dressing, wound cover, sterile, pad size 16 sq. in. or less, each dressing</t>
        </is>
      </c>
      <c r="F66" s="8" t="inlineStr">
        <is>
          <t>Size tier 1.</t>
        </is>
      </c>
      <c r="G66" s="9" t="inlineStr">
        <is>
          <t>No</t>
        </is>
      </c>
    </row>
    <row r="67">
      <c r="A67" s="14" t="inlineStr">
        <is>
          <t>DME</t>
        </is>
      </c>
      <c r="B67" s="21" t="inlineStr">
        <is>
          <t>A6197</t>
        </is>
      </c>
      <c r="C67" s="22" t="inlineStr">
        <is>
          <t>HCPCS Level II</t>
        </is>
      </c>
      <c r="D67" s="8" t="inlineStr">
        <is>
          <t>Alginate dressing</t>
        </is>
      </c>
      <c r="E67" s="8" t="inlineStr">
        <is>
          <t>Alginate or other fiber gelling dressing, wound cover, sterile, pad size more than 16 sq. in. but less than or equal to 48 sq. in., each dressing</t>
        </is>
      </c>
      <c r="F67" s="8" t="inlineStr">
        <is>
          <t>Size tier 2.</t>
        </is>
      </c>
      <c r="G67" s="9" t="inlineStr">
        <is>
          <t>No</t>
        </is>
      </c>
    </row>
    <row r="68">
      <c r="A68" s="14" t="inlineStr">
        <is>
          <t>DME</t>
        </is>
      </c>
      <c r="B68" s="21" t="inlineStr">
        <is>
          <t>A6203</t>
        </is>
      </c>
      <c r="C68" s="22" t="inlineStr">
        <is>
          <t>HCPCS Level II</t>
        </is>
      </c>
      <c r="D68" s="8" t="inlineStr">
        <is>
          <t>Composite dressing</t>
        </is>
      </c>
      <c r="E68" s="8" t="inlineStr">
        <is>
          <t>Composite dressing, sterile, pad size 16 sq. in. or less, with any size adhesive border, each dressing</t>
        </is>
      </c>
      <c r="F68" s="8" t="inlineStr">
        <is>
          <t>Size tier 1.</t>
        </is>
      </c>
      <c r="G68" s="9" t="inlineStr">
        <is>
          <t>No</t>
        </is>
      </c>
    </row>
    <row r="69">
      <c r="A69" s="14" t="inlineStr">
        <is>
          <t>DME</t>
        </is>
      </c>
      <c r="B69" s="21" t="inlineStr">
        <is>
          <t>A6204</t>
        </is>
      </c>
      <c r="C69" s="22" t="inlineStr">
        <is>
          <t>HCPCS Level II</t>
        </is>
      </c>
      <c r="D69" s="8" t="inlineStr">
        <is>
          <t>Composite dressing</t>
        </is>
      </c>
      <c r="E69" s="8" t="inlineStr">
        <is>
          <t>Composite dressing, sterile, pad size more than 16 sq. in. but less than or equal to 48 sq. in., with any size adhesive border, each dressing</t>
        </is>
      </c>
      <c r="F69" s="8" t="inlineStr">
        <is>
          <t>Size tier 2.</t>
        </is>
      </c>
      <c r="G69" s="9" t="inlineStr">
        <is>
          <t>No</t>
        </is>
      </c>
    </row>
    <row r="70">
      <c r="A70" s="14" t="inlineStr">
        <is>
          <t>DME</t>
        </is>
      </c>
      <c r="B70" s="21" t="inlineStr">
        <is>
          <t>E0730</t>
        </is>
      </c>
      <c r="C70" s="22" t="inlineStr">
        <is>
          <t>HCPCS Level II</t>
        </is>
      </c>
      <c r="D70" s="8" t="inlineStr">
        <is>
          <t>Electrical stimulation</t>
        </is>
      </c>
      <c r="E70" s="8" t="inlineStr">
        <is>
          <t>Transcutaneous electrical nerve stimulation (TENS) device, four or more leads, for multiple nerve stimulation</t>
        </is>
      </c>
      <c r="F70" s="8" t="inlineStr">
        <is>
          <t>Four-lead TENS. Use E0720 for a two-lead device.</t>
        </is>
      </c>
      <c r="G70" s="9" t="inlineStr">
        <is>
          <t>No</t>
        </is>
      </c>
    </row>
    <row r="71">
      <c r="A71" s="14" t="inlineStr">
        <is>
          <t>DME</t>
        </is>
      </c>
      <c r="B71" s="21" t="inlineStr">
        <is>
          <t>L0120</t>
        </is>
      </c>
      <c r="C71" s="22" t="inlineStr">
        <is>
          <t>HCPCS Level II</t>
        </is>
      </c>
      <c r="D71" s="8" t="inlineStr">
        <is>
          <t>Cervical orthosis</t>
        </is>
      </c>
      <c r="E71" s="8" t="inlineStr">
        <is>
          <t>Cervical, flexible, non-adjustable, prefabricated, off-the-shelf (foam collar)</t>
        </is>
      </c>
      <c r="F71" s="8" t="inlineStr">
        <is>
          <t>Off-the-shelf.</t>
        </is>
      </c>
      <c r="G71" s="9" t="inlineStr">
        <is>
          <t>No</t>
        </is>
      </c>
    </row>
    <row r="72">
      <c r="A72" s="14" t="inlineStr">
        <is>
          <t>DME</t>
        </is>
      </c>
      <c r="B72" s="21" t="inlineStr">
        <is>
          <t>L0180</t>
        </is>
      </c>
      <c r="C72" s="22" t="inlineStr">
        <is>
          <t>HCPCS Level II</t>
        </is>
      </c>
      <c r="D72" s="8" t="inlineStr">
        <is>
          <t>Cervical orthosis</t>
        </is>
      </c>
      <c r="E72" s="8" t="inlineStr">
        <is>
          <t>Cervical, multiple post collar, occipital/mandibular supports, adjustable</t>
        </is>
      </c>
      <c r="F72" s="8" t="n"/>
      <c r="G72" s="9" t="inlineStr">
        <is>
          <t>No</t>
        </is>
      </c>
    </row>
    <row r="73">
      <c r="A73" s="14" t="inlineStr">
        <is>
          <t>DME</t>
        </is>
      </c>
      <c r="B73" s="21" t="inlineStr">
        <is>
          <t>L0456</t>
        </is>
      </c>
      <c r="C73" s="22" t="inlineStr">
        <is>
          <t>HCPCS Level II</t>
        </is>
      </c>
      <c r="D73" s="8" t="inlineStr">
        <is>
          <t>TLSO</t>
        </is>
      </c>
      <c r="E73" s="8" t="inlineStr">
        <is>
          <t>Thoracic-lumbar-sacral orthosis (TLSO),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discs, includes straps and closures, prefabricated item that has been trimmed, bent, molded, assembled, or otherwise customized to fit a specific patient by an individual with expertise</t>
        </is>
      </c>
      <c r="F73" s="8" t="inlineStr">
        <is>
          <t>CUSTOM FITTED. Off-the-shelf equivalent is L0457.</t>
        </is>
      </c>
      <c r="G73" s="9" t="inlineStr">
        <is>
          <t>Yes</t>
        </is>
      </c>
    </row>
    <row r="74">
      <c r="A74" s="14" t="inlineStr">
        <is>
          <t>DME</t>
        </is>
      </c>
      <c r="B74" s="21" t="inlineStr">
        <is>
          <t>L0457</t>
        </is>
      </c>
      <c r="C74" s="22" t="inlineStr">
        <is>
          <t>HCPCS Level II</t>
        </is>
      </c>
      <c r="D74" s="8" t="inlineStr">
        <is>
          <t>TLSO</t>
        </is>
      </c>
      <c r="E74" s="8" t="inlineStr">
        <is>
          <t>Thoracic-lumbar-sacral orthosis (TLSO),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discs, includes straps and closures, prefabricated, off-the-shelf</t>
        </is>
      </c>
      <c r="F74" s="8" t="inlineStr">
        <is>
          <t>OFF-THE-SHELF. Custom fitted equivalent is L0456.</t>
        </is>
      </c>
      <c r="G74" s="9" t="inlineStr">
        <is>
          <t>Yes</t>
        </is>
      </c>
    </row>
    <row r="75">
      <c r="A75" s="14" t="inlineStr">
        <is>
          <t>DME</t>
        </is>
      </c>
      <c r="B75" s="21" t="inlineStr">
        <is>
          <t>L0621</t>
        </is>
      </c>
      <c r="C75" s="22" t="inlineStr">
        <is>
          <t>HCPCS Level II</t>
        </is>
      </c>
      <c r="D75" s="8" t="inlineStr">
        <is>
          <t>Sacroiliac orthosis</t>
        </is>
      </c>
      <c r="E75" s="8" t="inlineStr">
        <is>
          <t>Sacroiliac orthosis (SO), flexible, provides pelvic-sacral support, reduces motion about the sacroiliac joint, includes straps, closures, may include pendulous abdomen design, prefabricated, off-the-shelf</t>
        </is>
      </c>
      <c r="F75" s="8" t="inlineStr">
        <is>
          <t>OFF-THE-SHELF.</t>
        </is>
      </c>
      <c r="G75" s="9" t="inlineStr">
        <is>
          <t>No</t>
        </is>
      </c>
    </row>
    <row r="76">
      <c r="A76" s="14" t="inlineStr">
        <is>
          <t>DME</t>
        </is>
      </c>
      <c r="B76" s="21" t="inlineStr">
        <is>
          <t>L0627</t>
        </is>
      </c>
      <c r="C76" s="22" t="inlineStr">
        <is>
          <t>HCPCS Level II</t>
        </is>
      </c>
      <c r="D76" s="8" t="inlineStr">
        <is>
          <t>Lumbar orthosis</t>
        </is>
      </c>
      <c r="E76" s="8" t="inlineStr">
        <is>
          <t>Lumbar orthosis (LO),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is>
      </c>
      <c r="F76" s="8" t="inlineStr">
        <is>
          <t>CUSTOM FITTED. Off-the-shelf equivalent is L0642.</t>
        </is>
      </c>
      <c r="G76" s="9" t="inlineStr">
        <is>
          <t>No</t>
        </is>
      </c>
    </row>
    <row r="77">
      <c r="A77" s="14" t="inlineStr">
        <is>
          <t>DME</t>
        </is>
      </c>
      <c r="B77" s="21" t="inlineStr">
        <is>
          <t>L0637</t>
        </is>
      </c>
      <c r="C77" s="22" t="inlineStr">
        <is>
          <t>HCPCS Level II</t>
        </is>
      </c>
      <c r="D77" s="8" t="inlineStr">
        <is>
          <t>Lumbar-sacral orthosis</t>
        </is>
      </c>
      <c r="E77" s="8" t="inlineStr">
        <is>
          <t>Lumbar-sacral orthosis (LSO),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is>
      </c>
      <c r="F77" s="8" t="inlineStr">
        <is>
          <t>CUSTOM FITTED. Off-the-shelf equivalent is L0650.</t>
        </is>
      </c>
      <c r="G77" s="9" t="inlineStr">
        <is>
          <t>Yes</t>
        </is>
      </c>
    </row>
    <row r="78">
      <c r="A78" s="14" t="inlineStr">
        <is>
          <t>DME</t>
        </is>
      </c>
      <c r="B78" s="21" t="inlineStr">
        <is>
          <t>L0642</t>
        </is>
      </c>
      <c r="C78" s="22" t="inlineStr">
        <is>
          <t>HCPCS Level II</t>
        </is>
      </c>
      <c r="D78" s="8" t="inlineStr">
        <is>
          <t>Lumbar orthosis</t>
        </is>
      </c>
      <c r="E78" s="8" t="inlineStr">
        <is>
          <t>Lumbar orthosis (LO),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is>
      </c>
      <c r="F78" s="8" t="inlineStr">
        <is>
          <t>OFF-THE-SHELF. Custom fitted equivalent is L0627.</t>
        </is>
      </c>
      <c r="G78" s="9" t="inlineStr">
        <is>
          <t>No</t>
        </is>
      </c>
    </row>
    <row r="79">
      <c r="A79" s="14" t="inlineStr">
        <is>
          <t>DME</t>
        </is>
      </c>
      <c r="B79" s="21" t="inlineStr">
        <is>
          <t>L0648</t>
        </is>
      </c>
      <c r="C79" s="22" t="inlineStr">
        <is>
          <t>HCPCS Level II</t>
        </is>
      </c>
      <c r="D79" s="8" t="inlineStr">
        <is>
          <t>Lumbar-sacral orthosis</t>
        </is>
      </c>
      <c r="E79" s="8" t="inlineStr">
        <is>
          <t>Lumbar-sacral orthosis (LSO),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is>
      </c>
      <c r="F79" s="8" t="inlineStr">
        <is>
          <t>OFF-THE-SHELF. Custom fitted equivalent is L0631.</t>
        </is>
      </c>
      <c r="G79" s="9" t="inlineStr">
        <is>
          <t>Yes</t>
        </is>
      </c>
    </row>
    <row r="80">
      <c r="A80" s="14" t="inlineStr">
        <is>
          <t>DME</t>
        </is>
      </c>
      <c r="B80" s="21" t="inlineStr">
        <is>
          <t>L0650</t>
        </is>
      </c>
      <c r="C80" s="22" t="inlineStr">
        <is>
          <t>HCPCS Level II</t>
        </is>
      </c>
      <c r="D80" s="8" t="inlineStr">
        <is>
          <t>Lumbar-sacral orthosis</t>
        </is>
      </c>
      <c r="E80" s="8" t="inlineStr">
        <is>
          <t>Lumbar-sacral orthosis (LSO),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is>
      </c>
      <c r="F80" s="8" t="inlineStr">
        <is>
          <t>OFF-THE-SHELF. Custom fitted equivalent is L0637.</t>
        </is>
      </c>
      <c r="G80" s="9" t="inlineStr">
        <is>
          <t>Yes</t>
        </is>
      </c>
    </row>
    <row r="81">
      <c r="A81" s="14" t="inlineStr">
        <is>
          <t>DME</t>
        </is>
      </c>
      <c r="B81" s="21" t="inlineStr">
        <is>
          <t>L0651</t>
        </is>
      </c>
      <c r="C81" s="22" t="inlineStr">
        <is>
          <t>HCPCS Level II</t>
        </is>
      </c>
      <c r="D81" s="8" t="inlineStr">
        <is>
          <t>Lumbar-sacral orthosis</t>
        </is>
      </c>
      <c r="E81" s="8" t="inlineStr">
        <is>
          <t>Lumbar-sacral orthosis (LSO),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is>
      </c>
      <c r="F81" s="8" t="inlineStr">
        <is>
          <t>OFF-THE-SHELF.</t>
        </is>
      </c>
      <c r="G81" s="9" t="inlineStr">
        <is>
          <t>No</t>
        </is>
      </c>
    </row>
    <row r="82">
      <c r="A82" s="14" t="inlineStr">
        <is>
          <t>DME</t>
        </is>
      </c>
      <c r="B82" s="21" t="inlineStr">
        <is>
          <t>L1005</t>
        </is>
      </c>
      <c r="C82" s="22" t="inlineStr">
        <is>
          <t>HCPCS Level II</t>
        </is>
      </c>
      <c r="D82" s="8" t="inlineStr">
        <is>
          <t>Scoliosis orthosis</t>
        </is>
      </c>
      <c r="E82" s="8" t="inlineStr">
        <is>
          <t>Tension based scoliosis orthosis and accessory pads, includes fitting and adjustment</t>
        </is>
      </c>
      <c r="F82" s="8" t="n"/>
      <c r="G82" s="9" t="inlineStr">
        <is>
          <t>No</t>
        </is>
      </c>
    </row>
    <row r="83">
      <c r="A83" s="14" t="inlineStr">
        <is>
          <t>DME</t>
        </is>
      </c>
      <c r="B83" s="21" t="inlineStr">
        <is>
          <t>L1686</t>
        </is>
      </c>
      <c r="C83" s="22" t="inlineStr">
        <is>
          <t>HCPCS Level II</t>
        </is>
      </c>
      <c r="D83" s="8" t="inlineStr">
        <is>
          <t>Hip orthosis</t>
        </is>
      </c>
      <c r="E83" s="8" t="inlineStr">
        <is>
          <t>Hip orthosis (HO), abduction control of hip joint, postoperative hip abduction type, prefabricated, includes fitting and adjustment</t>
        </is>
      </c>
      <c r="F83" s="8" t="inlineStr">
        <is>
          <t>Post-operative hip abduction brace.</t>
        </is>
      </c>
      <c r="G83" s="9" t="inlineStr">
        <is>
          <t>No</t>
        </is>
      </c>
    </row>
    <row r="84">
      <c r="A84" s="14" t="inlineStr">
        <is>
          <t>DME</t>
        </is>
      </c>
      <c r="B84" s="21" t="inlineStr">
        <is>
          <t>L1843</t>
        </is>
      </c>
      <c r="C84" s="22" t="inlineStr">
        <is>
          <t>HCPCS Level II</t>
        </is>
      </c>
      <c r="D84" s="8" t="inlineStr">
        <is>
          <t>Knee orthosis</t>
        </is>
      </c>
      <c r="E84" s="8" t="inlineStr">
        <is>
          <t>Knee orthosis (KO),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is>
      </c>
      <c r="F84" s="8" t="inlineStr">
        <is>
          <t>SINGLE upright, CUSTOM FITTED. Off-the-shelf equivalent is L1851.</t>
        </is>
      </c>
      <c r="G84" s="9" t="inlineStr">
        <is>
          <t>Yes</t>
        </is>
      </c>
    </row>
    <row r="85">
      <c r="A85" s="14" t="inlineStr">
        <is>
          <t>DME</t>
        </is>
      </c>
      <c r="B85" s="21" t="inlineStr">
        <is>
          <t>L1845</t>
        </is>
      </c>
      <c r="C85" s="22" t="inlineStr">
        <is>
          <t>HCPCS Level II</t>
        </is>
      </c>
      <c r="D85" s="8" t="inlineStr">
        <is>
          <t>Knee orthosis</t>
        </is>
      </c>
      <c r="E85" s="8" t="inlineStr">
        <is>
          <t>Knee orthosis (KO),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is>
      </c>
      <c r="F85" s="8" t="inlineStr">
        <is>
          <t>DOUBLE upright, CUSTOM FITTED. Off-the-shelf equivalent is L1852.</t>
        </is>
      </c>
      <c r="G85" s="9" t="inlineStr">
        <is>
          <t>No</t>
        </is>
      </c>
    </row>
    <row r="86">
      <c r="A86" s="14" t="inlineStr">
        <is>
          <t>DME</t>
        </is>
      </c>
      <c r="B86" s="21" t="inlineStr">
        <is>
          <t>L1846</t>
        </is>
      </c>
      <c r="C86" s="22" t="inlineStr">
        <is>
          <t>HCPCS Level II</t>
        </is>
      </c>
      <c r="D86" s="8" t="inlineStr">
        <is>
          <t>Knee orthosis</t>
        </is>
      </c>
      <c r="E86" s="8" t="inlineStr">
        <is>
          <t>Knee orthosis (KO), double upright, thigh and calf, with adjustable flexion and extension joint (unicentric or polycentric), medial-lateral and rotation control, with or without varus/valgus adjustment, custom fabricated</t>
        </is>
      </c>
      <c r="F86" s="8" t="inlineStr">
        <is>
          <t>DOUBLE upright, CUSTOM FABRICATED (not prefabricated).</t>
        </is>
      </c>
      <c r="G86" s="9" t="inlineStr">
        <is>
          <t>No</t>
        </is>
      </c>
    </row>
    <row r="87">
      <c r="A87" s="14" t="inlineStr">
        <is>
          <t>DME</t>
        </is>
      </c>
      <c r="B87" s="21" t="inlineStr">
        <is>
          <t>L1851</t>
        </is>
      </c>
      <c r="C87" s="22" t="inlineStr">
        <is>
          <t>HCPCS Level II</t>
        </is>
      </c>
      <c r="D87" s="8" t="inlineStr">
        <is>
          <t>Knee orthosis</t>
        </is>
      </c>
      <c r="E87" s="8" t="inlineStr">
        <is>
          <t>Knee orthosis (KO), single upright, thigh and calf, with adjustable flexion and extension joint (unicentric or polycentric), medial-lateral and rotation control, with or without varus/valgus adjustment, prefabricated, off-the-shelf</t>
        </is>
      </c>
      <c r="F87" s="8" t="inlineStr">
        <is>
          <t>SINGLE upright, OFF-THE-SHELF. Custom fitted equivalent is L1843.</t>
        </is>
      </c>
      <c r="G87" s="9" t="inlineStr">
        <is>
          <t>Yes</t>
        </is>
      </c>
    </row>
    <row r="88">
      <c r="A88" s="14" t="inlineStr">
        <is>
          <t>DME</t>
        </is>
      </c>
      <c r="B88" s="21" t="inlineStr">
        <is>
          <t>L1852</t>
        </is>
      </c>
      <c r="C88" s="22" t="inlineStr">
        <is>
          <t>HCPCS Level II</t>
        </is>
      </c>
      <c r="D88" s="8" t="inlineStr">
        <is>
          <t>Knee orthosis</t>
        </is>
      </c>
      <c r="E88" s="8" t="inlineStr">
        <is>
          <t>Knee orthosis (KO), double upright, thigh and calf, with adjustable flexion and extension joint (unicentric or polycentric), medial-lateral and rotation control, with or without varus/valgus adjustment, prefabricated, off-the-shelf</t>
        </is>
      </c>
      <c r="F88" s="8" t="inlineStr">
        <is>
          <t>DOUBLE upright, OFF-THE-SHELF. Custom fitted equivalent is L1845.</t>
        </is>
      </c>
      <c r="G88" s="9" t="inlineStr">
        <is>
          <t>No</t>
        </is>
      </c>
    </row>
    <row r="89">
      <c r="A89" s="14" t="inlineStr">
        <is>
          <t>DME</t>
        </is>
      </c>
      <c r="B89" s="21" t="inlineStr">
        <is>
          <t>L1951</t>
        </is>
      </c>
      <c r="C89" s="22" t="inlineStr">
        <is>
          <t>HCPCS Level II</t>
        </is>
      </c>
      <c r="D89" s="8" t="inlineStr">
        <is>
          <t>Ankle-foot orthosis</t>
        </is>
      </c>
      <c r="E89" s="8" t="inlineStr">
        <is>
          <t>Ankle foot orthosis (AFO), spiral, (institute of rehabilitative medicine type), plastic or other material, prefabricated item that has been trimmed, bent, molded, assembled, or otherwise customized to fit a specific patient by an individual with expertise</t>
        </is>
      </c>
      <c r="F89" s="8" t="inlineStr">
        <is>
          <t>CUSTOM FITTED.</t>
        </is>
      </c>
      <c r="G89" s="9" t="inlineStr">
        <is>
          <t>No</t>
        </is>
      </c>
    </row>
    <row r="90">
      <c r="A90" s="14" t="inlineStr">
        <is>
          <t>DME</t>
        </is>
      </c>
      <c r="B90" s="21" t="inlineStr">
        <is>
          <t>L1971</t>
        </is>
      </c>
      <c r="C90" s="22" t="inlineStr">
        <is>
          <t>HCPCS Level II</t>
        </is>
      </c>
      <c r="D90" s="8" t="inlineStr">
        <is>
          <t>Ankle-foot orthosis</t>
        </is>
      </c>
      <c r="E90" s="8" t="inlineStr">
        <is>
          <t>Ankle foot orthosis (AFO), plastic or other material with ankle joint, with or without dorsiflexion assist, prefabricated, includes fitting and adjustment</t>
        </is>
      </c>
      <c r="F90" s="8" t="inlineStr">
        <is>
          <t>Prefabricated with articulating ankle joint. Custom fabricated equivalent is L1970.</t>
        </is>
      </c>
      <c r="G90" s="9" t="inlineStr">
        <is>
          <t>No</t>
        </is>
      </c>
    </row>
    <row r="91">
      <c r="A91" s="14" t="inlineStr">
        <is>
          <t>DME</t>
        </is>
      </c>
      <c r="B91" s="21" t="inlineStr">
        <is>
          <t>L2385</t>
        </is>
      </c>
      <c r="C91" s="22" t="inlineStr">
        <is>
          <t>HCPCS Level II</t>
        </is>
      </c>
      <c r="D91" s="8" t="inlineStr">
        <is>
          <t>Lower extremity addition</t>
        </is>
      </c>
      <c r="E91" s="8" t="inlineStr">
        <is>
          <t>Addition to lower extremity, straight knee joint, heavy duty, each joint</t>
        </is>
      </c>
      <c r="F91" s="8" t="inlineStr">
        <is>
          <t>Addition code. Billed per joint.</t>
        </is>
      </c>
      <c r="G91" s="9" t="inlineStr">
        <is>
          <t>No</t>
        </is>
      </c>
    </row>
    <row r="92">
      <c r="A92" s="14" t="inlineStr">
        <is>
          <t>DME</t>
        </is>
      </c>
      <c r="B92" s="21" t="inlineStr">
        <is>
          <t>L2390</t>
        </is>
      </c>
      <c r="C92" s="22" t="inlineStr">
        <is>
          <t>HCPCS Level II</t>
        </is>
      </c>
      <c r="D92" s="8" t="inlineStr">
        <is>
          <t>Lower extremity addition</t>
        </is>
      </c>
      <c r="E92" s="8" t="inlineStr">
        <is>
          <t>Addition to lower extremity, offset knee joint, each joint</t>
        </is>
      </c>
      <c r="F92" s="8" t="inlineStr">
        <is>
          <t>Addition code. Billed per joint.</t>
        </is>
      </c>
      <c r="G92" s="9" t="inlineStr">
        <is>
          <t>No</t>
        </is>
      </c>
    </row>
    <row r="93">
      <c r="A93" s="14" t="inlineStr">
        <is>
          <t>DME</t>
        </is>
      </c>
      <c r="B93" s="21" t="inlineStr">
        <is>
          <t>L2395</t>
        </is>
      </c>
      <c r="C93" s="22" t="inlineStr">
        <is>
          <t>HCPCS Level II</t>
        </is>
      </c>
      <c r="D93" s="8" t="inlineStr">
        <is>
          <t>Lower extremity addition</t>
        </is>
      </c>
      <c r="E93" s="8" t="inlineStr">
        <is>
          <t>Addition to lower extremity, offset knee joint, heavy duty, each joint</t>
        </is>
      </c>
      <c r="F93" s="8" t="inlineStr">
        <is>
          <t>Addition code. Billed per joint.</t>
        </is>
      </c>
      <c r="G93" s="9" t="inlineStr">
        <is>
          <t>No</t>
        </is>
      </c>
    </row>
    <row r="94">
      <c r="A94" s="14" t="inlineStr">
        <is>
          <t>DME</t>
        </is>
      </c>
      <c r="B94" s="21" t="inlineStr">
        <is>
          <t>L2397</t>
        </is>
      </c>
      <c r="C94" s="22" t="inlineStr">
        <is>
          <t>HCPCS Level II</t>
        </is>
      </c>
      <c r="D94" s="8" t="inlineStr">
        <is>
          <t>Lower extremity addition</t>
        </is>
      </c>
      <c r="E94" s="8" t="inlineStr">
        <is>
          <t>Addition to lower extremity orthosis, suspension sleeve</t>
        </is>
      </c>
      <c r="F94" s="8" t="inlineStr">
        <is>
          <t>Addition code.</t>
        </is>
      </c>
      <c r="G94" s="9" t="inlineStr">
        <is>
          <t>No</t>
        </is>
      </c>
    </row>
    <row r="95">
      <c r="A95" s="14" t="inlineStr">
        <is>
          <t>DME</t>
        </is>
      </c>
      <c r="B95" s="21" t="inlineStr">
        <is>
          <t>L2405</t>
        </is>
      </c>
      <c r="C95" s="22" t="inlineStr">
        <is>
          <t>HCPCS Level II</t>
        </is>
      </c>
      <c r="D95" s="8" t="inlineStr">
        <is>
          <t>Knee joint addition</t>
        </is>
      </c>
      <c r="E95" s="8" t="inlineStr">
        <is>
          <t>Addition to knee joint, drop lock, each</t>
        </is>
      </c>
      <c r="F95" s="8" t="inlineStr">
        <is>
          <t>Addition code. Billed each.</t>
        </is>
      </c>
      <c r="G95" s="9" t="inlineStr">
        <is>
          <t>No</t>
        </is>
      </c>
    </row>
    <row r="96">
      <c r="A96" s="14" t="inlineStr">
        <is>
          <t>DME</t>
        </is>
      </c>
      <c r="B96" s="21" t="inlineStr">
        <is>
          <t>L2415</t>
        </is>
      </c>
      <c r="C96" s="22" t="inlineStr">
        <is>
          <t>HCPCS Level II</t>
        </is>
      </c>
      <c r="D96" s="8" t="inlineStr">
        <is>
          <t>Knee joint addition</t>
        </is>
      </c>
      <c r="E96" s="8" t="inlineStr">
        <is>
          <t>Addition to knee lock with integrated release mechanism (bail, cable, or equal), any material, each joint</t>
        </is>
      </c>
      <c r="F96" s="8" t="inlineStr">
        <is>
          <t>Addition code. Billed per joint.</t>
        </is>
      </c>
      <c r="G96" s="9" t="inlineStr">
        <is>
          <t>No</t>
        </is>
      </c>
    </row>
    <row r="97">
      <c r="A97" s="14" t="inlineStr">
        <is>
          <t>DME</t>
        </is>
      </c>
      <c r="B97" s="21" t="inlineStr">
        <is>
          <t>L2492</t>
        </is>
      </c>
      <c r="C97" s="22" t="inlineStr">
        <is>
          <t>HCPCS Level II</t>
        </is>
      </c>
      <c r="D97" s="8" t="inlineStr">
        <is>
          <t>Knee joint addition</t>
        </is>
      </c>
      <c r="E97" s="8" t="inlineStr">
        <is>
          <t>Addition to knee joint, lift loop for drop lock ring</t>
        </is>
      </c>
      <c r="F97" s="8" t="inlineStr">
        <is>
          <t>Addition code.</t>
        </is>
      </c>
      <c r="G97" s="9" t="inlineStr">
        <is>
          <t>No</t>
        </is>
      </c>
    </row>
    <row r="98">
      <c r="A98" s="14" t="inlineStr">
        <is>
          <t>DME</t>
        </is>
      </c>
      <c r="B98" s="21" t="inlineStr">
        <is>
          <t>L2755</t>
        </is>
      </c>
      <c r="C98" s="22" t="inlineStr">
        <is>
          <t>HCPCS Level II</t>
        </is>
      </c>
      <c r="D98" s="8" t="inlineStr">
        <is>
          <t>Lower extremity addition</t>
        </is>
      </c>
      <c r="E98" s="8" t="inlineStr">
        <is>
          <t>Addition to lower extremity orthosis, high strength, lightweight material, all hybrid lamination/prepreg composite, per segment, for custom fabricated orthosis only</t>
        </is>
      </c>
      <c r="F98" s="8" t="inlineStr">
        <is>
          <t>Addition code. CUSTOM FABRICATED orthoses only; billed per segment.</t>
        </is>
      </c>
      <c r="G98" s="9" t="inlineStr">
        <is>
          <t>No</t>
        </is>
      </c>
    </row>
    <row r="99">
      <c r="A99" s="14" t="inlineStr">
        <is>
          <t>DME</t>
        </is>
      </c>
      <c r="B99" s="21" t="inlineStr">
        <is>
          <t>L2785</t>
        </is>
      </c>
      <c r="C99" s="22" t="inlineStr">
        <is>
          <t>HCPCS Level II</t>
        </is>
      </c>
      <c r="D99" s="8" t="inlineStr">
        <is>
          <t>Lower extremity addition</t>
        </is>
      </c>
      <c r="E99" s="8" t="inlineStr">
        <is>
          <t>Addition to lower extremity orthosis, drop lock retainer, each</t>
        </is>
      </c>
      <c r="F99" s="8" t="inlineStr">
        <is>
          <t>Addition code. Billed each.</t>
        </is>
      </c>
      <c r="G99" s="9" t="inlineStr">
        <is>
          <t>No</t>
        </is>
      </c>
    </row>
    <row r="100">
      <c r="A100" s="14" t="inlineStr">
        <is>
          <t>DME</t>
        </is>
      </c>
      <c r="B100" s="21" t="inlineStr">
        <is>
          <t>L2795</t>
        </is>
      </c>
      <c r="C100" s="22" t="inlineStr">
        <is>
          <t>HCPCS Level II</t>
        </is>
      </c>
      <c r="D100" s="8" t="inlineStr">
        <is>
          <t>Lower extremity addition</t>
        </is>
      </c>
      <c r="E100" s="8" t="inlineStr">
        <is>
          <t>Addition to lower extremity orthosis, knee control, full kneecap</t>
        </is>
      </c>
      <c r="F100" s="8" t="inlineStr">
        <is>
          <t>Addition code.</t>
        </is>
      </c>
      <c r="G100" s="9" t="inlineStr">
        <is>
          <t>No</t>
        </is>
      </c>
    </row>
    <row r="101">
      <c r="A101" s="14" t="inlineStr">
        <is>
          <t>DME</t>
        </is>
      </c>
      <c r="B101" s="21" t="inlineStr">
        <is>
          <t>L2800</t>
        </is>
      </c>
      <c r="C101" s="22" t="inlineStr">
        <is>
          <t>HCPCS Level II</t>
        </is>
      </c>
      <c r="D101" s="8" t="inlineStr">
        <is>
          <t>Lower extremity addition</t>
        </is>
      </c>
      <c r="E101" s="8" t="inlineStr">
        <is>
          <t>Addition to lower extremity orthosis, knee control, knee cap, medial or lateral pull, for use with custom fabricated orthosis only</t>
        </is>
      </c>
      <c r="F101" s="8" t="inlineStr">
        <is>
          <t>Addition code. CUSTOM FABRICATED orthoses only.</t>
        </is>
      </c>
      <c r="G101" s="9" t="inlineStr">
        <is>
          <t>No</t>
        </is>
      </c>
    </row>
    <row r="102">
      <c r="A102" s="14" t="inlineStr">
        <is>
          <t>DME</t>
        </is>
      </c>
      <c r="B102" s="21" t="inlineStr">
        <is>
          <t>L3020</t>
        </is>
      </c>
      <c r="C102" s="22" t="inlineStr">
        <is>
          <t>HCPCS Level II</t>
        </is>
      </c>
      <c r="D102" s="8" t="inlineStr">
        <is>
          <t>Foot orthosis</t>
        </is>
      </c>
      <c r="E102" s="8" t="inlineStr">
        <is>
          <t>Foot, insert, removable, molded to patient model, longitudinal/metatarsal support, each</t>
        </is>
      </c>
      <c r="F102" s="8" t="inlineStr">
        <is>
          <t>Billed each (per foot).</t>
        </is>
      </c>
      <c r="G102" s="9" t="inlineStr">
        <is>
          <t>No</t>
        </is>
      </c>
    </row>
    <row r="103">
      <c r="A103" s="14" t="inlineStr">
        <is>
          <t>DME</t>
        </is>
      </c>
      <c r="B103" s="21" t="inlineStr">
        <is>
          <t>L3028</t>
        </is>
      </c>
      <c r="C103" s="22" t="inlineStr">
        <is>
          <t>HCPCS Level II</t>
        </is>
      </c>
      <c r="D103" s="8" t="inlineStr">
        <is>
          <t>Foot orthosis</t>
        </is>
      </c>
      <c r="E103" s="8" t="inlineStr">
        <is>
          <t>NOT VERIFIED -- no matching HCPCS Level II descriptor could be confirmed for this code</t>
        </is>
      </c>
      <c r="F103" s="8" t="inlineStr">
        <is>
          <t>VERIFY BEFORE BILLING. L3028 was not found in the current HCPCS Level II set; the removable foot insert range runs L3000-L3003, L3010, L3020, L3030, L3031. Possible transcription of L3020 or L3030 (Foot, insert, removable, formed to patient foot, each).</t>
        </is>
      </c>
      <c r="G103" s="9" t="inlineStr">
        <is>
          <t>No</t>
        </is>
      </c>
    </row>
    <row r="104">
      <c r="A104" s="14" t="inlineStr">
        <is>
          <t>DME</t>
        </is>
      </c>
      <c r="B104" s="21" t="inlineStr">
        <is>
          <t>L3809</t>
        </is>
      </c>
      <c r="C104" s="22" t="inlineStr">
        <is>
          <t>HCPCS Level II</t>
        </is>
      </c>
      <c r="D104" s="8" t="inlineStr">
        <is>
          <t>Wrist-hand-finger orthosis</t>
        </is>
      </c>
      <c r="E104" s="8" t="inlineStr">
        <is>
          <t>Wrist hand finger orthosis (WHFO), without joint(s), prefabricated, off-the-shelf, any type</t>
        </is>
      </c>
      <c r="F104" s="8" t="inlineStr">
        <is>
          <t>OFF-THE-SHELF.</t>
        </is>
      </c>
      <c r="G104" s="9" t="inlineStr">
        <is>
          <t>No</t>
        </is>
      </c>
    </row>
    <row r="105">
      <c r="A105" s="14" t="inlineStr">
        <is>
          <t>DME</t>
        </is>
      </c>
      <c r="B105" s="21" t="inlineStr">
        <is>
          <t>L3916</t>
        </is>
      </c>
      <c r="C105" s="22" t="inlineStr">
        <is>
          <t>HCPCS Level II</t>
        </is>
      </c>
      <c r="D105" s="8" t="inlineStr">
        <is>
          <t>Wrist-hand orthosis</t>
        </is>
      </c>
      <c r="E105" s="8" t="inlineStr">
        <is>
          <t>Wrist hand orthosis (WHO), includes one or more nontorsion joint(s), elastic bands, turnbuckles, may include soft interface, straps, prefabricated, off-the-shelf</t>
        </is>
      </c>
      <c r="F105" s="8" t="inlineStr">
        <is>
          <t>OFF-THE-SHELF.</t>
        </is>
      </c>
      <c r="G105" s="9" t="inlineStr">
        <is>
          <t>Yes</t>
        </is>
      </c>
    </row>
    <row r="107">
      <c r="D107" s="18" t="inlineStr">
        <is>
          <t>Total codes</t>
        </is>
      </c>
      <c r="E107" s="18" t="str">
        <f>COUNTA(B5:B105)&amp;" codes ("&amp;COUNTIF(C5:C105,"CPT")&amp;" CPT, "&amp;COUNTIF(C5:C105,"HCPCS Level II")&amp;" HCPCS Level II). "&amp;COUNTIF(G5:G105,"Yes")&amp;" of them appear on the 2026 S1 pending claim lines."</f>
        <v>101 codes (58 CPT, 43 HCPCS Level II). 46 of them appear on the 2026 S1 pending claim lines.</v>
      </c>
    </row>
    <row r="109">
      <c r="D109" s="20" t="inlineStr">
        <is>
          <t>Modifiers that come up on these claims (2026 S1 pending): 59, 26, XU, A1, RT, LT, A2, KX, NU, 50, 58, 53, 79, 95, XS, 25. The X-series and 59 modifiers, A1/A2 (wound dressing count) and KX (documentation on file) are the ones most often behind a denial.</t>
        </is>
      </c>
    </row>
    <row r="110"/>
  </sheetData>
  <autoFilter ref="A4:G105"/>
  <mergeCells count="1">
    <mergeCell ref="D109:F110"/>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E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20" customWidth="1" min="2" max="2"/>
    <col width="20" customWidth="1" min="3" max="3"/>
    <col width="62" customWidth="1" min="4" max="4"/>
    <col width="13" customWidth="1" min="5" max="5"/>
  </cols>
  <sheetData>
    <row r="1">
      <c r="A1" s="1" t="inlineStr">
        <is>
          <t>Providers I work with</t>
        </is>
      </c>
    </row>
    <row r="2">
      <c r="A2" s="2" t="inlineStr">
        <is>
          <t>Rendering providers on the claims I work, as their names appear in the practice system.</t>
        </is>
      </c>
    </row>
    <row r="4" ht="30" customHeight="1">
      <c r="A4" s="5" t="inlineStr">
        <is>
          <t>Rendering Provider</t>
        </is>
      </c>
      <c r="B4" s="5" t="inlineStr">
        <is>
          <t>Type</t>
        </is>
      </c>
      <c r="C4" s="5" t="inlineStr">
        <is>
          <t>Specialties</t>
        </is>
      </c>
      <c r="D4" s="5" t="inlineStr">
        <is>
          <t>Locations</t>
        </is>
      </c>
      <c r="E4" s="5" t="inlineStr">
        <is>
          <t>Claim lines 2026 S1</t>
        </is>
      </c>
    </row>
    <row r="5">
      <c r="A5" s="23" t="inlineStr">
        <is>
          <t>HUNTER, DREW</t>
        </is>
      </c>
      <c r="B5" s="8" t="inlineStr">
        <is>
          <t>Individual provider</t>
        </is>
      </c>
      <c r="C5" s="8" t="inlineStr">
        <is>
          <t>GAE</t>
        </is>
      </c>
      <c r="D5" s="8" t="inlineStr">
        <is>
          <t>ASAP - DEER VALLEY; ASAP - Gilbert; ASAP Surgery Centers North Valley LLC; Premier Endoscopy Center, LLC</t>
        </is>
      </c>
      <c r="E5" s="10" t="n">
        <v>269</v>
      </c>
    </row>
    <row r="6">
      <c r="A6" s="23" t="inlineStr">
        <is>
          <t>LEATHEM, JARRETT</t>
        </is>
      </c>
      <c r="B6" s="8" t="inlineStr">
        <is>
          <t>Individual provider</t>
        </is>
      </c>
      <c r="C6" s="8" t="inlineStr">
        <is>
          <t>BH, US, ORTHO, DME</t>
        </is>
      </c>
      <c r="D6" s="8" t="inlineStr">
        <is>
          <t>ASAP - DEER VALLEY; ASAP - Gilbert; ASAP - Goodyear; ASAP Peoria; Premier Endoscopy Center, LLC</t>
        </is>
      </c>
      <c r="E6" s="10" t="n">
        <v>142</v>
      </c>
    </row>
    <row r="7">
      <c r="A7" s="23" t="inlineStr">
        <is>
          <t>TURLEY, TODD</t>
        </is>
      </c>
      <c r="B7" s="8" t="inlineStr">
        <is>
          <t>Individual provider</t>
        </is>
      </c>
      <c r="C7" s="8" t="inlineStr">
        <is>
          <t>BH, US, ORTHO, DME</t>
        </is>
      </c>
      <c r="D7" s="8" t="inlineStr">
        <is>
          <t>ASAP - Biltmore; ASAP - DEER VALLEY; ASAP - DEER VALLEY 240; ASAP - Gilbert; ASAP - Surprise - Reems; ASAP Peoria; ASAP Surgery Centers North Valley LLC</t>
        </is>
      </c>
      <c r="E7" s="10" t="n">
        <v>96</v>
      </c>
    </row>
    <row r="8">
      <c r="A8" s="23" t="inlineStr">
        <is>
          <t>BURGHER, ABRAM</t>
        </is>
      </c>
      <c r="B8" s="8" t="inlineStr">
        <is>
          <t>Individual provider</t>
        </is>
      </c>
      <c r="C8" s="8" t="inlineStr">
        <is>
          <t>BH, GAE, US, ORTHO</t>
        </is>
      </c>
      <c r="D8" s="8" t="inlineStr">
        <is>
          <t>ASAP - DEER VALLEY; ASAP - Gilbert; ASAP - Surprise - Reems; ASAP Peoria; ASAP Surgery Centers North Valley LLC</t>
        </is>
      </c>
      <c r="E8" s="10" t="n">
        <v>69</v>
      </c>
    </row>
    <row r="9">
      <c r="A9" s="23" t="inlineStr">
        <is>
          <t>LUKE, TIMOTHY</t>
        </is>
      </c>
      <c r="B9" s="8" t="inlineStr">
        <is>
          <t>Individual provider</t>
        </is>
      </c>
      <c r="C9" s="8" t="inlineStr">
        <is>
          <t>BH, ORTHO, DME</t>
        </is>
      </c>
      <c r="D9" s="8" t="inlineStr">
        <is>
          <t>ASAP - Avondale; ASAP - DEER VALLEY; ASAP - Gilbert; ASAP Prescott Valley; ASAP Surgery Centers North Valley LLC</t>
        </is>
      </c>
      <c r="E9" s="10" t="n">
        <v>62</v>
      </c>
    </row>
    <row r="10">
      <c r="A10" s="23" t="inlineStr">
        <is>
          <t>O'NEIL, ROY</t>
        </is>
      </c>
      <c r="B10" s="8" t="inlineStr">
        <is>
          <t>Individual provider</t>
        </is>
      </c>
      <c r="C10" s="8" t="inlineStr">
        <is>
          <t>BH, ORTHO, DME</t>
        </is>
      </c>
      <c r="D10" s="8" t="inlineStr">
        <is>
          <t>ASAP - Avondale; ASAP - DEER VALLEY; ASAP - Gilbert; ASAP - Goodyear; ASAP - Surprise - Reems; ASAP Peoria; ASAP Surgery Centers North Valley LLC</t>
        </is>
      </c>
      <c r="E10" s="10" t="n">
        <v>52</v>
      </c>
    </row>
    <row r="11">
      <c r="A11" s="23" t="inlineStr">
        <is>
          <t>MCCUNNIFF, PETER</t>
        </is>
      </c>
      <c r="B11" s="8" t="inlineStr">
        <is>
          <t>Individual provider</t>
        </is>
      </c>
      <c r="C11" s="8" t="inlineStr">
        <is>
          <t>ORTHO, DME</t>
        </is>
      </c>
      <c r="D11" s="8" t="inlineStr">
        <is>
          <t>ASAP Peoria; ASAP Surgery Centers North Valley LLC; Honor Health Deer Valley Medical Center</t>
        </is>
      </c>
      <c r="E11" s="10" t="n">
        <v>44</v>
      </c>
    </row>
    <row r="12">
      <c r="A12" s="23" t="inlineStr">
        <is>
          <t>SARKAR, AWNIK</t>
        </is>
      </c>
      <c r="B12" s="8" t="inlineStr">
        <is>
          <t>Individual provider</t>
        </is>
      </c>
      <c r="C12" s="8" t="inlineStr">
        <is>
          <t>BH, ORTHO, DME</t>
        </is>
      </c>
      <c r="D12" s="8" t="inlineStr">
        <is>
          <t>ASAP - DEER VALLEY; ASAP - Gilbert; ASAP - Surprise - Reems; ASAP Peoria; ASAP Surgery Centers North Valley LLC</t>
        </is>
      </c>
      <c r="E12" s="10" t="n">
        <v>44</v>
      </c>
    </row>
    <row r="13">
      <c r="A13" s="23" t="inlineStr">
        <is>
          <t>MEARS, CHAD</t>
        </is>
      </c>
      <c r="B13" s="8" t="inlineStr">
        <is>
          <t>Individual provider</t>
        </is>
      </c>
      <c r="C13" s="8" t="inlineStr">
        <is>
          <t>BH, ORTHO, DME</t>
        </is>
      </c>
      <c r="D13" s="8" t="inlineStr">
        <is>
          <t>ASAP - DEER VALLEY; ASAP - Gilbert; ASAP Peoria; ASAP Surgery Centers North Valley LLC</t>
        </is>
      </c>
      <c r="E13" s="10" t="n">
        <v>38</v>
      </c>
    </row>
    <row r="14">
      <c r="A14" s="23" t="inlineStr">
        <is>
          <t>MAYURAN, VIKRAM</t>
        </is>
      </c>
      <c r="B14" s="8" t="inlineStr">
        <is>
          <t>Individual provider</t>
        </is>
      </c>
      <c r="C14" s="8" t="inlineStr">
        <is>
          <t>ORTHO, DME</t>
        </is>
      </c>
      <c r="D14" s="8" t="inlineStr">
        <is>
          <t>ASAP - Mesa; ASAP Surgery Centers North Valley LLC; Banner Desert Medical Center</t>
        </is>
      </c>
      <c r="E14" s="10" t="n">
        <v>28</v>
      </c>
    </row>
    <row r="15">
      <c r="A15" s="23" t="inlineStr">
        <is>
          <t>MORALES, DAVID</t>
        </is>
      </c>
      <c r="B15" s="8" t="inlineStr">
        <is>
          <t>Individual provider</t>
        </is>
      </c>
      <c r="C15" s="8" t="inlineStr">
        <is>
          <t>BH, ORTHO, DME</t>
        </is>
      </c>
      <c r="D15" s="8" t="inlineStr">
        <is>
          <t>ASAP - DEER VALLEY; ASAP - Gilbert; ASAP Peoria; ASAP Sun City; ASAP Surgery Centers North Valley LLC</t>
        </is>
      </c>
      <c r="E15" s="10" t="n">
        <v>25</v>
      </c>
    </row>
    <row r="16">
      <c r="A16" s="23" t="inlineStr">
        <is>
          <t>KALLGREN, MARK</t>
        </is>
      </c>
      <c r="B16" s="8" t="inlineStr">
        <is>
          <t>Individual provider</t>
        </is>
      </c>
      <c r="C16" s="8" t="inlineStr">
        <is>
          <t>BH, ORTHO, DME</t>
        </is>
      </c>
      <c r="D16" s="8" t="inlineStr">
        <is>
          <t>ASAP - Gilbert; ASAP - Mesa; ASAP Peoria; Premier Endoscopy Center, LLC</t>
        </is>
      </c>
      <c r="E16" s="10" t="n">
        <v>24</v>
      </c>
    </row>
    <row r="17">
      <c r="A17" s="23" t="inlineStr">
        <is>
          <t>KRAUSE, JEFFREY</t>
        </is>
      </c>
      <c r="B17" s="8" t="inlineStr">
        <is>
          <t>Individual provider</t>
        </is>
      </c>
      <c r="C17" s="8" t="inlineStr">
        <is>
          <t>BH, ORTHO, DME</t>
        </is>
      </c>
      <c r="D17" s="8" t="inlineStr">
        <is>
          <t>ASAP - DEER VALLEY; ASAP Peoria; ASAP Surgery Centers North Valley LLC</t>
        </is>
      </c>
      <c r="E17" s="10" t="n">
        <v>24</v>
      </c>
    </row>
    <row r="18">
      <c r="A18" s="23" t="inlineStr">
        <is>
          <t>Advanced Spine and Pain LLC DME GWY</t>
        </is>
      </c>
      <c r="B18" s="8" t="inlineStr">
        <is>
          <t>DME supplier entity</t>
        </is>
      </c>
      <c r="C18" s="8" t="inlineStr">
        <is>
          <t>DME</t>
        </is>
      </c>
      <c r="D18" s="8" t="inlineStr">
        <is>
          <t>Advanced Spine and Pain LLC DME - Gilbert; Advanced Spine and Pain LLC DME - Greenway; Advanced Spine and Pain LLC DME - Peoria; Advanced Spine and Pain LLC DME - Surprise Reems</t>
        </is>
      </c>
      <c r="E18" s="10" t="n">
        <v>20</v>
      </c>
    </row>
    <row r="19">
      <c r="A19" s="23" t="inlineStr">
        <is>
          <t>Advanced Spine and Pain LLC DME SUR</t>
        </is>
      </c>
      <c r="B19" s="8" t="inlineStr">
        <is>
          <t>DME supplier entity</t>
        </is>
      </c>
      <c r="C19" s="8" t="inlineStr">
        <is>
          <t>DME</t>
        </is>
      </c>
      <c r="D19" s="8" t="inlineStr">
        <is>
          <t>Advanced Spine and Pain LLC DME - Surprise Reems</t>
        </is>
      </c>
      <c r="E19" s="10" t="n">
        <v>20</v>
      </c>
    </row>
    <row r="20">
      <c r="A20" s="23" t="inlineStr">
        <is>
          <t>CURRIE, DAVID</t>
        </is>
      </c>
      <c r="B20" s="8" t="inlineStr">
        <is>
          <t>Individual provider</t>
        </is>
      </c>
      <c r="C20" s="8" t="inlineStr">
        <is>
          <t>BH, ORTHO, DME</t>
        </is>
      </c>
      <c r="D20" s="8" t="inlineStr">
        <is>
          <t>ASAP - Avondale; ASAP - Gilbert; ASAP - Surprise - Reems; Premier Endoscopy Center, LLC</t>
        </is>
      </c>
      <c r="E20" s="10" t="n">
        <v>19</v>
      </c>
    </row>
    <row r="21">
      <c r="A21" s="23" t="inlineStr">
        <is>
          <t>ADLER, STEVEN</t>
        </is>
      </c>
      <c r="B21" s="8" t="inlineStr">
        <is>
          <t>Individual provider</t>
        </is>
      </c>
      <c r="C21" s="8" t="inlineStr">
        <is>
          <t>BH, US, DME</t>
        </is>
      </c>
      <c r="D21" s="8" t="inlineStr">
        <is>
          <t>ASAP - Biltmore; ASAP - DEER VALLEY</t>
        </is>
      </c>
      <c r="E21" s="10" t="n">
        <v>14</v>
      </c>
    </row>
    <row r="22">
      <c r="A22" s="23" t="inlineStr">
        <is>
          <t>HOLLISTER, ALICIA</t>
        </is>
      </c>
      <c r="B22" s="8" t="inlineStr">
        <is>
          <t>Individual provider</t>
        </is>
      </c>
      <c r="C22" s="8" t="inlineStr">
        <is>
          <t>DME</t>
        </is>
      </c>
      <c r="D22" s="8" t="inlineStr">
        <is>
          <t>ASAP - DEER VALLEY</t>
        </is>
      </c>
      <c r="E22" s="10" t="n">
        <v>11</v>
      </c>
    </row>
    <row r="23">
      <c r="A23" s="23" t="inlineStr">
        <is>
          <t>Advanced Spine and Pain LLC DME PEO</t>
        </is>
      </c>
      <c r="B23" s="8" t="inlineStr">
        <is>
          <t>DME supplier entity</t>
        </is>
      </c>
      <c r="C23" s="8" t="inlineStr">
        <is>
          <t>DME</t>
        </is>
      </c>
      <c r="D23" s="8" t="inlineStr">
        <is>
          <t>Advanced Spine and Pain LLC DME - Peoria</t>
        </is>
      </c>
      <c r="E23" s="10" t="n">
        <v>10</v>
      </c>
    </row>
    <row r="24">
      <c r="A24" s="23" t="inlineStr">
        <is>
          <t>KOMINSKY, STEPHEN</t>
        </is>
      </c>
      <c r="B24" s="8" t="inlineStr">
        <is>
          <t>Individual provider</t>
        </is>
      </c>
      <c r="C24" s="8" t="inlineStr">
        <is>
          <t>GAE, DME</t>
        </is>
      </c>
      <c r="D24" s="8" t="inlineStr">
        <is>
          <t>ASAP - DEER VALLEY; ASAP Peoria; ASAP Surgery Centers North Valley LLC</t>
        </is>
      </c>
      <c r="E24" s="10" t="n">
        <v>9</v>
      </c>
    </row>
    <row r="25">
      <c r="A25" s="23" t="inlineStr">
        <is>
          <t>MCMURDIE, TODD</t>
        </is>
      </c>
      <c r="B25" s="8" t="inlineStr">
        <is>
          <t>Individual provider</t>
        </is>
      </c>
      <c r="C25" s="8" t="inlineStr">
        <is>
          <t>BH, DME</t>
        </is>
      </c>
      <c r="D25" s="8" t="inlineStr">
        <is>
          <t>ASAP - Surprise - Reems; ASAP Peoria</t>
        </is>
      </c>
      <c r="E25" s="10" t="n">
        <v>9</v>
      </c>
    </row>
    <row r="26">
      <c r="A26" s="23" t="inlineStr">
        <is>
          <t>Advanced Spine and Pain LLC DME GIL</t>
        </is>
      </c>
      <c r="B26" s="8" t="inlineStr">
        <is>
          <t>DME supplier entity</t>
        </is>
      </c>
      <c r="C26" s="8" t="inlineStr">
        <is>
          <t>DME</t>
        </is>
      </c>
      <c r="D26" s="8" t="inlineStr">
        <is>
          <t>Advanced Spine and Pain LLC DME - Gilbert</t>
        </is>
      </c>
      <c r="E26" s="10" t="n">
        <v>8</v>
      </c>
    </row>
    <row r="27">
      <c r="A27" s="23" t="inlineStr">
        <is>
          <t>WILSON, JARED</t>
        </is>
      </c>
      <c r="B27" s="8" t="inlineStr">
        <is>
          <t>Individual provider</t>
        </is>
      </c>
      <c r="C27" s="8" t="inlineStr">
        <is>
          <t>BH</t>
        </is>
      </c>
      <c r="D27" s="8" t="inlineStr">
        <is>
          <t>ASAP - Gilbert; ASAP - Tucson</t>
        </is>
      </c>
      <c r="E27" s="10" t="n">
        <v>8</v>
      </c>
    </row>
    <row r="28">
      <c r="A28" s="23" t="inlineStr">
        <is>
          <t>BAUGHER, TIMOTHY</t>
        </is>
      </c>
      <c r="B28" s="8" t="inlineStr">
        <is>
          <t>Individual provider</t>
        </is>
      </c>
      <c r="C28" s="8" t="inlineStr">
        <is>
          <t>BH</t>
        </is>
      </c>
      <c r="D28" s="8" t="inlineStr">
        <is>
          <t>ASAP - Gilbert</t>
        </is>
      </c>
      <c r="E28" s="10" t="n">
        <v>6</v>
      </c>
    </row>
    <row r="29">
      <c r="A29" s="23" t="inlineStr">
        <is>
          <t>OROC, RENEE</t>
        </is>
      </c>
      <c r="B29" s="8" t="inlineStr">
        <is>
          <t>Individual provider</t>
        </is>
      </c>
      <c r="C29" s="8" t="inlineStr">
        <is>
          <t>DME</t>
        </is>
      </c>
      <c r="D29" s="8" t="inlineStr">
        <is>
          <t>ASAP - Gilbert; ASAP - Mesa; ASAP Prescott Valley</t>
        </is>
      </c>
      <c r="E29" s="10" t="n">
        <v>6</v>
      </c>
    </row>
    <row r="30">
      <c r="A30" s="23" t="inlineStr">
        <is>
          <t>TONDINI, JENISE</t>
        </is>
      </c>
      <c r="B30" s="8" t="inlineStr">
        <is>
          <t>Individual provider</t>
        </is>
      </c>
      <c r="C30" s="8" t="inlineStr">
        <is>
          <t>DME</t>
        </is>
      </c>
      <c r="D30" s="8" t="inlineStr">
        <is>
          <t>ASAP - Goodyear</t>
        </is>
      </c>
      <c r="E30" s="10" t="n">
        <v>6</v>
      </c>
    </row>
    <row r="31">
      <c r="A31" s="23" t="inlineStr">
        <is>
          <t>BARCOME, MARYBETH</t>
        </is>
      </c>
      <c r="B31" s="8" t="inlineStr">
        <is>
          <t>Individual provider</t>
        </is>
      </c>
      <c r="C31" s="8" t="inlineStr">
        <is>
          <t>DME</t>
        </is>
      </c>
      <c r="D31" s="8" t="inlineStr">
        <is>
          <t>ASAP - Surprise - Reems; ASAP Peoria</t>
        </is>
      </c>
      <c r="E31" s="10" t="n">
        <v>4</v>
      </c>
    </row>
    <row r="32">
      <c r="A32" s="23" t="inlineStr">
        <is>
          <t>HUERTA, KARLA</t>
        </is>
      </c>
      <c r="B32" s="8" t="inlineStr">
        <is>
          <t>Individual provider</t>
        </is>
      </c>
      <c r="C32" s="8" t="inlineStr">
        <is>
          <t>BH</t>
        </is>
      </c>
      <c r="D32" s="8" t="inlineStr">
        <is>
          <t>ASAP - DEER VALLEY; ASAP Peoria</t>
        </is>
      </c>
      <c r="E32" s="10" t="n">
        <v>4</v>
      </c>
    </row>
    <row r="33">
      <c r="A33" s="23" t="inlineStr">
        <is>
          <t>Advanced Spine and Pain LLC DME GYR</t>
        </is>
      </c>
      <c r="B33" s="8" t="inlineStr">
        <is>
          <t>DME supplier entity</t>
        </is>
      </c>
      <c r="C33" s="8" t="inlineStr">
        <is>
          <t>DME</t>
        </is>
      </c>
      <c r="D33" s="8" t="inlineStr">
        <is>
          <t>Advanced Spine and Pain LLC DME - Goodyear</t>
        </is>
      </c>
      <c r="E33" s="10" t="n">
        <v>3</v>
      </c>
    </row>
    <row r="34">
      <c r="A34" s="23" t="inlineStr">
        <is>
          <t>TERRILL, STEPHANIE</t>
        </is>
      </c>
      <c r="B34" s="8" t="inlineStr">
        <is>
          <t>Individual provider</t>
        </is>
      </c>
      <c r="C34" s="8" t="inlineStr">
        <is>
          <t>DME</t>
        </is>
      </c>
      <c r="D34" s="8" t="inlineStr">
        <is>
          <t>ASAP - Gilbert</t>
        </is>
      </c>
      <c r="E34" s="10" t="n">
        <v>3</v>
      </c>
    </row>
    <row r="35">
      <c r="A35" s="23" t="inlineStr">
        <is>
          <t>Advanced Spine and Pain LLC DME MSA</t>
        </is>
      </c>
      <c r="B35" s="8" t="inlineStr">
        <is>
          <t>DME supplier entity</t>
        </is>
      </c>
      <c r="C35" s="8" t="inlineStr">
        <is>
          <t>DME</t>
        </is>
      </c>
      <c r="D35" s="8" t="inlineStr">
        <is>
          <t>Advanced Spine and Pain LLC DME - Mesa</t>
        </is>
      </c>
      <c r="E35" s="10" t="n">
        <v>2</v>
      </c>
    </row>
    <row r="36">
      <c r="A36" s="23" t="inlineStr">
        <is>
          <t>Arshad, Jawad</t>
        </is>
      </c>
      <c r="B36" s="8" t="inlineStr">
        <is>
          <t>Individual provider</t>
        </is>
      </c>
      <c r="C36" s="8" t="inlineStr">
        <is>
          <t>DME</t>
        </is>
      </c>
      <c r="D36" s="8" t="inlineStr">
        <is>
          <t>ASAP - Mesa</t>
        </is>
      </c>
      <c r="E36" s="10" t="n">
        <v>2</v>
      </c>
    </row>
    <row r="37">
      <c r="A37" s="23" t="inlineStr">
        <is>
          <t>Van Dyke, Sandra</t>
        </is>
      </c>
      <c r="B37" s="8" t="inlineStr">
        <is>
          <t>Individual provider</t>
        </is>
      </c>
      <c r="C37" s="8" t="inlineStr">
        <is>
          <t>DME</t>
        </is>
      </c>
      <c r="D37" s="8" t="inlineStr">
        <is>
          <t>ASAP - Gilbert</t>
        </is>
      </c>
      <c r="E37" s="10" t="n">
        <v>2</v>
      </c>
    </row>
    <row r="38">
      <c r="A38" s="23" t="inlineStr">
        <is>
          <t>DYDYK, ALEXANDER</t>
        </is>
      </c>
      <c r="B38" s="8" t="inlineStr">
        <is>
          <t>Individual provider</t>
        </is>
      </c>
      <c r="C38" s="8" t="inlineStr">
        <is>
          <t>DME</t>
        </is>
      </c>
      <c r="D38" s="8" t="inlineStr">
        <is>
          <t>ASAP - DEER VALLEY</t>
        </is>
      </c>
      <c r="E38" s="10" t="n">
        <v>1</v>
      </c>
    </row>
    <row r="39">
      <c r="A39" s="23" t="inlineStr">
        <is>
          <t>MARTINEZ, DIANA</t>
        </is>
      </c>
      <c r="B39" s="8" t="inlineStr">
        <is>
          <t>Individual provider</t>
        </is>
      </c>
      <c r="C39" s="8" t="inlineStr">
        <is>
          <t>DME</t>
        </is>
      </c>
      <c r="D39" s="8" t="inlineStr">
        <is>
          <t>ASAP - DEER VALLEY</t>
        </is>
      </c>
      <c r="E39" s="10" t="n">
        <v>1</v>
      </c>
    </row>
    <row r="40">
      <c r="A40" s="23" t="inlineStr">
        <is>
          <t>WONG, KELLY</t>
        </is>
      </c>
      <c r="B40" s="8" t="inlineStr">
        <is>
          <t>Individual provider</t>
        </is>
      </c>
      <c r="C40" s="8" t="inlineStr">
        <is>
          <t>DME</t>
        </is>
      </c>
      <c r="D40" s="8" t="inlineStr">
        <is>
          <t>ASAP - Mesa</t>
        </is>
      </c>
      <c r="E40" s="10" t="n">
        <v>1</v>
      </c>
    </row>
    <row r="42">
      <c r="A42" s="18" t="inlineStr">
        <is>
          <t>Total</t>
        </is>
      </c>
      <c r="B42" s="18" t="str">
        <f>COUNTA(A5:A40)&amp;" providers"</f>
        <v>36 providers</v>
      </c>
      <c r="C42" s="17" t="inlineStr"/>
      <c r="D42" s="17" t="inlineStr"/>
      <c r="E42" s="19">
        <f>SUM(E5:E40)</f>
        <v>1086</v>
      </c>
    </row>
  </sheetData>
  <autoFilter ref="A4:E40"/>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E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26" customWidth="1" min="2" max="2"/>
    <col width="20" customWidth="1" min="3" max="3"/>
    <col width="11" customWidth="1" min="4" max="4"/>
    <col width="13" customWidth="1" min="5" max="5"/>
  </cols>
  <sheetData>
    <row r="1">
      <c r="A1" s="1" t="inlineStr">
        <is>
          <t>Locations I work with</t>
        </is>
      </c>
    </row>
    <row r="2">
      <c r="A2" s="2" t="inlineStr">
        <is>
          <t>Service locations on the claims I work, as their names appear in the practice system.</t>
        </is>
      </c>
    </row>
    <row r="4" ht="30" customHeight="1">
      <c r="A4" s="5" t="inlineStr">
        <is>
          <t>Location Name</t>
        </is>
      </c>
      <c r="B4" s="5" t="inlineStr">
        <is>
          <t>Type</t>
        </is>
      </c>
      <c r="C4" s="5" t="inlineStr">
        <is>
          <t>Specialties</t>
        </is>
      </c>
      <c r="D4" s="5" t="inlineStr">
        <is>
          <t>Providers</t>
        </is>
      </c>
      <c r="E4" s="5" t="inlineStr">
        <is>
          <t>Claim lines 2026 S1</t>
        </is>
      </c>
    </row>
    <row r="5">
      <c r="A5" s="7" t="inlineStr">
        <is>
          <t>ASAP Surgery Centers North Valley LLC</t>
        </is>
      </c>
      <c r="B5" s="8" t="inlineStr">
        <is>
          <t>Surgery / procedure center</t>
        </is>
      </c>
      <c r="C5" s="8" t="inlineStr">
        <is>
          <t>GAE, ORTHO</t>
        </is>
      </c>
      <c r="D5" s="10" t="n">
        <v>12</v>
      </c>
      <c r="E5" s="10" t="n">
        <v>256</v>
      </c>
    </row>
    <row r="6">
      <c r="A6" s="7" t="inlineStr">
        <is>
          <t>ASAP - DEER VALLEY</t>
        </is>
      </c>
      <c r="B6" s="8" t="inlineStr">
        <is>
          <t>Clinic</t>
        </is>
      </c>
      <c r="C6" s="8" t="inlineStr">
        <is>
          <t>BH, GAE, US, ORTHO, DME</t>
        </is>
      </c>
      <c r="D6" s="10" t="n">
        <v>16</v>
      </c>
      <c r="E6" s="10" t="n">
        <v>193</v>
      </c>
    </row>
    <row r="7">
      <c r="A7" s="7" t="inlineStr">
        <is>
          <t>ASAP - Gilbert</t>
        </is>
      </c>
      <c r="B7" s="8" t="inlineStr">
        <is>
          <t>Clinic</t>
        </is>
      </c>
      <c r="C7" s="8" t="inlineStr">
        <is>
          <t>BH, GAE, US, DME</t>
        </is>
      </c>
      <c r="D7" s="10" t="n">
        <v>16</v>
      </c>
      <c r="E7" s="10" t="n">
        <v>189</v>
      </c>
    </row>
    <row r="8">
      <c r="A8" s="7" t="inlineStr">
        <is>
          <t>Premier Endoscopy Center, LLC</t>
        </is>
      </c>
      <c r="B8" s="8" t="inlineStr">
        <is>
          <t>Surgery / procedure center</t>
        </is>
      </c>
      <c r="C8" s="8" t="inlineStr">
        <is>
          <t>GAE, ORTHO</t>
        </is>
      </c>
      <c r="D8" s="10" t="n">
        <v>4</v>
      </c>
      <c r="E8" s="10" t="n">
        <v>123</v>
      </c>
    </row>
    <row r="9">
      <c r="A9" s="7" t="inlineStr">
        <is>
          <t>ASAP Peoria</t>
        </is>
      </c>
      <c r="B9" s="8" t="inlineStr">
        <is>
          <t>Clinic</t>
        </is>
      </c>
      <c r="C9" s="8" t="inlineStr">
        <is>
          <t>BH, DME</t>
        </is>
      </c>
      <c r="D9" s="10" t="n">
        <v>14</v>
      </c>
      <c r="E9" s="10" t="n">
        <v>85</v>
      </c>
    </row>
    <row r="10">
      <c r="A10" s="7" t="inlineStr">
        <is>
          <t>ASAP - Surprise - Reems</t>
        </is>
      </c>
      <c r="B10" s="8" t="inlineStr">
        <is>
          <t>Clinic</t>
        </is>
      </c>
      <c r="C10" s="8" t="inlineStr">
        <is>
          <t>BH, US, DME</t>
        </is>
      </c>
      <c r="D10" s="10" t="n">
        <v>7</v>
      </c>
      <c r="E10" s="10" t="n">
        <v>60</v>
      </c>
    </row>
    <row r="11">
      <c r="A11" s="7" t="inlineStr">
        <is>
          <t>ASAP - DEER VALLEY 240</t>
        </is>
      </c>
      <c r="B11" s="8" t="inlineStr">
        <is>
          <t>Clinic</t>
        </is>
      </c>
      <c r="C11" s="8" t="inlineStr">
        <is>
          <t>US</t>
        </is>
      </c>
      <c r="D11" s="10" t="n">
        <v>1</v>
      </c>
      <c r="E11" s="10" t="n">
        <v>46</v>
      </c>
    </row>
    <row r="12">
      <c r="A12" s="7" t="inlineStr">
        <is>
          <t>Advanced Spine and Pain LLC DME - Surprise Reems</t>
        </is>
      </c>
      <c r="B12" s="8" t="inlineStr">
        <is>
          <t>DME location</t>
        </is>
      </c>
      <c r="C12" s="8" t="inlineStr">
        <is>
          <t>DME</t>
        </is>
      </c>
      <c r="D12" s="10" t="n">
        <v>2</v>
      </c>
      <c r="E12" s="10" t="n">
        <v>22</v>
      </c>
    </row>
    <row r="13">
      <c r="A13" s="7" t="inlineStr">
        <is>
          <t>Banner Desert Medical Center</t>
        </is>
      </c>
      <c r="B13" s="8" t="inlineStr">
        <is>
          <t>Hospital</t>
        </is>
      </c>
      <c r="C13" s="8" t="inlineStr">
        <is>
          <t>ORTHO</t>
        </is>
      </c>
      <c r="D13" s="10" t="n">
        <v>1</v>
      </c>
      <c r="E13" s="10" t="n">
        <v>18</v>
      </c>
    </row>
    <row r="14">
      <c r="A14" s="7" t="inlineStr">
        <is>
          <t>Advanced Spine and Pain LLC DME - Greenway</t>
        </is>
      </c>
      <c r="B14" s="8" t="inlineStr">
        <is>
          <t>DME location</t>
        </is>
      </c>
      <c r="C14" s="8" t="inlineStr">
        <is>
          <t>DME</t>
        </is>
      </c>
      <c r="D14" s="10" t="n">
        <v>1</v>
      </c>
      <c r="E14" s="10" t="n">
        <v>16</v>
      </c>
    </row>
    <row r="15">
      <c r="A15" s="7" t="inlineStr">
        <is>
          <t>ASAP - Avondale</t>
        </is>
      </c>
      <c r="B15" s="8" t="inlineStr">
        <is>
          <t>Clinic</t>
        </is>
      </c>
      <c r="C15" s="8" t="inlineStr">
        <is>
          <t>BH</t>
        </is>
      </c>
      <c r="D15" s="10" t="n">
        <v>3</v>
      </c>
      <c r="E15" s="10" t="n">
        <v>15</v>
      </c>
    </row>
    <row r="16">
      <c r="A16" s="7" t="inlineStr">
        <is>
          <t>ASAP - Goodyear</t>
        </is>
      </c>
      <c r="B16" s="8" t="inlineStr">
        <is>
          <t>Clinic</t>
        </is>
      </c>
      <c r="C16" s="8" t="inlineStr">
        <is>
          <t>BH, DME</t>
        </is>
      </c>
      <c r="D16" s="10" t="n">
        <v>3</v>
      </c>
      <c r="E16" s="10" t="n">
        <v>12</v>
      </c>
    </row>
    <row r="17">
      <c r="A17" s="7" t="inlineStr">
        <is>
          <t>ASAP - Mesa</t>
        </is>
      </c>
      <c r="B17" s="8" t="inlineStr">
        <is>
          <t>Clinic</t>
        </is>
      </c>
      <c r="C17" s="8" t="inlineStr">
        <is>
          <t>DME</t>
        </is>
      </c>
      <c r="D17" s="10" t="n">
        <v>5</v>
      </c>
      <c r="E17" s="10" t="n">
        <v>11</v>
      </c>
    </row>
    <row r="18">
      <c r="A18" s="7" t="inlineStr">
        <is>
          <t>Advanced Spine and Pain LLC DME - Peoria</t>
        </is>
      </c>
      <c r="B18" s="8" t="inlineStr">
        <is>
          <t>DME location</t>
        </is>
      </c>
      <c r="C18" s="8" t="inlineStr">
        <is>
          <t>DME</t>
        </is>
      </c>
      <c r="D18" s="10" t="n">
        <v>2</v>
      </c>
      <c r="E18" s="10" t="n">
        <v>11</v>
      </c>
    </row>
    <row r="19">
      <c r="A19" s="7" t="inlineStr">
        <is>
          <t>Advanced Spine and Pain LLC DME - Gilbert</t>
        </is>
      </c>
      <c r="B19" s="8" t="inlineStr">
        <is>
          <t>DME location</t>
        </is>
      </c>
      <c r="C19" s="8" t="inlineStr">
        <is>
          <t>DME</t>
        </is>
      </c>
      <c r="D19" s="10" t="n">
        <v>2</v>
      </c>
      <c r="E19" s="10" t="n">
        <v>9</v>
      </c>
    </row>
    <row r="20">
      <c r="A20" s="7" t="inlineStr">
        <is>
          <t>ASAP - Tucson</t>
        </is>
      </c>
      <c r="B20" s="8" t="inlineStr">
        <is>
          <t>Clinic</t>
        </is>
      </c>
      <c r="C20" s="8" t="inlineStr">
        <is>
          <t>BH</t>
        </is>
      </c>
      <c r="D20" s="10" t="n">
        <v>1</v>
      </c>
      <c r="E20" s="10" t="n">
        <v>7</v>
      </c>
    </row>
    <row r="21">
      <c r="A21" s="7" t="inlineStr">
        <is>
          <t>ASAP - Biltmore</t>
        </is>
      </c>
      <c r="B21" s="8" t="inlineStr">
        <is>
          <t>Clinic</t>
        </is>
      </c>
      <c r="C21" s="8" t="inlineStr">
        <is>
          <t>BH, DME</t>
        </is>
      </c>
      <c r="D21" s="10" t="n">
        <v>2</v>
      </c>
      <c r="E21" s="10" t="n">
        <v>3</v>
      </c>
    </row>
    <row r="22">
      <c r="A22" s="7" t="inlineStr">
        <is>
          <t>Advanced Spine and Pain LLC DME - Goodyear</t>
        </is>
      </c>
      <c r="B22" s="8" t="inlineStr">
        <is>
          <t>DME location</t>
        </is>
      </c>
      <c r="C22" s="8" t="inlineStr">
        <is>
          <t>DME</t>
        </is>
      </c>
      <c r="D22" s="10" t="n">
        <v>1</v>
      </c>
      <c r="E22" s="10" t="n">
        <v>3</v>
      </c>
    </row>
    <row r="23">
      <c r="A23" s="7" t="inlineStr">
        <is>
          <t>ASAP Prescott Valley</t>
        </is>
      </c>
      <c r="B23" s="8" t="inlineStr">
        <is>
          <t>Clinic</t>
        </is>
      </c>
      <c r="C23" s="8" t="inlineStr">
        <is>
          <t>DME</t>
        </is>
      </c>
      <c r="D23" s="10" t="n">
        <v>2</v>
      </c>
      <c r="E23" s="10" t="n">
        <v>2</v>
      </c>
    </row>
    <row r="24">
      <c r="A24" s="7" t="inlineStr">
        <is>
          <t>Advanced Spine and Pain LLC DME - Mesa</t>
        </is>
      </c>
      <c r="B24" s="8" t="inlineStr">
        <is>
          <t>DME location</t>
        </is>
      </c>
      <c r="C24" s="8" t="inlineStr">
        <is>
          <t>DME</t>
        </is>
      </c>
      <c r="D24" s="10" t="n">
        <v>1</v>
      </c>
      <c r="E24" s="10" t="n">
        <v>2</v>
      </c>
    </row>
    <row r="25">
      <c r="A25" s="7" t="inlineStr">
        <is>
          <t>Honor Health Deer Valley Medical Center</t>
        </is>
      </c>
      <c r="B25" s="8" t="inlineStr">
        <is>
          <t>Hospital</t>
        </is>
      </c>
      <c r="C25" s="8" t="inlineStr">
        <is>
          <t>ORTHO</t>
        </is>
      </c>
      <c r="D25" s="10" t="n">
        <v>1</v>
      </c>
      <c r="E25" s="10" t="n">
        <v>2</v>
      </c>
    </row>
    <row r="26">
      <c r="A26" s="7" t="inlineStr">
        <is>
          <t>ASAP Sun City</t>
        </is>
      </c>
      <c r="B26" s="8" t="inlineStr">
        <is>
          <t>Clinic</t>
        </is>
      </c>
      <c r="C26" s="8" t="inlineStr">
        <is>
          <t>DME</t>
        </is>
      </c>
      <c r="D26" s="10" t="n">
        <v>1</v>
      </c>
      <c r="E26" s="10" t="n">
        <v>1</v>
      </c>
    </row>
    <row r="28">
      <c r="A28" s="18" t="inlineStr">
        <is>
          <t>Total</t>
        </is>
      </c>
      <c r="B28" s="18" t="str">
        <f>COUNTA(A5:A26)&amp;" locations"</f>
        <v>22 locations</v>
      </c>
      <c r="C28" s="17" t="inlineStr"/>
      <c r="D28" s="17" t="inlineStr"/>
      <c r="E28" s="19">
        <f>SUM(E5:E26)</f>
        <v>1086</v>
      </c>
    </row>
  </sheetData>
  <autoFilter ref="A4:E26"/>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I9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26" customWidth="1" min="2" max="2"/>
    <col width="10" customWidth="1" min="3" max="3"/>
    <col width="11" customWidth="1" min="4" max="4"/>
    <col width="12" customWidth="1" min="5" max="5"/>
    <col width="18" customWidth="1" min="6" max="6"/>
    <col width="32" customWidth="1" min="7" max="7"/>
    <col width="40" customWidth="1" min="8" max="8"/>
    <col width="8" customWidth="1" min="9" max="9"/>
  </cols>
  <sheetData>
    <row r="1">
      <c r="A1" s="1" t="inlineStr">
        <is>
          <t>Payers I work with</t>
        </is>
      </c>
    </row>
    <row r="2">
      <c r="A2" s="2" t="inlineStr">
        <is>
          <t>Every payer that appears on my claims as primary, secondary or responsible payer, with the timely filing carrier it maps to.</t>
        </is>
      </c>
    </row>
    <row r="4" ht="30" customHeight="1">
      <c r="A4" s="5" t="inlineStr">
        <is>
          <t>Payer Name (as in the practice system)</t>
        </is>
      </c>
      <c r="B4" s="5" t="inlineStr">
        <is>
          <t>Appears as</t>
        </is>
      </c>
      <c r="C4" s="5" t="inlineStr">
        <is>
          <t>As primary</t>
        </is>
      </c>
      <c r="D4" s="5" t="inlineStr">
        <is>
          <t>As secondary</t>
        </is>
      </c>
      <c r="E4" s="5" t="inlineStr">
        <is>
          <t>As responsible payer</t>
        </is>
      </c>
      <c r="F4" s="5" t="inlineStr">
        <is>
          <t>Specialties</t>
        </is>
      </c>
      <c r="G4" s="5" t="inlineStr">
        <is>
          <t>Timely filing carrier</t>
        </is>
      </c>
      <c r="H4" s="5" t="inlineStr">
        <is>
          <t>Timely filing limit</t>
        </is>
      </c>
      <c r="I4" s="5" t="inlineStr">
        <is>
          <t>Days</t>
        </is>
      </c>
    </row>
    <row r="5">
      <c r="A5" s="7" t="inlineStr">
        <is>
          <t>Medicare Part B Arizona *</t>
        </is>
      </c>
      <c r="B5" s="8" t="str">
        <f>SUBSTITUTE(TRIM(IF(C5&gt;0,"Primary ","")&amp;IF(D5&gt;0,"Secondary ","")&amp;IF(E5&gt;0,"Responsible",""))," "," / ")</f>
        <v>Primary / Secondary / Responsible</v>
      </c>
      <c r="C5" s="10" t="n">
        <v>246</v>
      </c>
      <c r="D5" s="10" t="n">
        <v>7</v>
      </c>
      <c r="E5" s="10" t="n">
        <v>137</v>
      </c>
      <c r="F5" s="8" t="inlineStr">
        <is>
          <t>BH, GAE, US, ORTHO</t>
        </is>
      </c>
      <c r="G5" s="8" t="inlineStr">
        <is>
          <t>MEDICARE</t>
        </is>
      </c>
      <c r="H5" s="8" t="inlineStr">
        <is>
          <t>1 year</t>
        </is>
      </c>
      <c r="I5" s="9" t="n">
        <v>365</v>
      </c>
    </row>
    <row r="6">
      <c r="A6" s="7" t="inlineStr">
        <is>
          <t>UnitedHealthcare Community Plan / Arizona Long Term Care</t>
        </is>
      </c>
      <c r="B6" s="8" t="str">
        <f>SUBSTITUTE(TRIM(IF(C6&gt;0,"Primary ","")&amp;IF(D6&gt;0,"Secondary ","")&amp;IF(E6&gt;0,"Responsible",""))," "," / ")</f>
        <v>Primary / Secondary / Responsible</v>
      </c>
      <c r="C6" s="10" t="n">
        <v>104</v>
      </c>
      <c r="D6" s="10" t="n">
        <v>34</v>
      </c>
      <c r="E6" s="10" t="n">
        <v>107</v>
      </c>
      <c r="F6" s="8" t="inlineStr">
        <is>
          <t>BH, GAE, US, ORTHO, DME</t>
        </is>
      </c>
      <c r="G6" s="8" t="inlineStr">
        <is>
          <t>UHC COMMUNITY</t>
        </is>
      </c>
      <c r="H6" s="8" t="inlineStr">
        <is>
          <t>90 days</t>
        </is>
      </c>
      <c r="I6" s="9" t="n">
        <v>90</v>
      </c>
    </row>
    <row r="7">
      <c r="A7" s="7" t="inlineStr">
        <is>
          <t>Blue Cross Blue Shield of Arizona (BCBS AZ)</t>
        </is>
      </c>
      <c r="B7" s="8" t="str">
        <f>SUBSTITUTE(TRIM(IF(C7&gt;0,"Primary ","")&amp;IF(D7&gt;0,"Secondary ","")&amp;IF(E7&gt;0,"Responsible",""))," "," / ")</f>
        <v>Primary / Secondary / Responsible</v>
      </c>
      <c r="C7" s="10" t="n">
        <v>95</v>
      </c>
      <c r="D7" s="10" t="n">
        <v>74</v>
      </c>
      <c r="E7" s="10" t="n">
        <v>120</v>
      </c>
      <c r="F7" s="8" t="inlineStr">
        <is>
          <t>BH, GAE, US, ORTHO, DME</t>
        </is>
      </c>
      <c r="G7" s="8" t="inlineStr">
        <is>
          <t>BCBS</t>
        </is>
      </c>
      <c r="H7" s="8" t="inlineStr">
        <is>
          <t>365 days from DOS; 90 days as of 1/1/2026</t>
        </is>
      </c>
      <c r="I7" s="9" t="n">
        <v>90</v>
      </c>
    </row>
    <row r="8">
      <c r="A8" s="7" t="inlineStr">
        <is>
          <t>Optum Care Medical Network of Arizona, Utah, &amp; Washington (LifePrint)</t>
        </is>
      </c>
      <c r="B8" s="8" t="str">
        <f>SUBSTITUTE(TRIM(IF(C8&gt;0,"Primary ","")&amp;IF(D8&gt;0,"Secondary ","")&amp;IF(E8&gt;0,"Responsible",""))," "," / ")</f>
        <v>Primary / Responsible</v>
      </c>
      <c r="C8" s="10" t="n">
        <v>65</v>
      </c>
      <c r="D8" s="10" t="n">
        <v>0</v>
      </c>
      <c r="E8" s="10" t="n">
        <v>64</v>
      </c>
      <c r="F8" s="8" t="inlineStr">
        <is>
          <t>BH, GAE, US, ORTHO, DME</t>
        </is>
      </c>
      <c r="G8" s="8" t="inlineStr">
        <is>
          <t>OPTUM</t>
        </is>
      </c>
      <c r="H8" s="8" t="inlineStr">
        <is>
          <t>90 days</t>
        </is>
      </c>
      <c r="I8" s="9" t="n">
        <v>90</v>
      </c>
    </row>
    <row r="9">
      <c r="A9" s="7" t="inlineStr">
        <is>
          <t>DME Region D</t>
        </is>
      </c>
      <c r="B9" s="8" t="str">
        <f>SUBSTITUTE(TRIM(IF(C9&gt;0,"Primary ","")&amp;IF(D9&gt;0,"Secondary ","")&amp;IF(E9&gt;0,"Responsible",""))," "," / ")</f>
        <v>Primary / Secondary / Responsible</v>
      </c>
      <c r="C9" s="10" t="n">
        <v>62</v>
      </c>
      <c r="D9" s="10" t="n">
        <v>1</v>
      </c>
      <c r="E9" s="10" t="n">
        <v>45</v>
      </c>
      <c r="F9" s="8" t="inlineStr">
        <is>
          <t>DME</t>
        </is>
      </c>
      <c r="G9" s="8" t="inlineStr">
        <is>
          <t>MEDICARE</t>
        </is>
      </c>
      <c r="H9" s="8" t="inlineStr">
        <is>
          <t>1 year</t>
        </is>
      </c>
      <c r="I9" s="9" t="n">
        <v>365</v>
      </c>
    </row>
    <row r="10">
      <c r="A10" s="7" t="inlineStr">
        <is>
          <t>United Healthcare</t>
        </is>
      </c>
      <c r="B10" s="8" t="str">
        <f>SUBSTITUTE(TRIM(IF(C10&gt;0,"Primary ","")&amp;IF(D10&gt;0,"Secondary ","")&amp;IF(E10&gt;0,"Responsible",""))," "," / ")</f>
        <v>Primary / Secondary / Responsible</v>
      </c>
      <c r="C10" s="10" t="n">
        <v>60</v>
      </c>
      <c r="D10" s="10" t="n">
        <v>10</v>
      </c>
      <c r="E10" s="10" t="n">
        <v>62</v>
      </c>
      <c r="F10" s="8" t="inlineStr">
        <is>
          <t>BH, US, ORTHO, DME</t>
        </is>
      </c>
      <c r="G10" s="8" t="inlineStr">
        <is>
          <t>UHC COMMERCIAL</t>
        </is>
      </c>
      <c r="H10" s="8" t="inlineStr">
        <is>
          <t>90 days</t>
        </is>
      </c>
      <c r="I10" s="9" t="n">
        <v>90</v>
      </c>
    </row>
    <row r="11">
      <c r="A11" s="7" t="inlineStr">
        <is>
          <t>AARP United Healthcare</t>
        </is>
      </c>
      <c r="B11" s="8" t="str">
        <f>SUBSTITUTE(TRIM(IF(C11&gt;0,"Primary ","")&amp;IF(D11&gt;0,"Secondary ","")&amp;IF(E11&gt;0,"Responsible",""))," "," / ")</f>
        <v>Secondary / Responsible</v>
      </c>
      <c r="C11" s="10" t="n">
        <v>0</v>
      </c>
      <c r="D11" s="10" t="n">
        <v>56</v>
      </c>
      <c r="E11" s="10" t="n">
        <v>18</v>
      </c>
      <c r="F11" s="8" t="inlineStr">
        <is>
          <t>BH, GAE, US, ORTHO, DME</t>
        </is>
      </c>
      <c r="G11" s="8" t="inlineStr">
        <is>
          <t>AARP MA CHOICE / MEDICARE COMPLETE</t>
        </is>
      </c>
      <c r="H11" s="8" t="inlineStr">
        <is>
          <t>Not documented</t>
        </is>
      </c>
      <c r="I11" s="9" t="inlineStr">
        <is>
          <t>-</t>
        </is>
      </c>
    </row>
    <row r="12">
      <c r="A12" s="7" t="inlineStr">
        <is>
          <t>Humana Gold Plus HMO</t>
        </is>
      </c>
      <c r="B12" s="8" t="str">
        <f>SUBSTITUTE(TRIM(IF(C12&gt;0,"Primary ","")&amp;IF(D12&gt;0,"Secondary ","")&amp;IF(E12&gt;0,"Responsible",""))," "," / ")</f>
        <v>Primary / Responsible</v>
      </c>
      <c r="C12" s="10" t="n">
        <v>49</v>
      </c>
      <c r="D12" s="10" t="n">
        <v>0</v>
      </c>
      <c r="E12" s="10" t="n">
        <v>47</v>
      </c>
      <c r="F12" s="8" t="inlineStr">
        <is>
          <t>BH, GAE, US, ORTHO, DME</t>
        </is>
      </c>
      <c r="G12" s="8" t="inlineStr">
        <is>
          <t>HUMANA MA</t>
        </is>
      </c>
      <c r="H12" s="8" t="inlineStr">
        <is>
          <t>180 days from DOS (physicians); 90 days from DOS (ancillary providers)</t>
        </is>
      </c>
      <c r="I12" s="9" t="n">
        <v>90</v>
      </c>
    </row>
    <row r="13">
      <c r="A13" s="7" t="inlineStr">
        <is>
          <t>UHC Group Medicare Advantage</t>
        </is>
      </c>
      <c r="B13" s="8" t="str">
        <f>SUBSTITUTE(TRIM(IF(C13&gt;0,"Primary ","")&amp;IF(D13&gt;0,"Secondary ","")&amp;IF(E13&gt;0,"Responsible",""))," "," / ")</f>
        <v>Primary / Responsible</v>
      </c>
      <c r="C13" s="10" t="n">
        <v>36</v>
      </c>
      <c r="D13" s="10" t="n">
        <v>0</v>
      </c>
      <c r="E13" s="10" t="n">
        <v>36</v>
      </c>
      <c r="F13" s="8" t="inlineStr">
        <is>
          <t>BH, GAE, US, ORTHO, DME</t>
        </is>
      </c>
      <c r="G13" s="8" t="inlineStr">
        <is>
          <t>UHC MA</t>
        </is>
      </c>
      <c r="H13" s="8" t="inlineStr">
        <is>
          <t>90 days</t>
        </is>
      </c>
      <c r="I13" s="9" t="n">
        <v>90</v>
      </c>
    </row>
    <row r="14">
      <c r="A14" s="7" t="inlineStr">
        <is>
          <t>Aetna Legacy</t>
        </is>
      </c>
      <c r="B14" s="8" t="str">
        <f>SUBSTITUTE(TRIM(IF(C14&gt;0,"Primary ","")&amp;IF(D14&gt;0,"Secondary ","")&amp;IF(E14&gt;0,"Responsible",""))," "," / ")</f>
        <v>Primary / Secondary / Responsible</v>
      </c>
      <c r="C14" s="10" t="n">
        <v>31</v>
      </c>
      <c r="D14" s="10" t="n">
        <v>13</v>
      </c>
      <c r="E14" s="10" t="n">
        <v>40</v>
      </c>
      <c r="F14" s="8" t="inlineStr">
        <is>
          <t>BH, GAE, US, ORTHO</t>
        </is>
      </c>
      <c r="G14" s="8" t="inlineStr">
        <is>
          <t>AETNA</t>
        </is>
      </c>
      <c r="H14" s="8" t="inlineStr">
        <is>
          <t>120 days per contract</t>
        </is>
      </c>
      <c r="I14" s="9" t="n">
        <v>120</v>
      </c>
    </row>
    <row r="15">
      <c r="A15" s="7" t="inlineStr">
        <is>
          <t>United HealthCare Dual Complete</t>
        </is>
      </c>
      <c r="B15" s="8" t="str">
        <f>SUBSTITUTE(TRIM(IF(C15&gt;0,"Primary ","")&amp;IF(D15&gt;0,"Secondary ","")&amp;IF(E15&gt;0,"Responsible",""))," "," / ")</f>
        <v>Primary / Secondary / Responsible</v>
      </c>
      <c r="C15" s="10" t="n">
        <v>30</v>
      </c>
      <c r="D15" s="10" t="n">
        <v>3</v>
      </c>
      <c r="E15" s="10" t="n">
        <v>30</v>
      </c>
      <c r="F15" s="8" t="inlineStr">
        <is>
          <t>BH, GAE, US</t>
        </is>
      </c>
      <c r="G15" s="8" t="inlineStr">
        <is>
          <t>UHC DUAL COMPLETE</t>
        </is>
      </c>
      <c r="H15" s="8" t="inlineStr">
        <is>
          <t>365 days</t>
        </is>
      </c>
      <c r="I15" s="9" t="n">
        <v>365</v>
      </c>
    </row>
    <row r="16">
      <c r="A16" s="7" t="inlineStr">
        <is>
          <t>HealthSpring Medicare Advantage</t>
        </is>
      </c>
      <c r="B16" s="8" t="str">
        <f>SUBSTITUTE(TRIM(IF(C16&gt;0,"Primary ","")&amp;IF(D16&gt;0,"Secondary ","")&amp;IF(E16&gt;0,"Responsible",""))," "," / ")</f>
        <v>Primary / Responsible</v>
      </c>
      <c r="C16" s="10" t="n">
        <v>28</v>
      </c>
      <c r="D16" s="10" t="n">
        <v>0</v>
      </c>
      <c r="E16" s="10" t="n">
        <v>28</v>
      </c>
      <c r="F16" s="8" t="inlineStr">
        <is>
          <t>GAE, US, ORTHO, DME</t>
        </is>
      </c>
      <c r="G16" s="8" t="inlineStr">
        <is>
          <t>CIGNA / CIGNA MEDICARE</t>
        </is>
      </c>
      <c r="H16" s="8" t="inlineStr">
        <is>
          <t>90 days from DOS</t>
        </is>
      </c>
      <c r="I16" s="9" t="n">
        <v>90</v>
      </c>
    </row>
    <row r="17">
      <c r="A17" s="7" t="inlineStr">
        <is>
          <t>Alignment Health Care</t>
        </is>
      </c>
      <c r="B17" s="8" t="str">
        <f>SUBSTITUTE(TRIM(IF(C17&gt;0,"Primary ","")&amp;IF(D17&gt;0,"Secondary ","")&amp;IF(E17&gt;0,"Responsible",""))," "," / ")</f>
        <v>Primary / Responsible</v>
      </c>
      <c r="C17" s="10" t="n">
        <v>26</v>
      </c>
      <c r="D17" s="10" t="n">
        <v>0</v>
      </c>
      <c r="E17" s="10" t="n">
        <v>26</v>
      </c>
      <c r="F17" s="8" t="inlineStr">
        <is>
          <t>BH, GAE, ORTHO, DME</t>
        </is>
      </c>
      <c r="G17" s="16" t="inlineStr">
        <is>
          <t>Not mapped</t>
        </is>
      </c>
      <c r="H17" s="16" t="inlineStr">
        <is>
          <t>No limit on file - needs research</t>
        </is>
      </c>
      <c r="I17" s="24" t="inlineStr">
        <is>
          <t>-</t>
        </is>
      </c>
    </row>
    <row r="18">
      <c r="A18" s="7" t="inlineStr">
        <is>
          <t>Mercy Care Plan (AHCCCS) - Complete Care &amp; Long Term Care (LTC)</t>
        </is>
      </c>
      <c r="B18" s="8" t="str">
        <f>SUBSTITUTE(TRIM(IF(C18&gt;0,"Primary ","")&amp;IF(D18&gt;0,"Secondary ","")&amp;IF(E18&gt;0,"Responsible",""))," "," / ")</f>
        <v>Primary / Secondary / Responsible</v>
      </c>
      <c r="C18" s="10" t="n">
        <v>17</v>
      </c>
      <c r="D18" s="10" t="n">
        <v>25</v>
      </c>
      <c r="E18" s="10" t="n">
        <v>21</v>
      </c>
      <c r="F18" s="8" t="inlineStr">
        <is>
          <t>BH, GAE, US, ORTHO, DME</t>
        </is>
      </c>
      <c r="G18" s="8" t="inlineStr">
        <is>
          <t>MERCY CARE MEDICAID</t>
        </is>
      </c>
      <c r="H18" s="8" t="inlineStr">
        <is>
          <t>180 days</t>
        </is>
      </c>
      <c r="I18" s="9" t="n">
        <v>180</v>
      </c>
    </row>
    <row r="19">
      <c r="A19" s="7" t="inlineStr">
        <is>
          <t>UMR Wausau / UHIS</t>
        </is>
      </c>
      <c r="B19" s="8" t="str">
        <f>SUBSTITUTE(TRIM(IF(C19&gt;0,"Primary ","")&amp;IF(D19&gt;0,"Secondary ","")&amp;IF(E19&gt;0,"Responsible",""))," "," / ")</f>
        <v>Primary / Responsible</v>
      </c>
      <c r="C19" s="10" t="n">
        <v>23</v>
      </c>
      <c r="D19" s="10" t="n">
        <v>0</v>
      </c>
      <c r="E19" s="10" t="n">
        <v>23</v>
      </c>
      <c r="F19" s="8" t="inlineStr">
        <is>
          <t>BH, GAE, US, ORTHO</t>
        </is>
      </c>
      <c r="G19" s="8" t="inlineStr">
        <is>
          <t>UMR / WAUSAU</t>
        </is>
      </c>
      <c r="H19" s="8" t="inlineStr">
        <is>
          <t>Not documented - third party administrator, the plan document sets the limit</t>
        </is>
      </c>
      <c r="I19" s="9" t="inlineStr">
        <is>
          <t>-</t>
        </is>
      </c>
    </row>
    <row r="20">
      <c r="A20" s="7" t="inlineStr">
        <is>
          <t>Gold Kidney Health Plan</t>
        </is>
      </c>
      <c r="B20" s="8" t="str">
        <f>SUBSTITUTE(TRIM(IF(C20&gt;0,"Primary ","")&amp;IF(D20&gt;0,"Secondary ","")&amp;IF(E20&gt;0,"Responsible",""))," "," / ")</f>
        <v>Primary / Responsible</v>
      </c>
      <c r="C20" s="10" t="n">
        <v>22</v>
      </c>
      <c r="D20" s="10" t="n">
        <v>0</v>
      </c>
      <c r="E20" s="10" t="n">
        <v>22</v>
      </c>
      <c r="F20" s="8" t="inlineStr">
        <is>
          <t>BH, GAE, ORTHO, DME</t>
        </is>
      </c>
      <c r="G20" s="16" t="inlineStr">
        <is>
          <t>Not mapped</t>
        </is>
      </c>
      <c r="H20" s="16" t="inlineStr">
        <is>
          <t>No limit on file - needs research</t>
        </is>
      </c>
      <c r="I20" s="24" t="inlineStr">
        <is>
          <t>-</t>
        </is>
      </c>
    </row>
    <row r="21">
      <c r="A21" s="7" t="inlineStr">
        <is>
          <t>Tricare for Life (All Regions)</t>
        </is>
      </c>
      <c r="B21" s="8" t="str">
        <f>SUBSTITUTE(TRIM(IF(C21&gt;0,"Primary ","")&amp;IF(D21&gt;0,"Secondary ","")&amp;IF(E21&gt;0,"Responsible",""))," "," / ")</f>
        <v>Primary / Secondary / Responsible</v>
      </c>
      <c r="C21" s="10" t="n">
        <v>2</v>
      </c>
      <c r="D21" s="10" t="n">
        <v>20</v>
      </c>
      <c r="E21" s="10" t="n">
        <v>9</v>
      </c>
      <c r="F21" s="8" t="inlineStr">
        <is>
          <t>BH, US, ORTHO, DME</t>
        </is>
      </c>
      <c r="G21" s="16" t="inlineStr">
        <is>
          <t>Not mapped</t>
        </is>
      </c>
      <c r="H21" s="16" t="inlineStr">
        <is>
          <t>No limit on file - needs research</t>
        </is>
      </c>
      <c r="I21" s="24" t="inlineStr">
        <is>
          <t>-</t>
        </is>
      </c>
    </row>
    <row r="22">
      <c r="A22" s="7" t="inlineStr">
        <is>
          <t>Banner Health &amp; Aetna Health Insurance Company</t>
        </is>
      </c>
      <c r="B22" s="8" t="str">
        <f>SUBSTITUTE(TRIM(IF(C22&gt;0,"Primary ","")&amp;IF(D22&gt;0,"Secondary ","")&amp;IF(E22&gt;0,"Responsible",""))," "," / ")</f>
        <v>Primary / Responsible</v>
      </c>
      <c r="C22" s="10" t="n">
        <v>19</v>
      </c>
      <c r="D22" s="10" t="n">
        <v>0</v>
      </c>
      <c r="E22" s="10" t="n">
        <v>19</v>
      </c>
      <c r="F22" s="8" t="inlineStr">
        <is>
          <t>BH, GAE, US, ORTHO</t>
        </is>
      </c>
      <c r="G22" s="8" t="inlineStr">
        <is>
          <t>BANNER HEALTH &amp; AETNA</t>
        </is>
      </c>
      <c r="H22" s="8" t="inlineStr">
        <is>
          <t>120 days</t>
        </is>
      </c>
      <c r="I22" s="9" t="n">
        <v>120</v>
      </c>
    </row>
    <row r="23">
      <c r="A23" s="7" t="inlineStr">
        <is>
          <t>Arizona Complete Health (Centene)</t>
        </is>
      </c>
      <c r="B23" s="8" t="str">
        <f>SUBSTITUTE(TRIM(IF(C23&gt;0,"Primary ","")&amp;IF(D23&gt;0,"Secondary ","")&amp;IF(E23&gt;0,"Responsible",""))," "," / ")</f>
        <v>Primary / Secondary / Responsible</v>
      </c>
      <c r="C23" s="10" t="n">
        <v>3</v>
      </c>
      <c r="D23" s="10" t="n">
        <v>17</v>
      </c>
      <c r="E23" s="10" t="n">
        <v>4</v>
      </c>
      <c r="F23" s="8" t="inlineStr">
        <is>
          <t>BH, GAE, US, ORTHO, DME</t>
        </is>
      </c>
      <c r="G23" s="8" t="inlineStr">
        <is>
          <t>AZ COMPLETE</t>
        </is>
      </c>
      <c r="H23" s="8" t="inlineStr">
        <is>
          <t>120 days</t>
        </is>
      </c>
      <c r="I23" s="9" t="n">
        <v>120</v>
      </c>
    </row>
    <row r="24">
      <c r="A24" s="7" t="inlineStr">
        <is>
          <t>Bankers Life Colonial Penn Life</t>
        </is>
      </c>
      <c r="B24" s="8" t="str">
        <f>SUBSTITUTE(TRIM(IF(C24&gt;0,"Primary ","")&amp;IF(D24&gt;0,"Secondary ","")&amp;IF(E24&gt;0,"Responsible",""))," "," / ")</f>
        <v>Secondary / Responsible</v>
      </c>
      <c r="C24" s="10" t="n">
        <v>0</v>
      </c>
      <c r="D24" s="10" t="n">
        <v>17</v>
      </c>
      <c r="E24" s="10" t="n">
        <v>11</v>
      </c>
      <c r="F24" s="8" t="inlineStr">
        <is>
          <t>BH, GAE, US, DME</t>
        </is>
      </c>
      <c r="G24" s="16" t="inlineStr">
        <is>
          <t>Not mapped</t>
        </is>
      </c>
      <c r="H24" s="16" t="inlineStr">
        <is>
          <t>No limit on file - needs research</t>
        </is>
      </c>
      <c r="I24" s="24" t="inlineStr">
        <is>
          <t>-</t>
        </is>
      </c>
    </row>
    <row r="25">
      <c r="A25" s="7" t="inlineStr">
        <is>
          <t>AARP MedicareComplete (SecureHorizons &amp; Oxford Network)</t>
        </is>
      </c>
      <c r="B25" s="8" t="str">
        <f>SUBSTITUTE(TRIM(IF(C25&gt;0,"Primary ","")&amp;IF(D25&gt;0,"Secondary ","")&amp;IF(E25&gt;0,"Responsible",""))," "," / ")</f>
        <v>Primary / Responsible</v>
      </c>
      <c r="C25" s="10" t="n">
        <v>15</v>
      </c>
      <c r="D25" s="10" t="n">
        <v>0</v>
      </c>
      <c r="E25" s="10" t="n">
        <v>15</v>
      </c>
      <c r="F25" s="8" t="inlineStr">
        <is>
          <t>BH, US, ORTHO, DME</t>
        </is>
      </c>
      <c r="G25" s="8" t="inlineStr">
        <is>
          <t>AARP MA CHOICE / MEDICARE COMPLETE</t>
        </is>
      </c>
      <c r="H25" s="8" t="inlineStr">
        <is>
          <t>Not documented</t>
        </is>
      </c>
      <c r="I25" s="9" t="inlineStr">
        <is>
          <t>-</t>
        </is>
      </c>
    </row>
    <row r="26">
      <c r="A26" s="7" t="inlineStr">
        <is>
          <t>Devoted Health Plan</t>
        </is>
      </c>
      <c r="B26" s="8" t="str">
        <f>SUBSTITUTE(TRIM(IF(C26&gt;0,"Primary ","")&amp;IF(D26&gt;0,"Secondary ","")&amp;IF(E26&gt;0,"Responsible",""))," "," / ")</f>
        <v>Primary / Responsible</v>
      </c>
      <c r="C26" s="10" t="n">
        <v>15</v>
      </c>
      <c r="D26" s="10" t="n">
        <v>0</v>
      </c>
      <c r="E26" s="10" t="n">
        <v>15</v>
      </c>
      <c r="F26" s="8" t="inlineStr">
        <is>
          <t>GAE, US, ORTHO, DME</t>
        </is>
      </c>
      <c r="G26" s="8" t="inlineStr">
        <is>
          <t>DEVOTED</t>
        </is>
      </c>
      <c r="H26" s="8" t="inlineStr">
        <is>
          <t>60 days</t>
        </is>
      </c>
      <c r="I26" s="9" t="n">
        <v>60</v>
      </c>
    </row>
    <row r="27">
      <c r="A27" s="7" t="inlineStr">
        <is>
          <t>COMBINED INSURANCE CO OF AMERICA</t>
        </is>
      </c>
      <c r="B27" s="8" t="str">
        <f>SUBSTITUTE(TRIM(IF(C27&gt;0,"Primary ","")&amp;IF(D27&gt;0,"Secondary ","")&amp;IF(E27&gt;0,"Responsible",""))," "," / ")</f>
        <v>Secondary / Responsible</v>
      </c>
      <c r="C27" s="10" t="n">
        <v>0</v>
      </c>
      <c r="D27" s="10" t="n">
        <v>14</v>
      </c>
      <c r="E27" s="10" t="n">
        <v>14</v>
      </c>
      <c r="F27" s="8" t="inlineStr">
        <is>
          <t>GAE</t>
        </is>
      </c>
      <c r="G27" s="16" t="inlineStr">
        <is>
          <t>Not mapped</t>
        </is>
      </c>
      <c r="H27" s="16" t="inlineStr">
        <is>
          <t>No limit on file - needs research</t>
        </is>
      </c>
      <c r="I27" s="24" t="inlineStr">
        <is>
          <t>-</t>
        </is>
      </c>
    </row>
    <row r="28">
      <c r="A28" s="7" t="inlineStr">
        <is>
          <t>TRIWEST VA CCN CLAIMS</t>
        </is>
      </c>
      <c r="B28" s="8" t="str">
        <f>SUBSTITUTE(TRIM(IF(C28&gt;0,"Primary ","")&amp;IF(D28&gt;0,"Secondary ","")&amp;IF(E28&gt;0,"Responsible",""))," "," / ")</f>
        <v>Primary / Responsible</v>
      </c>
      <c r="C28" s="10" t="n">
        <v>14</v>
      </c>
      <c r="D28" s="10" t="n">
        <v>0</v>
      </c>
      <c r="E28" s="10" t="n">
        <v>14</v>
      </c>
      <c r="F28" s="8" t="inlineStr">
        <is>
          <t>BH, US, ORTHO, DME</t>
        </is>
      </c>
      <c r="G28" s="8" t="inlineStr">
        <is>
          <t>VETERANS ADMIN (VA CCN)</t>
        </is>
      </c>
      <c r="H28" s="8" t="inlineStr">
        <is>
          <t>180 days</t>
        </is>
      </c>
      <c r="I28" s="9" t="n">
        <v>180</v>
      </c>
    </row>
    <row r="29">
      <c r="A29" s="7" t="inlineStr">
        <is>
          <t>Humana</t>
        </is>
      </c>
      <c r="B29" s="8" t="str">
        <f>SUBSTITUTE(TRIM(IF(C29&gt;0,"Primary ","")&amp;IF(D29&gt;0,"Secondary ","")&amp;IF(E29&gt;0,"Responsible",""))," "," / ")</f>
        <v>Primary / Secondary / Responsible</v>
      </c>
      <c r="C29" s="10" t="n">
        <v>12</v>
      </c>
      <c r="D29" s="10" t="n">
        <v>3</v>
      </c>
      <c r="E29" s="10" t="n">
        <v>11</v>
      </c>
      <c r="F29" s="8" t="inlineStr">
        <is>
          <t>GAE, US, ORTHO, DME</t>
        </is>
      </c>
      <c r="G29" s="8" t="inlineStr">
        <is>
          <t>HUMANA COMMERCIAL</t>
        </is>
      </c>
      <c r="H29" s="8" t="inlineStr">
        <is>
          <t>180 days from DOS (physicians); 90 days from DOS (ancillary providers)</t>
        </is>
      </c>
      <c r="I29" s="9" t="n">
        <v>90</v>
      </c>
    </row>
    <row r="30">
      <c r="A30" s="7" t="inlineStr">
        <is>
          <t>Aetna Senior Supplemental (AESSI) - Secondary Only 62118</t>
        </is>
      </c>
      <c r="B30" s="8" t="str">
        <f>SUBSTITUTE(TRIM(IF(C30&gt;0,"Primary ","")&amp;IF(D30&gt;0,"Secondary ","")&amp;IF(E30&gt;0,"Responsible",""))," "," / ")</f>
        <v>Secondary / Responsible</v>
      </c>
      <c r="C30" s="10" t="n">
        <v>0</v>
      </c>
      <c r="D30" s="10" t="n">
        <v>11</v>
      </c>
      <c r="E30" s="10" t="n">
        <v>2</v>
      </c>
      <c r="F30" s="8" t="inlineStr">
        <is>
          <t>BH, GAE, US, DME</t>
        </is>
      </c>
      <c r="G30" s="16" t="inlineStr">
        <is>
          <t>Not mapped</t>
        </is>
      </c>
      <c r="H30" s="16" t="inlineStr">
        <is>
          <t>No limit on file - needs research</t>
        </is>
      </c>
      <c r="I30" s="24" t="inlineStr">
        <is>
          <t>-</t>
        </is>
      </c>
    </row>
    <row r="31">
      <c r="A31" s="7" t="inlineStr">
        <is>
          <t>Mercy Care Health Plan Advantage (AHCCCS)</t>
        </is>
      </c>
      <c r="B31" s="8" t="str">
        <f>SUBSTITUTE(TRIM(IF(C31&gt;0,"Primary ","")&amp;IF(D31&gt;0,"Secondary ","")&amp;IF(E31&gt;0,"Responsible",""))," "," / ")</f>
        <v>Primary / Secondary / Responsible</v>
      </c>
      <c r="C31" s="10" t="n">
        <v>3</v>
      </c>
      <c r="D31" s="10" t="n">
        <v>10</v>
      </c>
      <c r="E31" s="10" t="n">
        <v>5</v>
      </c>
      <c r="F31" s="8" t="inlineStr">
        <is>
          <t>BH, GAE, US</t>
        </is>
      </c>
      <c r="G31" s="8" t="inlineStr">
        <is>
          <t>MERCY CARE ADVANTAGE</t>
        </is>
      </c>
      <c r="H31" s="8" t="inlineStr">
        <is>
          <t>150 days from DOS or eligibility posting, whichever is later</t>
        </is>
      </c>
      <c r="I31" s="9" t="n">
        <v>150</v>
      </c>
    </row>
    <row r="32">
      <c r="A32" s="7" t="inlineStr">
        <is>
          <t>Aetna Medicare PPO</t>
        </is>
      </c>
      <c r="B32" s="8" t="str">
        <f>SUBSTITUTE(TRIM(IF(C32&gt;0,"Primary ","")&amp;IF(D32&gt;0,"Secondary ","")&amp;IF(E32&gt;0,"Responsible",""))," "," / ")</f>
        <v>Primary / Responsible</v>
      </c>
      <c r="C32" s="10" t="n">
        <v>9</v>
      </c>
      <c r="D32" s="10" t="n">
        <v>0</v>
      </c>
      <c r="E32" s="10" t="n">
        <v>8</v>
      </c>
      <c r="F32" s="8" t="inlineStr">
        <is>
          <t>BH, GAE, US, DME</t>
        </is>
      </c>
      <c r="G32" s="8" t="inlineStr">
        <is>
          <t>AETNA</t>
        </is>
      </c>
      <c r="H32" s="8" t="inlineStr">
        <is>
          <t>120 days per contract</t>
        </is>
      </c>
      <c r="I32" s="9" t="n">
        <v>120</v>
      </c>
    </row>
    <row r="33">
      <c r="A33" s="7" t="inlineStr">
        <is>
          <t>Aetna</t>
        </is>
      </c>
      <c r="B33" s="8" t="str">
        <f>SUBSTITUTE(TRIM(IF(C33&gt;0,"Primary ","")&amp;IF(D33&gt;0,"Secondary ","")&amp;IF(E33&gt;0,"Responsible",""))," "," / ")</f>
        <v>Primary / Responsible</v>
      </c>
      <c r="C33" s="10" t="n">
        <v>8</v>
      </c>
      <c r="D33" s="10" t="n">
        <v>0</v>
      </c>
      <c r="E33" s="10" t="n">
        <v>8</v>
      </c>
      <c r="F33" s="8" t="inlineStr">
        <is>
          <t>US, ORTHO</t>
        </is>
      </c>
      <c r="G33" s="8" t="inlineStr">
        <is>
          <t>AETNA</t>
        </is>
      </c>
      <c r="H33" s="8" t="inlineStr">
        <is>
          <t>120 days per contract</t>
        </is>
      </c>
      <c r="I33" s="9" t="n">
        <v>120</v>
      </c>
    </row>
    <row r="34">
      <c r="A34" s="7" t="inlineStr">
        <is>
          <t>Banner University Family Care / ACC (AHCCS Complete Care)</t>
        </is>
      </c>
      <c r="B34" s="8" t="str">
        <f>SUBSTITUTE(TRIM(IF(C34&gt;0,"Primary ","")&amp;IF(D34&gt;0,"Secondary ","")&amp;IF(E34&gt;0,"Responsible",""))," "," / ")</f>
        <v>Secondary / Responsible</v>
      </c>
      <c r="C34" s="10" t="n">
        <v>0</v>
      </c>
      <c r="D34" s="10" t="n">
        <v>8</v>
      </c>
      <c r="E34" s="10" t="n">
        <v>1</v>
      </c>
      <c r="F34" s="8" t="inlineStr">
        <is>
          <t>BH, US</t>
        </is>
      </c>
      <c r="G34" s="16" t="inlineStr">
        <is>
          <t>Not mapped</t>
        </is>
      </c>
      <c r="H34" s="16" t="inlineStr">
        <is>
          <t>No limit on file - needs research</t>
        </is>
      </c>
      <c r="I34" s="24" t="inlineStr">
        <is>
          <t>-</t>
        </is>
      </c>
    </row>
    <row r="35">
      <c r="A35" s="7" t="inlineStr">
        <is>
          <t>ChampVA - HAC</t>
        </is>
      </c>
      <c r="B35" s="8" t="str">
        <f>SUBSTITUTE(TRIM(IF(C35&gt;0,"Primary ","")&amp;IF(D35&gt;0,"Secondary ","")&amp;IF(E35&gt;0,"Responsible",""))," "," / ")</f>
        <v>Secondary / Responsible</v>
      </c>
      <c r="C35" s="10" t="n">
        <v>0</v>
      </c>
      <c r="D35" s="10" t="n">
        <v>8</v>
      </c>
      <c r="E35" s="10" t="n">
        <v>5</v>
      </c>
      <c r="F35" s="8" t="inlineStr">
        <is>
          <t>BH, ORTHO</t>
        </is>
      </c>
      <c r="G35" s="16" t="inlineStr">
        <is>
          <t>Not mapped</t>
        </is>
      </c>
      <c r="H35" s="16" t="inlineStr">
        <is>
          <t>No limit on file - needs research</t>
        </is>
      </c>
      <c r="I35" s="24" t="inlineStr">
        <is>
          <t>-</t>
        </is>
      </c>
    </row>
    <row r="36">
      <c r="A36" s="7" t="inlineStr">
        <is>
          <t>Health Choice Arizona</t>
        </is>
      </c>
      <c r="B36" s="8" t="str">
        <f>SUBSTITUTE(TRIM(IF(C36&gt;0,"Primary ","")&amp;IF(D36&gt;0,"Secondary ","")&amp;IF(E36&gt;0,"Responsible",""))," "," / ")</f>
        <v>Primary / Secondary / Responsible</v>
      </c>
      <c r="C36" s="10" t="n">
        <v>8</v>
      </c>
      <c r="D36" s="10" t="n">
        <v>2</v>
      </c>
      <c r="E36" s="10" t="n">
        <v>8</v>
      </c>
      <c r="F36" s="8" t="inlineStr">
        <is>
          <t>BH, GAE, DME</t>
        </is>
      </c>
      <c r="G36" s="8" t="inlineStr">
        <is>
          <t>HEALTH CHOICE MEDICAID</t>
        </is>
      </c>
      <c r="H36" s="8" t="inlineStr">
        <is>
          <t>6 months (not primary) or 7 months (primary)</t>
        </is>
      </c>
      <c r="I36" s="9" t="n">
        <v>180</v>
      </c>
    </row>
    <row r="37">
      <c r="A37" s="7" t="inlineStr">
        <is>
          <t>Mercy Care RBHA</t>
        </is>
      </c>
      <c r="B37" s="8" t="str">
        <f>SUBSTITUTE(TRIM(IF(C37&gt;0,"Primary ","")&amp;IF(D37&gt;0,"Secondary ","")&amp;IF(E37&gt;0,"Responsible",""))," "," / ")</f>
        <v>Primary / Secondary / Responsible</v>
      </c>
      <c r="C37" s="10" t="n">
        <v>2</v>
      </c>
      <c r="D37" s="10" t="n">
        <v>8</v>
      </c>
      <c r="E37" s="10" t="n">
        <v>2</v>
      </c>
      <c r="F37" s="8" t="inlineStr">
        <is>
          <t>BH, US, DME</t>
        </is>
      </c>
      <c r="G37" s="8" t="inlineStr">
        <is>
          <t>MERCY CARE MEDICAID</t>
        </is>
      </c>
      <c r="H37" s="8" t="inlineStr">
        <is>
          <t>180 days</t>
        </is>
      </c>
      <c r="I37" s="9" t="n">
        <v>180</v>
      </c>
    </row>
    <row r="38">
      <c r="A38" s="7" t="inlineStr">
        <is>
          <t>Mutual of Omaha Insurance Company</t>
        </is>
      </c>
      <c r="B38" s="8" t="str">
        <f>SUBSTITUTE(TRIM(IF(C38&gt;0,"Primary ","")&amp;IF(D38&gt;0,"Secondary ","")&amp;IF(E38&gt;0,"Responsible",""))," "," / ")</f>
        <v>Secondary / Responsible</v>
      </c>
      <c r="C38" s="10" t="n">
        <v>0</v>
      </c>
      <c r="D38" s="10" t="n">
        <v>8</v>
      </c>
      <c r="E38" s="10" t="n">
        <v>5</v>
      </c>
      <c r="F38" s="8" t="inlineStr">
        <is>
          <t>BH, US, DME</t>
        </is>
      </c>
      <c r="G38" s="16" t="inlineStr">
        <is>
          <t>Not mapped</t>
        </is>
      </c>
      <c r="H38" s="16" t="inlineStr">
        <is>
          <t>No limit on file - needs research</t>
        </is>
      </c>
      <c r="I38" s="24" t="inlineStr">
        <is>
          <t>-</t>
        </is>
      </c>
    </row>
    <row r="39">
      <c r="A39" s="7" t="inlineStr">
        <is>
          <t>Physicians Mutual Insurance Company - ENS</t>
        </is>
      </c>
      <c r="B39" s="8" t="str">
        <f>SUBSTITUTE(TRIM(IF(C39&gt;0,"Primary ","")&amp;IF(D39&gt;0,"Secondary ","")&amp;IF(E39&gt;0,"Responsible",""))," "," / ")</f>
        <v>Secondary / Responsible</v>
      </c>
      <c r="C39" s="10" t="n">
        <v>0</v>
      </c>
      <c r="D39" s="10" t="n">
        <v>8</v>
      </c>
      <c r="E39" s="10" t="n">
        <v>1</v>
      </c>
      <c r="F39" s="8" t="inlineStr">
        <is>
          <t>BH, US, ORTHO, DME</t>
        </is>
      </c>
      <c r="G39" s="16" t="inlineStr">
        <is>
          <t>Not mapped</t>
        </is>
      </c>
      <c r="H39" s="16" t="inlineStr">
        <is>
          <t>No limit on file - needs research</t>
        </is>
      </c>
      <c r="I39" s="24" t="inlineStr">
        <is>
          <t>-</t>
        </is>
      </c>
    </row>
    <row r="40">
      <c r="A40" s="7" t="inlineStr">
        <is>
          <t>USAA Life Insurance Company</t>
        </is>
      </c>
      <c r="B40" s="8" t="str">
        <f>SUBSTITUTE(TRIM(IF(C40&gt;0,"Primary ","")&amp;IF(D40&gt;0,"Secondary ","")&amp;IF(E40&gt;0,"Responsible",""))," "," / ")</f>
        <v>Secondary / Responsible</v>
      </c>
      <c r="C40" s="10" t="n">
        <v>0</v>
      </c>
      <c r="D40" s="10" t="n">
        <v>8</v>
      </c>
      <c r="E40" s="10" t="n">
        <v>1</v>
      </c>
      <c r="F40" s="8" t="inlineStr">
        <is>
          <t>GAE, US, ORTHO</t>
        </is>
      </c>
      <c r="G40" s="16" t="inlineStr">
        <is>
          <t>Not mapped</t>
        </is>
      </c>
      <c r="H40" s="16" t="inlineStr">
        <is>
          <t>No limit on file - needs research</t>
        </is>
      </c>
      <c r="I40" s="24" t="inlineStr">
        <is>
          <t>-</t>
        </is>
      </c>
    </row>
    <row r="41">
      <c r="A41" s="7" t="inlineStr">
        <is>
          <t>Unicare Life and Health Insurance (Anthem)</t>
        </is>
      </c>
      <c r="B41" s="8" t="str">
        <f>SUBSTITUTE(TRIM(IF(C41&gt;0,"Primary ","")&amp;IF(D41&gt;0,"Secondary ","")&amp;IF(E41&gt;0,"Responsible",""))," "," / ")</f>
        <v>Secondary / Responsible</v>
      </c>
      <c r="C41" s="10" t="n">
        <v>0</v>
      </c>
      <c r="D41" s="10" t="n">
        <v>8</v>
      </c>
      <c r="E41" s="10" t="n">
        <v>7</v>
      </c>
      <c r="F41" s="8" t="inlineStr">
        <is>
          <t>GAE, DME</t>
        </is>
      </c>
      <c r="G41" s="16" t="inlineStr">
        <is>
          <t>Not mapped</t>
        </is>
      </c>
      <c r="H41" s="16" t="inlineStr">
        <is>
          <t>No limit on file - needs research</t>
        </is>
      </c>
      <c r="I41" s="24" t="inlineStr">
        <is>
          <t>-</t>
        </is>
      </c>
    </row>
    <row r="42">
      <c r="A42" s="7" t="inlineStr">
        <is>
          <t>AMBETTER</t>
        </is>
      </c>
      <c r="B42" s="8" t="str">
        <f>SUBSTITUTE(TRIM(IF(C42&gt;0,"Primary ","")&amp;IF(D42&gt;0,"Secondary ","")&amp;IF(E42&gt;0,"Responsible",""))," "," / ")</f>
        <v>Primary / Responsible</v>
      </c>
      <c r="C42" s="10" t="n">
        <v>7</v>
      </c>
      <c r="D42" s="10" t="n">
        <v>0</v>
      </c>
      <c r="E42" s="10" t="n">
        <v>7</v>
      </c>
      <c r="F42" s="8" t="inlineStr">
        <is>
          <t>BH, US, ORTHO, DME</t>
        </is>
      </c>
      <c r="G42" s="8" t="inlineStr">
        <is>
          <t>AMBETTER</t>
        </is>
      </c>
      <c r="H42" s="8" t="inlineStr">
        <is>
          <t>120 days</t>
        </is>
      </c>
      <c r="I42" s="9" t="n">
        <v>120</v>
      </c>
    </row>
    <row r="43">
      <c r="A43" s="7" t="inlineStr">
        <is>
          <t>CIGNA</t>
        </is>
      </c>
      <c r="B43" s="8" t="str">
        <f>SUBSTITUTE(TRIM(IF(C43&gt;0,"Primary ","")&amp;IF(D43&gt;0,"Secondary ","")&amp;IF(E43&gt;0,"Responsible",""))," "," / ")</f>
        <v>Primary / Secondary / Responsible</v>
      </c>
      <c r="C43" s="10" t="n">
        <v>1</v>
      </c>
      <c r="D43" s="10" t="n">
        <v>7</v>
      </c>
      <c r="E43" s="10" t="n">
        <v>1</v>
      </c>
      <c r="F43" s="8" t="inlineStr">
        <is>
          <t>GAE, ORTHO</t>
        </is>
      </c>
      <c r="G43" s="16" t="inlineStr">
        <is>
          <t>Not mapped</t>
        </is>
      </c>
      <c r="H43" s="16" t="inlineStr">
        <is>
          <t>No limit on file - needs research</t>
        </is>
      </c>
      <c r="I43" s="24" t="inlineStr">
        <is>
          <t>-</t>
        </is>
      </c>
    </row>
    <row r="44">
      <c r="A44" s="7" t="inlineStr">
        <is>
          <t>Arizona Priority Care Plus</t>
        </is>
      </c>
      <c r="B44" s="8" t="str">
        <f>SUBSTITUTE(TRIM(IF(C44&gt;0,"Primary ","")&amp;IF(D44&gt;0,"Secondary ","")&amp;IF(E44&gt;0,"Responsible",""))," "," / ")</f>
        <v>Primary / Responsible</v>
      </c>
      <c r="C44" s="10" t="n">
        <v>6</v>
      </c>
      <c r="D44" s="10" t="n">
        <v>0</v>
      </c>
      <c r="E44" s="10" t="n">
        <v>6</v>
      </c>
      <c r="F44" s="8" t="inlineStr">
        <is>
          <t>BH, US, ORTHO</t>
        </is>
      </c>
      <c r="G44" s="8" t="inlineStr">
        <is>
          <t>AZ PRIORITY CARE</t>
        </is>
      </c>
      <c r="H44" s="8" t="inlineStr">
        <is>
          <t>60 days</t>
        </is>
      </c>
      <c r="I44" s="9" t="n">
        <v>60</v>
      </c>
    </row>
    <row r="45">
      <c r="A45" s="7" t="inlineStr">
        <is>
          <t>Banner Medicare Advantage Prime HMO (BMAH)</t>
        </is>
      </c>
      <c r="B45" s="8" t="str">
        <f>SUBSTITUTE(TRIM(IF(C45&gt;0,"Primary ","")&amp;IF(D45&gt;0,"Secondary ","")&amp;IF(E45&gt;0,"Responsible",""))," "," / ")</f>
        <v>Primary / Secondary / Responsible</v>
      </c>
      <c r="C45" s="10" t="n">
        <v>6</v>
      </c>
      <c r="D45" s="10" t="n">
        <v>2</v>
      </c>
      <c r="E45" s="10" t="n">
        <v>6</v>
      </c>
      <c r="F45" s="8" t="inlineStr">
        <is>
          <t>BH, US, ORTHO, DME</t>
        </is>
      </c>
      <c r="G45" s="8" t="inlineStr">
        <is>
          <t>BANNER MEDICARE ADVANTAGE</t>
        </is>
      </c>
      <c r="H45" s="8" t="inlineStr">
        <is>
          <t>120 days</t>
        </is>
      </c>
      <c r="I45" s="9" t="n">
        <v>120</v>
      </c>
    </row>
    <row r="46">
      <c r="A46" s="7" t="inlineStr">
        <is>
          <t>Imperial Insurance Companies Inc Exchange AZ (IEXAZ) (WAYSTAR ONLY)</t>
        </is>
      </c>
      <c r="B46" s="8" t="str">
        <f>SUBSTITUTE(TRIM(IF(C46&gt;0,"Primary ","")&amp;IF(D46&gt;0,"Secondary ","")&amp;IF(E46&gt;0,"Responsible",""))," "," / ")</f>
        <v>Primary / Responsible</v>
      </c>
      <c r="C46" s="10" t="n">
        <v>6</v>
      </c>
      <c r="D46" s="10" t="n">
        <v>0</v>
      </c>
      <c r="E46" s="10" t="n">
        <v>6</v>
      </c>
      <c r="F46" s="8" t="inlineStr">
        <is>
          <t>BH, ORTHO</t>
        </is>
      </c>
      <c r="G46" s="16" t="inlineStr">
        <is>
          <t>Not mapped</t>
        </is>
      </c>
      <c r="H46" s="16" t="inlineStr">
        <is>
          <t>No limit on file - needs research</t>
        </is>
      </c>
      <c r="I46" s="24" t="inlineStr">
        <is>
          <t>-</t>
        </is>
      </c>
    </row>
    <row r="47">
      <c r="A47" s="7" t="inlineStr">
        <is>
          <t>MediCo Insurance Company</t>
        </is>
      </c>
      <c r="B47" s="8" t="str">
        <f>SUBSTITUTE(TRIM(IF(C47&gt;0,"Primary ","")&amp;IF(D47&gt;0,"Secondary ","")&amp;IF(E47&gt;0,"Responsible",""))," "," / ")</f>
        <v>Secondary</v>
      </c>
      <c r="C47" s="10" t="n">
        <v>0</v>
      </c>
      <c r="D47" s="10" t="n">
        <v>6</v>
      </c>
      <c r="E47" s="10" t="n">
        <v>0</v>
      </c>
      <c r="F47" s="8" t="inlineStr">
        <is>
          <t>BH, US, DME</t>
        </is>
      </c>
      <c r="G47" s="16" t="inlineStr">
        <is>
          <t>Not mapped</t>
        </is>
      </c>
      <c r="H47" s="16" t="inlineStr">
        <is>
          <t>No limit on file - needs research</t>
        </is>
      </c>
      <c r="I47" s="24" t="inlineStr">
        <is>
          <t>-</t>
        </is>
      </c>
    </row>
    <row r="48">
      <c r="A48" s="7" t="inlineStr">
        <is>
          <t>Aetna Medicare HMO</t>
        </is>
      </c>
      <c r="B48" s="8" t="str">
        <f>SUBSTITUTE(TRIM(IF(C48&gt;0,"Primary ","")&amp;IF(D48&gt;0,"Secondary ","")&amp;IF(E48&gt;0,"Responsible",""))," "," / ")</f>
        <v>Primary / Responsible</v>
      </c>
      <c r="C48" s="10" t="n">
        <v>5</v>
      </c>
      <c r="D48" s="10" t="n">
        <v>0</v>
      </c>
      <c r="E48" s="10" t="n">
        <v>5</v>
      </c>
      <c r="F48" s="8" t="inlineStr">
        <is>
          <t>GAE</t>
        </is>
      </c>
      <c r="G48" s="8" t="inlineStr">
        <is>
          <t>AETNA</t>
        </is>
      </c>
      <c r="H48" s="8" t="inlineStr">
        <is>
          <t>120 days per contract</t>
        </is>
      </c>
      <c r="I48" s="9" t="n">
        <v>120</v>
      </c>
    </row>
    <row r="49">
      <c r="A49" s="7" t="inlineStr">
        <is>
          <t>Cigna Medicare Supplemental Benefit Plans - Relay Health 13193</t>
        </is>
      </c>
      <c r="B49" s="8" t="str">
        <f>SUBSTITUTE(TRIM(IF(C49&gt;0,"Primary ","")&amp;IF(D49&gt;0,"Secondary ","")&amp;IF(E49&gt;0,"Responsible",""))," "," / ")</f>
        <v>Secondary</v>
      </c>
      <c r="C49" s="10" t="n">
        <v>0</v>
      </c>
      <c r="D49" s="10" t="n">
        <v>5</v>
      </c>
      <c r="E49" s="10" t="n">
        <v>0</v>
      </c>
      <c r="F49" s="8" t="inlineStr">
        <is>
          <t>GAE</t>
        </is>
      </c>
      <c r="G49" s="16" t="inlineStr">
        <is>
          <t>Not mapped</t>
        </is>
      </c>
      <c r="H49" s="16" t="inlineStr">
        <is>
          <t>No limit on file - needs research</t>
        </is>
      </c>
      <c r="I49" s="24" t="inlineStr">
        <is>
          <t>-</t>
        </is>
      </c>
    </row>
    <row r="50">
      <c r="A50" s="7" t="inlineStr">
        <is>
          <t>Aetna Life &amp; Casualty Company</t>
        </is>
      </c>
      <c r="B50" s="8" t="str">
        <f>SUBSTITUTE(TRIM(IF(C50&gt;0,"Primary ","")&amp;IF(D50&gt;0,"Secondary ","")&amp;IF(E50&gt;0,"Responsible",""))," "," / ")</f>
        <v>Secondary / Responsible</v>
      </c>
      <c r="C50" s="10" t="n">
        <v>0</v>
      </c>
      <c r="D50" s="10" t="n">
        <v>4</v>
      </c>
      <c r="E50" s="10" t="n">
        <v>1</v>
      </c>
      <c r="F50" s="8" t="inlineStr">
        <is>
          <t>ORTHO, DME</t>
        </is>
      </c>
      <c r="G50" s="16" t="inlineStr">
        <is>
          <t>Not mapped</t>
        </is>
      </c>
      <c r="H50" s="16" t="inlineStr">
        <is>
          <t>No limit on file - needs research</t>
        </is>
      </c>
      <c r="I50" s="24" t="inlineStr">
        <is>
          <t>-</t>
        </is>
      </c>
    </row>
    <row r="51">
      <c r="A51" s="7" t="inlineStr">
        <is>
          <t>Banner Aetna</t>
        </is>
      </c>
      <c r="B51" s="8" t="str">
        <f>SUBSTITUTE(TRIM(IF(C51&gt;0,"Primary ","")&amp;IF(D51&gt;0,"Secondary ","")&amp;IF(E51&gt;0,"Responsible",""))," "," / ")</f>
        <v>Primary / Responsible</v>
      </c>
      <c r="C51" s="10" t="n">
        <v>4</v>
      </c>
      <c r="D51" s="10" t="n">
        <v>0</v>
      </c>
      <c r="E51" s="10" t="n">
        <v>4</v>
      </c>
      <c r="F51" s="8" t="inlineStr">
        <is>
          <t>BH, US</t>
        </is>
      </c>
      <c r="G51" s="8" t="inlineStr">
        <is>
          <t>BANNER HEALTH &amp; AETNA</t>
        </is>
      </c>
      <c r="H51" s="8" t="inlineStr">
        <is>
          <t>120 days</t>
        </is>
      </c>
      <c r="I51" s="9" t="n">
        <v>120</v>
      </c>
    </row>
    <row r="52">
      <c r="A52" s="7" t="inlineStr">
        <is>
          <t>CIGNA HealthSprings</t>
        </is>
      </c>
      <c r="B52" s="8" t="str">
        <f>SUBSTITUTE(TRIM(IF(C52&gt;0,"Primary ","")&amp;IF(D52&gt;0,"Secondary ","")&amp;IF(E52&gt;0,"Responsible",""))," "," / ")</f>
        <v>Primary / Responsible</v>
      </c>
      <c r="C52" s="10" t="n">
        <v>4</v>
      </c>
      <c r="D52" s="10" t="n">
        <v>0</v>
      </c>
      <c r="E52" s="10" t="n">
        <v>3</v>
      </c>
      <c r="F52" s="8" t="inlineStr">
        <is>
          <t>US</t>
        </is>
      </c>
      <c r="G52" s="8" t="inlineStr">
        <is>
          <t>CIGNA / CIGNA MEDICARE</t>
        </is>
      </c>
      <c r="H52" s="8" t="inlineStr">
        <is>
          <t>90 days from DOS</t>
        </is>
      </c>
      <c r="I52" s="9" t="n">
        <v>90</v>
      </c>
    </row>
    <row r="53">
      <c r="A53" s="7" t="inlineStr">
        <is>
          <t>Medica Health Plan Solutions (Mayo Plan - CHI Health)</t>
        </is>
      </c>
      <c r="B53" s="8" t="str">
        <f>SUBSTITUTE(TRIM(IF(C53&gt;0,"Primary ","")&amp;IF(D53&gt;0,"Secondary ","")&amp;IF(E53&gt;0,"Responsible",""))," "," / ")</f>
        <v>Primary / Responsible</v>
      </c>
      <c r="C53" s="10" t="n">
        <v>4</v>
      </c>
      <c r="D53" s="10" t="n">
        <v>0</v>
      </c>
      <c r="E53" s="10" t="n">
        <v>4</v>
      </c>
      <c r="F53" s="8" t="inlineStr">
        <is>
          <t>BH</t>
        </is>
      </c>
      <c r="G53" s="8" t="inlineStr">
        <is>
          <t>MEDICA</t>
        </is>
      </c>
      <c r="H53" s="8" t="inlineStr">
        <is>
          <t>180 days from DOS; 180 days from the Medicare payment date for Select Solution and Prime Solution</t>
        </is>
      </c>
      <c r="I53" s="9" t="n">
        <v>180</v>
      </c>
    </row>
    <row r="54">
      <c r="A54" s="7" t="inlineStr">
        <is>
          <t>Meritain Health</t>
        </is>
      </c>
      <c r="B54" s="8" t="str">
        <f>SUBSTITUTE(TRIM(IF(C54&gt;0,"Primary ","")&amp;IF(D54&gt;0,"Secondary ","")&amp;IF(E54&gt;0,"Responsible",""))," "," / ")</f>
        <v>Primary / Responsible</v>
      </c>
      <c r="C54" s="10" t="n">
        <v>4</v>
      </c>
      <c r="D54" s="10" t="n">
        <v>0</v>
      </c>
      <c r="E54" s="10" t="n">
        <v>4</v>
      </c>
      <c r="F54" s="8" t="inlineStr">
        <is>
          <t>BH, ORTHO</t>
        </is>
      </c>
      <c r="G54" s="16" t="inlineStr">
        <is>
          <t>Not mapped</t>
        </is>
      </c>
      <c r="H54" s="16" t="inlineStr">
        <is>
          <t>No limit on file - needs research</t>
        </is>
      </c>
      <c r="I54" s="24" t="inlineStr">
        <is>
          <t>-</t>
        </is>
      </c>
    </row>
    <row r="55">
      <c r="A55" s="7" t="inlineStr">
        <is>
          <t>Oscar Health</t>
        </is>
      </c>
      <c r="B55" s="8" t="str">
        <f>SUBSTITUTE(TRIM(IF(C55&gt;0,"Primary ","")&amp;IF(D55&gt;0,"Secondary ","")&amp;IF(E55&gt;0,"Responsible",""))," "," / ")</f>
        <v>Primary / Responsible</v>
      </c>
      <c r="C55" s="10" t="n">
        <v>4</v>
      </c>
      <c r="D55" s="10" t="n">
        <v>0</v>
      </c>
      <c r="E55" s="10" t="n">
        <v>4</v>
      </c>
      <c r="F55" s="8" t="inlineStr">
        <is>
          <t>BH, ORTHO, DME</t>
        </is>
      </c>
      <c r="G55" s="8" t="inlineStr">
        <is>
          <t>OSCAR HEALTH</t>
        </is>
      </c>
      <c r="H55" s="8" t="inlineStr">
        <is>
          <t>180 days</t>
        </is>
      </c>
      <c r="I55" s="9" t="n">
        <v>180</v>
      </c>
    </row>
    <row r="56">
      <c r="A56" s="7" t="inlineStr">
        <is>
          <t>SCAN Health Plan (Village Health Plan)</t>
        </is>
      </c>
      <c r="B56" s="8" t="str">
        <f>SUBSTITUTE(TRIM(IF(C56&gt;0,"Primary ","")&amp;IF(D56&gt;0,"Secondary ","")&amp;IF(E56&gt;0,"Responsible",""))," "," / ")</f>
        <v>Primary / Responsible</v>
      </c>
      <c r="C56" s="10" t="n">
        <v>4</v>
      </c>
      <c r="D56" s="10" t="n">
        <v>0</v>
      </c>
      <c r="E56" s="10" t="n">
        <v>4</v>
      </c>
      <c r="F56" s="8" t="inlineStr">
        <is>
          <t>BH, US</t>
        </is>
      </c>
      <c r="G56" s="16" t="inlineStr">
        <is>
          <t>Not mapped</t>
        </is>
      </c>
      <c r="H56" s="16" t="inlineStr">
        <is>
          <t>No limit on file - needs research</t>
        </is>
      </c>
      <c r="I56" s="24" t="inlineStr">
        <is>
          <t>-</t>
        </is>
      </c>
    </row>
    <row r="57">
      <c r="A57" s="7" t="inlineStr">
        <is>
          <t>Allwell - All States (Centene)</t>
        </is>
      </c>
      <c r="B57" s="8" t="str">
        <f>SUBSTITUTE(TRIM(IF(C57&gt;0,"Primary ","")&amp;IF(D57&gt;0,"Secondary ","")&amp;IF(E57&gt;0,"Responsible",""))," "," / ")</f>
        <v>Primary / Responsible</v>
      </c>
      <c r="C57" s="10" t="n">
        <v>3</v>
      </c>
      <c r="D57" s="10" t="n">
        <v>0</v>
      </c>
      <c r="E57" s="10" t="n">
        <v>2</v>
      </c>
      <c r="F57" s="8" t="inlineStr">
        <is>
          <t>BH, ORTHO, DME</t>
        </is>
      </c>
      <c r="G57" s="8" t="inlineStr">
        <is>
          <t>WELLCARE BY ALLWELL</t>
        </is>
      </c>
      <c r="H57" s="8" t="inlineStr">
        <is>
          <t>95 days</t>
        </is>
      </c>
      <c r="I57" s="9" t="n">
        <v>95</v>
      </c>
    </row>
    <row r="58">
      <c r="A58" s="7" t="inlineStr">
        <is>
          <t>Banner Health Physician Hospital Organization Plan Administration</t>
        </is>
      </c>
      <c r="B58" s="8" t="str">
        <f>SUBSTITUTE(TRIM(IF(C58&gt;0,"Primary ","")&amp;IF(D58&gt;0,"Secondary ","")&amp;IF(E58&gt;0,"Responsible",""))," "," / ")</f>
        <v>Primary / Responsible</v>
      </c>
      <c r="C58" s="10" t="n">
        <v>3</v>
      </c>
      <c r="D58" s="10" t="n">
        <v>0</v>
      </c>
      <c r="E58" s="10" t="n">
        <v>3</v>
      </c>
      <c r="F58" s="8" t="inlineStr">
        <is>
          <t>BH, US</t>
        </is>
      </c>
      <c r="G58" s="8" t="inlineStr">
        <is>
          <t>BANNER HEALTH NETWORK (BHN)</t>
        </is>
      </c>
      <c r="H58" s="8" t="inlineStr">
        <is>
          <t>60 days</t>
        </is>
      </c>
      <c r="I58" s="9" t="n">
        <v>60</v>
      </c>
    </row>
    <row r="59">
      <c r="A59" s="7" t="inlineStr">
        <is>
          <t>Banner University Care Dual Advantage Plan</t>
        </is>
      </c>
      <c r="B59" s="8" t="str">
        <f>SUBSTITUTE(TRIM(IF(C59&gt;0,"Primary ","")&amp;IF(D59&gt;0,"Secondary ","")&amp;IF(E59&gt;0,"Responsible",""))," "," / ")</f>
        <v>Primary / Responsible</v>
      </c>
      <c r="C59" s="10" t="n">
        <v>3</v>
      </c>
      <c r="D59" s="10" t="n">
        <v>0</v>
      </c>
      <c r="E59" s="10" t="n">
        <v>1</v>
      </c>
      <c r="F59" s="8" t="inlineStr">
        <is>
          <t>BH</t>
        </is>
      </c>
      <c r="G59" s="16" t="inlineStr">
        <is>
          <t>Not mapped</t>
        </is>
      </c>
      <c r="H59" s="16" t="inlineStr">
        <is>
          <t>No limit on file - needs research</t>
        </is>
      </c>
      <c r="I59" s="24" t="inlineStr">
        <is>
          <t>-</t>
        </is>
      </c>
    </row>
    <row r="60">
      <c r="A60" s="7" t="inlineStr">
        <is>
          <t>Banner University Family Care - Arizona Long Term Care System</t>
        </is>
      </c>
      <c r="B60" s="8" t="str">
        <f>SUBSTITUTE(TRIM(IF(C60&gt;0,"Primary ","")&amp;IF(D60&gt;0,"Secondary ","")&amp;IF(E60&gt;0,"Responsible",""))," "," / ")</f>
        <v>Secondary / Responsible</v>
      </c>
      <c r="C60" s="10" t="n">
        <v>0</v>
      </c>
      <c r="D60" s="10" t="n">
        <v>3</v>
      </c>
      <c r="E60" s="10" t="n">
        <v>2</v>
      </c>
      <c r="F60" s="8" t="inlineStr">
        <is>
          <t>BH, DME</t>
        </is>
      </c>
      <c r="G60" s="8" t="inlineStr">
        <is>
          <t>BANNER UNIVERSITY MEDICAID</t>
        </is>
      </c>
      <c r="H60" s="8" t="inlineStr">
        <is>
          <t>120 days</t>
        </is>
      </c>
      <c r="I60" s="9" t="n">
        <v>120</v>
      </c>
    </row>
    <row r="61">
      <c r="A61" s="7" t="inlineStr">
        <is>
          <t>CSI Life Medicare Supplement</t>
        </is>
      </c>
      <c r="B61" s="8" t="str">
        <f>SUBSTITUTE(TRIM(IF(C61&gt;0,"Primary ","")&amp;IF(D61&gt;0,"Secondary ","")&amp;IF(E61&gt;0,"Responsible",""))," "," / ")</f>
        <v>Secondary</v>
      </c>
      <c r="C61" s="10" t="n">
        <v>0</v>
      </c>
      <c r="D61" s="10" t="n">
        <v>3</v>
      </c>
      <c r="E61" s="10" t="n">
        <v>0</v>
      </c>
      <c r="F61" s="8" t="inlineStr">
        <is>
          <t>BH, DME</t>
        </is>
      </c>
      <c r="G61" s="16" t="inlineStr">
        <is>
          <t>Not mapped</t>
        </is>
      </c>
      <c r="H61" s="16" t="inlineStr">
        <is>
          <t>No limit on file - needs research</t>
        </is>
      </c>
      <c r="I61" s="24" t="inlineStr">
        <is>
          <t>-</t>
        </is>
      </c>
    </row>
    <row r="62">
      <c r="A62" s="7" t="inlineStr">
        <is>
          <t>Medicare Railroad (RR Medicare MetraHealth) 00882</t>
        </is>
      </c>
      <c r="B62" s="8" t="str">
        <f>SUBSTITUTE(TRIM(IF(C62&gt;0,"Primary ","")&amp;IF(D62&gt;0,"Secondary ","")&amp;IF(E62&gt;0,"Responsible",""))," "," / ")</f>
        <v>Primary / Responsible</v>
      </c>
      <c r="C62" s="10" t="n">
        <v>3</v>
      </c>
      <c r="D62" s="10" t="n">
        <v>0</v>
      </c>
      <c r="E62" s="10" t="n">
        <v>1</v>
      </c>
      <c r="F62" s="8" t="inlineStr">
        <is>
          <t>BH, DME</t>
        </is>
      </c>
      <c r="G62" s="16" t="inlineStr">
        <is>
          <t>Not mapped</t>
        </is>
      </c>
      <c r="H62" s="16" t="inlineStr">
        <is>
          <t>No limit on file - needs research</t>
        </is>
      </c>
      <c r="I62" s="24" t="inlineStr">
        <is>
          <t>-</t>
        </is>
      </c>
    </row>
    <row r="63">
      <c r="A63" s="7" t="inlineStr">
        <is>
          <t>Mutual of Omaha Medicare Advantage OFAP</t>
        </is>
      </c>
      <c r="B63" s="8" t="str">
        <f>SUBSTITUTE(TRIM(IF(C63&gt;0,"Primary ","")&amp;IF(D63&gt;0,"Secondary ","")&amp;IF(E63&gt;0,"Responsible",""))," "," / ")</f>
        <v>Secondary / Responsible</v>
      </c>
      <c r="C63" s="10" t="n">
        <v>0</v>
      </c>
      <c r="D63" s="10" t="n">
        <v>3</v>
      </c>
      <c r="E63" s="10" t="n">
        <v>3</v>
      </c>
      <c r="F63" s="8" t="inlineStr">
        <is>
          <t>ORTHO</t>
        </is>
      </c>
      <c r="G63" s="16" t="inlineStr">
        <is>
          <t>Not mapped</t>
        </is>
      </c>
      <c r="H63" s="16" t="inlineStr">
        <is>
          <t>No limit on file - needs research</t>
        </is>
      </c>
      <c r="I63" s="24" t="inlineStr">
        <is>
          <t>-</t>
        </is>
      </c>
    </row>
    <row r="64">
      <c r="A64" s="7" t="inlineStr">
        <is>
          <t>TRIADA GAP BENEFITS</t>
        </is>
      </c>
      <c r="B64" s="8" t="str">
        <f>SUBSTITUTE(TRIM(IF(C64&gt;0,"Primary ","")&amp;IF(D64&gt;0,"Secondary ","")&amp;IF(E64&gt;0,"Responsible",""))," "," / ")</f>
        <v>Secondary / Responsible</v>
      </c>
      <c r="C64" s="10" t="n">
        <v>0</v>
      </c>
      <c r="D64" s="10" t="n">
        <v>3</v>
      </c>
      <c r="E64" s="10" t="n">
        <v>3</v>
      </c>
      <c r="F64" s="8" t="inlineStr">
        <is>
          <t>BH</t>
        </is>
      </c>
      <c r="G64" s="16" t="inlineStr">
        <is>
          <t>Not mapped</t>
        </is>
      </c>
      <c r="H64" s="16" t="inlineStr">
        <is>
          <t>No limit on file - needs research</t>
        </is>
      </c>
      <c r="I64" s="24" t="inlineStr">
        <is>
          <t>-</t>
        </is>
      </c>
    </row>
    <row r="65">
      <c r="A65" s="7" t="inlineStr">
        <is>
          <t>AFSAT MEDICAL PLAN</t>
        </is>
      </c>
      <c r="B65" s="8" t="str">
        <f>SUBSTITUTE(TRIM(IF(C65&gt;0,"Primary ","")&amp;IF(D65&gt;0,"Secondary ","")&amp;IF(E65&gt;0,"Responsible",""))," "," / ")</f>
        <v>Primary / Responsible</v>
      </c>
      <c r="C65" s="10" t="n">
        <v>2</v>
      </c>
      <c r="D65" s="10" t="n">
        <v>0</v>
      </c>
      <c r="E65" s="10" t="n">
        <v>2</v>
      </c>
      <c r="F65" s="8" t="inlineStr">
        <is>
          <t>ORTHO</t>
        </is>
      </c>
      <c r="G65" s="16" t="inlineStr">
        <is>
          <t>Not mapped</t>
        </is>
      </c>
      <c r="H65" s="16" t="inlineStr">
        <is>
          <t>No limit on file - needs research</t>
        </is>
      </c>
      <c r="I65" s="24" t="inlineStr">
        <is>
          <t>-</t>
        </is>
      </c>
    </row>
    <row r="66">
      <c r="A66" s="7" t="inlineStr">
        <is>
          <t>Blue Cross Blue Shield of Arizona</t>
        </is>
      </c>
      <c r="B66" s="8" t="str">
        <f>SUBSTITUTE(TRIM(IF(C66&gt;0,"Primary ","")&amp;IF(D66&gt;0,"Secondary ","")&amp;IF(E66&gt;0,"Responsible",""))," "," / ")</f>
        <v>Secondary / Responsible</v>
      </c>
      <c r="C66" s="10" t="n">
        <v>0</v>
      </c>
      <c r="D66" s="10" t="n">
        <v>2</v>
      </c>
      <c r="E66" s="10" t="n">
        <v>2</v>
      </c>
      <c r="F66" s="8" t="inlineStr">
        <is>
          <t>BH, DME</t>
        </is>
      </c>
      <c r="G66" s="8" t="inlineStr">
        <is>
          <t>BCBS</t>
        </is>
      </c>
      <c r="H66" s="8" t="inlineStr">
        <is>
          <t>365 days from DOS; 90 days as of 1/1/2026</t>
        </is>
      </c>
      <c r="I66" s="9" t="n">
        <v>90</v>
      </c>
    </row>
    <row r="67">
      <c r="A67" s="7" t="inlineStr">
        <is>
          <t>Cigna Medicare Advantage</t>
        </is>
      </c>
      <c r="B67" s="8" t="str">
        <f>SUBSTITUTE(TRIM(IF(C67&gt;0,"Primary ","")&amp;IF(D67&gt;0,"Secondary ","")&amp;IF(E67&gt;0,"Responsible",""))," "," / ")</f>
        <v>Primary / Responsible</v>
      </c>
      <c r="C67" s="10" t="n">
        <v>2</v>
      </c>
      <c r="D67" s="10" t="n">
        <v>0</v>
      </c>
      <c r="E67" s="10" t="n">
        <v>2</v>
      </c>
      <c r="F67" s="8" t="inlineStr">
        <is>
          <t>US</t>
        </is>
      </c>
      <c r="G67" s="8" t="inlineStr">
        <is>
          <t>CIGNA / CIGNA MEDICARE</t>
        </is>
      </c>
      <c r="H67" s="8" t="inlineStr">
        <is>
          <t>90 days from DOS</t>
        </is>
      </c>
      <c r="I67" s="9" t="n">
        <v>90</v>
      </c>
    </row>
    <row r="68">
      <c r="A68" s="7" t="inlineStr">
        <is>
          <t>EMI Health (Educators Mutual - EMIA)</t>
        </is>
      </c>
      <c r="B68" s="8" t="str">
        <f>SUBSTITUTE(TRIM(IF(C68&gt;0,"Primary ","")&amp;IF(D68&gt;0,"Secondary ","")&amp;IF(E68&gt;0,"Responsible",""))," "," / ")</f>
        <v>Primary / Responsible</v>
      </c>
      <c r="C68" s="10" t="n">
        <v>2</v>
      </c>
      <c r="D68" s="10" t="n">
        <v>0</v>
      </c>
      <c r="E68" s="10" t="n">
        <v>2</v>
      </c>
      <c r="F68" s="8" t="inlineStr">
        <is>
          <t>BH</t>
        </is>
      </c>
      <c r="G68" s="16" t="inlineStr">
        <is>
          <t>Not mapped</t>
        </is>
      </c>
      <c r="H68" s="16" t="inlineStr">
        <is>
          <t>No limit on file - needs research</t>
        </is>
      </c>
      <c r="I68" s="24" t="inlineStr">
        <is>
          <t>-</t>
        </is>
      </c>
    </row>
    <row r="69">
      <c r="A69" s="7" t="inlineStr">
        <is>
          <t>Health Choice Pathway (Health Choice Generations)</t>
        </is>
      </c>
      <c r="B69" s="8" t="str">
        <f>SUBSTITUTE(TRIM(IF(C69&gt;0,"Primary ","")&amp;IF(D69&gt;0,"Secondary ","")&amp;IF(E69&gt;0,"Responsible",""))," "," / ")</f>
        <v>Primary / Responsible</v>
      </c>
      <c r="C69" s="10" t="n">
        <v>2</v>
      </c>
      <c r="D69" s="10" t="n">
        <v>0</v>
      </c>
      <c r="E69" s="10" t="n">
        <v>2</v>
      </c>
      <c r="F69" s="8" t="inlineStr">
        <is>
          <t>BH</t>
        </is>
      </c>
      <c r="G69" s="8" t="inlineStr">
        <is>
          <t>HEALTH CHOICE PATHWAY (HEALTH CHOICE GENERATIONS)</t>
        </is>
      </c>
      <c r="H69" s="8" t="inlineStr">
        <is>
          <t>6 months</t>
        </is>
      </c>
      <c r="I69" s="9" t="n">
        <v>180</v>
      </c>
    </row>
    <row r="70">
      <c r="A70" s="7" t="inlineStr">
        <is>
          <t>Health Net of Arizona, California, Oregon &amp; Washington - All Plans</t>
        </is>
      </c>
      <c r="B70" s="8" t="str">
        <f>SUBSTITUTE(TRIM(IF(C70&gt;0,"Primary ","")&amp;IF(D70&gt;0,"Secondary ","")&amp;IF(E70&gt;0,"Responsible",""))," "," / ")</f>
        <v>Secondary</v>
      </c>
      <c r="C70" s="10" t="n">
        <v>0</v>
      </c>
      <c r="D70" s="10" t="n">
        <v>2</v>
      </c>
      <c r="E70" s="10" t="n">
        <v>0</v>
      </c>
      <c r="F70" s="8" t="inlineStr">
        <is>
          <t>BH</t>
        </is>
      </c>
      <c r="G70" s="16" t="inlineStr">
        <is>
          <t>Not mapped</t>
        </is>
      </c>
      <c r="H70" s="16" t="inlineStr">
        <is>
          <t>No limit on file - needs research</t>
        </is>
      </c>
      <c r="I70" s="24" t="inlineStr">
        <is>
          <t>-</t>
        </is>
      </c>
    </row>
    <row r="71">
      <c r="A71" s="7" t="inlineStr">
        <is>
          <t>ILWU PMA COASTWISE</t>
        </is>
      </c>
      <c r="B71" s="8" t="str">
        <f>SUBSTITUTE(TRIM(IF(C71&gt;0,"Primary ","")&amp;IF(D71&gt;0,"Secondary ","")&amp;IF(E71&gt;0,"Responsible",""))," "," / ")</f>
        <v>Secondary / Responsible</v>
      </c>
      <c r="C71" s="10" t="n">
        <v>0</v>
      </c>
      <c r="D71" s="10" t="n">
        <v>2</v>
      </c>
      <c r="E71" s="10" t="n">
        <v>2</v>
      </c>
      <c r="F71" s="8" t="inlineStr">
        <is>
          <t>BH</t>
        </is>
      </c>
      <c r="G71" s="16" t="inlineStr">
        <is>
          <t>Not mapped</t>
        </is>
      </c>
      <c r="H71" s="16" t="inlineStr">
        <is>
          <t>No limit on file - needs research</t>
        </is>
      </c>
      <c r="I71" s="24" t="inlineStr">
        <is>
          <t>-</t>
        </is>
      </c>
    </row>
    <row r="72">
      <c r="A72" s="7" t="inlineStr">
        <is>
          <t>LIEN 05</t>
        </is>
      </c>
      <c r="B72" s="8" t="str">
        <f>SUBSTITUTE(TRIM(IF(C72&gt;0,"Primary ","")&amp;IF(D72&gt;0,"Secondary ","")&amp;IF(E72&gt;0,"Responsible",""))," "," / ")</f>
        <v>Secondary</v>
      </c>
      <c r="C72" s="10" t="n">
        <v>0</v>
      </c>
      <c r="D72" s="10" t="n">
        <v>2</v>
      </c>
      <c r="E72" s="10" t="n">
        <v>0</v>
      </c>
      <c r="F72" s="8" t="inlineStr">
        <is>
          <t>BH, DME</t>
        </is>
      </c>
      <c r="G72" s="16" t="inlineStr">
        <is>
          <t>Not mapped</t>
        </is>
      </c>
      <c r="H72" s="16" t="inlineStr">
        <is>
          <t>No limit on file - needs research</t>
        </is>
      </c>
      <c r="I72" s="24" t="inlineStr">
        <is>
          <t>-</t>
        </is>
      </c>
    </row>
    <row r="73">
      <c r="A73" s="7" t="inlineStr">
        <is>
          <t>Medicaid Arizona</t>
        </is>
      </c>
      <c r="B73" s="8" t="str">
        <f>SUBSTITUTE(TRIM(IF(C73&gt;0,"Primary ","")&amp;IF(D73&gt;0,"Secondary ","")&amp;IF(E73&gt;0,"Responsible",""))," "," / ")</f>
        <v>Secondary</v>
      </c>
      <c r="C73" s="10" t="n">
        <v>0</v>
      </c>
      <c r="D73" s="10" t="n">
        <v>2</v>
      </c>
      <c r="E73" s="10" t="n">
        <v>0</v>
      </c>
      <c r="F73" s="8" t="inlineStr">
        <is>
          <t>BH</t>
        </is>
      </c>
      <c r="G73" s="16" t="inlineStr">
        <is>
          <t>Not mapped</t>
        </is>
      </c>
      <c r="H73" s="16" t="inlineStr">
        <is>
          <t>No limit on file - needs research</t>
        </is>
      </c>
      <c r="I73" s="24" t="inlineStr">
        <is>
          <t>-</t>
        </is>
      </c>
    </row>
    <row r="74">
      <c r="A74" s="7" t="inlineStr">
        <is>
          <t>Summit Administration Services, Inc</t>
        </is>
      </c>
      <c r="B74" s="8" t="str">
        <f>SUBSTITUTE(TRIM(IF(C74&gt;0,"Primary ","")&amp;IF(D74&gt;0,"Secondary ","")&amp;IF(E74&gt;0,"Responsible",""))," "," / ")</f>
        <v>Primary / Responsible</v>
      </c>
      <c r="C74" s="10" t="n">
        <v>2</v>
      </c>
      <c r="D74" s="10" t="n">
        <v>0</v>
      </c>
      <c r="E74" s="10" t="n">
        <v>2</v>
      </c>
      <c r="F74" s="8" t="inlineStr">
        <is>
          <t>BH</t>
        </is>
      </c>
      <c r="G74" s="16" t="inlineStr">
        <is>
          <t>Not mapped</t>
        </is>
      </c>
      <c r="H74" s="16" t="inlineStr">
        <is>
          <t>No limit on file - needs research</t>
        </is>
      </c>
      <c r="I74" s="24" t="inlineStr">
        <is>
          <t>-</t>
        </is>
      </c>
    </row>
    <row r="75">
      <c r="A75" s="7" t="inlineStr">
        <is>
          <t>Surest (A United Healthcare Company - Formerly BIND)</t>
        </is>
      </c>
      <c r="B75" s="8" t="str">
        <f>SUBSTITUTE(TRIM(IF(C75&gt;0,"Primary ","")&amp;IF(D75&gt;0,"Secondary ","")&amp;IF(E75&gt;0,"Responsible",""))," "," / ")</f>
        <v>Primary / Responsible</v>
      </c>
      <c r="C75" s="10" t="n">
        <v>2</v>
      </c>
      <c r="D75" s="10" t="n">
        <v>0</v>
      </c>
      <c r="E75" s="10" t="n">
        <v>2</v>
      </c>
      <c r="F75" s="8" t="inlineStr">
        <is>
          <t>ORTHO, DME</t>
        </is>
      </c>
      <c r="G75" s="8" t="inlineStr">
        <is>
          <t>UHC COMMERCIAL</t>
        </is>
      </c>
      <c r="H75" s="8" t="inlineStr">
        <is>
          <t>90 days</t>
        </is>
      </c>
      <c r="I75" s="9" t="n">
        <v>90</v>
      </c>
    </row>
    <row r="76">
      <c r="A76" s="7" t="inlineStr">
        <is>
          <t>Tricare West</t>
        </is>
      </c>
      <c r="B76" s="8" t="str">
        <f>SUBSTITUTE(TRIM(IF(C76&gt;0,"Primary ","")&amp;IF(D76&gt;0,"Secondary ","")&amp;IF(E76&gt;0,"Responsible",""))," "," / ")</f>
        <v>Primary / Secondary / Responsible</v>
      </c>
      <c r="C76" s="10" t="n">
        <v>2</v>
      </c>
      <c r="D76" s="10" t="n">
        <v>2</v>
      </c>
      <c r="E76" s="10" t="n">
        <v>3</v>
      </c>
      <c r="F76" s="8" t="inlineStr">
        <is>
          <t>BH, US, ORTHO</t>
        </is>
      </c>
      <c r="G76" s="16" t="inlineStr">
        <is>
          <t>Not mapped</t>
        </is>
      </c>
      <c r="H76" s="16" t="inlineStr">
        <is>
          <t>No limit on file - needs research</t>
        </is>
      </c>
      <c r="I76" s="24" t="inlineStr">
        <is>
          <t>-</t>
        </is>
      </c>
    </row>
    <row r="77">
      <c r="A77" s="7" t="inlineStr">
        <is>
          <t>ACE MEDICARE SUPPLEMENTAL</t>
        </is>
      </c>
      <c r="B77" s="8" t="str">
        <f>SUBSTITUTE(TRIM(IF(C77&gt;0,"Primary ","")&amp;IF(D77&gt;0,"Secondary ","")&amp;IF(E77&gt;0,"Responsible",""))," "," / ")</f>
        <v>Secondary</v>
      </c>
      <c r="C77" s="10" t="n">
        <v>0</v>
      </c>
      <c r="D77" s="10" t="n">
        <v>1</v>
      </c>
      <c r="E77" s="10" t="n">
        <v>0</v>
      </c>
      <c r="F77" s="8" t="inlineStr">
        <is>
          <t>DME</t>
        </is>
      </c>
      <c r="G77" s="16" t="inlineStr">
        <is>
          <t>Not mapped</t>
        </is>
      </c>
      <c r="H77" s="16" t="inlineStr">
        <is>
          <t>No limit on file - needs research</t>
        </is>
      </c>
      <c r="I77" s="24" t="inlineStr">
        <is>
          <t>-</t>
        </is>
      </c>
    </row>
    <row r="78">
      <c r="A78" s="7" t="inlineStr">
        <is>
          <t>AMETrust</t>
        </is>
      </c>
      <c r="B78" s="8" t="str">
        <f>SUBSTITUTE(TRIM(IF(C78&gt;0,"Primary ","")&amp;IF(D78&gt;0,"Secondary ","")&amp;IF(E78&gt;0,"Responsible",""))," "," / ")</f>
        <v>Secondary / Responsible</v>
      </c>
      <c r="C78" s="10" t="n">
        <v>0</v>
      </c>
      <c r="D78" s="10" t="n">
        <v>1</v>
      </c>
      <c r="E78" s="10" t="n">
        <v>1</v>
      </c>
      <c r="F78" s="8" t="inlineStr">
        <is>
          <t>GAE</t>
        </is>
      </c>
      <c r="G78" s="16" t="inlineStr">
        <is>
          <t>Not mapped</t>
        </is>
      </c>
      <c r="H78" s="16" t="inlineStr">
        <is>
          <t>No limit on file - needs research</t>
        </is>
      </c>
      <c r="I78" s="24" t="inlineStr">
        <is>
          <t>-</t>
        </is>
      </c>
    </row>
    <row r="79">
      <c r="A79" s="7" t="inlineStr">
        <is>
          <t>Amerigroup - All States</t>
        </is>
      </c>
      <c r="B79" s="8" t="str">
        <f>SUBSTITUTE(TRIM(IF(C79&gt;0,"Primary ","")&amp;IF(D79&gt;0,"Secondary ","")&amp;IF(E79&gt;0,"Responsible",""))," "," / ")</f>
        <v>Secondary</v>
      </c>
      <c r="C79" s="10" t="n">
        <v>0</v>
      </c>
      <c r="D79" s="10" t="n">
        <v>1</v>
      </c>
      <c r="E79" s="10" t="n">
        <v>0</v>
      </c>
      <c r="F79" s="8" t="inlineStr">
        <is>
          <t>DME</t>
        </is>
      </c>
      <c r="G79" s="16" t="inlineStr">
        <is>
          <t>Not mapped</t>
        </is>
      </c>
      <c r="H79" s="16" t="inlineStr">
        <is>
          <t>No limit on file - needs research</t>
        </is>
      </c>
      <c r="I79" s="24" t="inlineStr">
        <is>
          <t>-</t>
        </is>
      </c>
    </row>
    <row r="80">
      <c r="A80" s="7" t="inlineStr">
        <is>
          <t>BANKERS FIDELITY</t>
        </is>
      </c>
      <c r="B80" s="8" t="str">
        <f>SUBSTITUTE(TRIM(IF(C80&gt;0,"Primary ","")&amp;IF(D80&gt;0,"Secondary ","")&amp;IF(E80&gt;0,"Responsible",""))," "," / ")</f>
        <v>Secondary</v>
      </c>
      <c r="C80" s="10" t="n">
        <v>0</v>
      </c>
      <c r="D80" s="10" t="n">
        <v>1</v>
      </c>
      <c r="E80" s="10" t="n">
        <v>0</v>
      </c>
      <c r="F80" s="8" t="inlineStr">
        <is>
          <t>DME</t>
        </is>
      </c>
      <c r="G80" s="16" t="inlineStr">
        <is>
          <t>Not mapped</t>
        </is>
      </c>
      <c r="H80" s="16" t="inlineStr">
        <is>
          <t>No limit on file - needs research</t>
        </is>
      </c>
      <c r="I80" s="24" t="inlineStr">
        <is>
          <t>-</t>
        </is>
      </c>
    </row>
    <row r="81">
      <c r="A81" s="7" t="inlineStr">
        <is>
          <t>CIGNA MEDICARE SUPPLEMENT INSURANCE</t>
        </is>
      </c>
      <c r="B81" s="8" t="str">
        <f>SUBSTITUTE(TRIM(IF(C81&gt;0,"Primary ","")&amp;IF(D81&gt;0,"Secondary ","")&amp;IF(E81&gt;0,"Responsible",""))," "," / ")</f>
        <v>Secondary</v>
      </c>
      <c r="C81" s="10" t="n">
        <v>0</v>
      </c>
      <c r="D81" s="10" t="n">
        <v>1</v>
      </c>
      <c r="E81" s="10" t="n">
        <v>0</v>
      </c>
      <c r="F81" s="8" t="inlineStr">
        <is>
          <t>DME</t>
        </is>
      </c>
      <c r="G81" s="16" t="inlineStr">
        <is>
          <t>Not mapped</t>
        </is>
      </c>
      <c r="H81" s="16" t="inlineStr">
        <is>
          <t>No limit on file - needs research</t>
        </is>
      </c>
      <c r="I81" s="24" t="inlineStr">
        <is>
          <t>-</t>
        </is>
      </c>
    </row>
    <row r="82">
      <c r="A82" s="7" t="inlineStr">
        <is>
          <t>CareGuard</t>
        </is>
      </c>
      <c r="B82" s="8" t="str">
        <f>SUBSTITUTE(TRIM(IF(C82&gt;0,"Primary ","")&amp;IF(D82&gt;0,"Secondary ","")&amp;IF(E82&gt;0,"Responsible",""))," "," / ")</f>
        <v>Secondary / Responsible</v>
      </c>
      <c r="C82" s="10" t="n">
        <v>0</v>
      </c>
      <c r="D82" s="10" t="n">
        <v>1</v>
      </c>
      <c r="E82" s="10" t="n">
        <v>1</v>
      </c>
      <c r="F82" s="8" t="inlineStr">
        <is>
          <t>DME</t>
        </is>
      </c>
      <c r="G82" s="16" t="inlineStr">
        <is>
          <t>Not mapped</t>
        </is>
      </c>
      <c r="H82" s="16" t="inlineStr">
        <is>
          <t>No limit on file - needs research</t>
        </is>
      </c>
      <c r="I82" s="24" t="inlineStr">
        <is>
          <t>-</t>
        </is>
      </c>
    </row>
    <row r="83">
      <c r="A83" s="7" t="inlineStr">
        <is>
          <t>Continental Benefits</t>
        </is>
      </c>
      <c r="B83" s="8" t="str">
        <f>SUBSTITUTE(TRIM(IF(C83&gt;0,"Primary ","")&amp;IF(D83&gt;0,"Secondary ","")&amp;IF(E83&gt;0,"Responsible",""))," "," / ")</f>
        <v>Secondary</v>
      </c>
      <c r="C83" s="10" t="n">
        <v>0</v>
      </c>
      <c r="D83" s="10" t="n">
        <v>1</v>
      </c>
      <c r="E83" s="10" t="n">
        <v>0</v>
      </c>
      <c r="F83" s="8" t="inlineStr">
        <is>
          <t>DME</t>
        </is>
      </c>
      <c r="G83" s="16" t="inlineStr">
        <is>
          <t>Not mapped</t>
        </is>
      </c>
      <c r="H83" s="16" t="inlineStr">
        <is>
          <t>No limit on file - needs research</t>
        </is>
      </c>
      <c r="I83" s="24" t="inlineStr">
        <is>
          <t>-</t>
        </is>
      </c>
    </row>
    <row r="84">
      <c r="A84" s="7" t="inlineStr">
        <is>
          <t>DME Region C</t>
        </is>
      </c>
      <c r="B84" s="8" t="str">
        <f>SUBSTITUTE(TRIM(IF(C84&gt;0,"Primary ","")&amp;IF(D84&gt;0,"Secondary ","")&amp;IF(E84&gt;0,"Responsible",""))," "," / ")</f>
        <v>Primary / Responsible</v>
      </c>
      <c r="C84" s="10" t="n">
        <v>1</v>
      </c>
      <c r="D84" s="10" t="n">
        <v>0</v>
      </c>
      <c r="E84" s="10" t="n">
        <v>1</v>
      </c>
      <c r="F84" s="8" t="inlineStr">
        <is>
          <t>DME</t>
        </is>
      </c>
      <c r="G84" s="16" t="inlineStr">
        <is>
          <t>Not mapped</t>
        </is>
      </c>
      <c r="H84" s="16" t="inlineStr">
        <is>
          <t>No limit on file - needs research</t>
        </is>
      </c>
      <c r="I84" s="24" t="inlineStr">
        <is>
          <t>-</t>
        </is>
      </c>
    </row>
    <row r="85">
      <c r="A85" s="7" t="inlineStr">
        <is>
          <t>LIEN 03</t>
        </is>
      </c>
      <c r="B85" s="8" t="str">
        <f>SUBSTITUTE(TRIM(IF(C85&gt;0,"Primary ","")&amp;IF(D85&gt;0,"Secondary ","")&amp;IF(E85&gt;0,"Responsible",""))," "," / ")</f>
        <v>Secondary</v>
      </c>
      <c r="C85" s="10" t="n">
        <v>0</v>
      </c>
      <c r="D85" s="10" t="n">
        <v>1</v>
      </c>
      <c r="E85" s="10" t="n">
        <v>0</v>
      </c>
      <c r="F85" s="8" t="inlineStr">
        <is>
          <t>DME</t>
        </is>
      </c>
      <c r="G85" s="16" t="inlineStr">
        <is>
          <t>Not mapped</t>
        </is>
      </c>
      <c r="H85" s="16" t="inlineStr">
        <is>
          <t>No limit on file - needs research</t>
        </is>
      </c>
      <c r="I85" s="24" t="inlineStr">
        <is>
          <t>-</t>
        </is>
      </c>
    </row>
    <row r="86">
      <c r="A86" s="7" t="inlineStr">
        <is>
          <t>Medical Associates Health Plan</t>
        </is>
      </c>
      <c r="B86" s="8" t="str">
        <f>SUBSTITUTE(TRIM(IF(C86&gt;0,"Primary ","")&amp;IF(D86&gt;0,"Secondary ","")&amp;IF(E86&gt;0,"Responsible",""))," "," / ")</f>
        <v>Secondary / Responsible</v>
      </c>
      <c r="C86" s="10" t="n">
        <v>0</v>
      </c>
      <c r="D86" s="10" t="n">
        <v>1</v>
      </c>
      <c r="E86" s="10" t="n">
        <v>1</v>
      </c>
      <c r="F86" s="8" t="inlineStr">
        <is>
          <t>DME</t>
        </is>
      </c>
      <c r="G86" s="16" t="inlineStr">
        <is>
          <t>Not mapped</t>
        </is>
      </c>
      <c r="H86" s="16" t="inlineStr">
        <is>
          <t>No limit on file - needs research</t>
        </is>
      </c>
      <c r="I86" s="24" t="inlineStr">
        <is>
          <t>-</t>
        </is>
      </c>
    </row>
    <row r="87">
      <c r="A87" s="7" t="inlineStr">
        <is>
          <t>Molina Complete Care of Arizona (Magellan Complete Care AZ)</t>
        </is>
      </c>
      <c r="B87" s="8" t="str">
        <f>SUBSTITUTE(TRIM(IF(C87&gt;0,"Primary ","")&amp;IF(D87&gt;0,"Secondary ","")&amp;IF(E87&gt;0,"Responsible",""))," "," / ")</f>
        <v>Secondary</v>
      </c>
      <c r="C87" s="10" t="n">
        <v>0</v>
      </c>
      <c r="D87" s="10" t="n">
        <v>1</v>
      </c>
      <c r="E87" s="10" t="n">
        <v>0</v>
      </c>
      <c r="F87" s="8" t="inlineStr">
        <is>
          <t>DME</t>
        </is>
      </c>
      <c r="G87" s="16" t="inlineStr">
        <is>
          <t>Not mapped</t>
        </is>
      </c>
      <c r="H87" s="16" t="inlineStr">
        <is>
          <t>No limit on file - needs research</t>
        </is>
      </c>
      <c r="I87" s="24" t="inlineStr">
        <is>
          <t>-</t>
        </is>
      </c>
    </row>
    <row r="88">
      <c r="A88" s="7" t="inlineStr">
        <is>
          <t>SILAC INSURANCE</t>
        </is>
      </c>
      <c r="B88" s="8" t="str">
        <f>SUBSTITUTE(TRIM(IF(C88&gt;0,"Primary ","")&amp;IF(D88&gt;0,"Secondary ","")&amp;IF(E88&gt;0,"Responsible",""))," "," / ")</f>
        <v>Secondary / Responsible</v>
      </c>
      <c r="C88" s="10" t="n">
        <v>0</v>
      </c>
      <c r="D88" s="10" t="n">
        <v>1</v>
      </c>
      <c r="E88" s="10" t="n">
        <v>1</v>
      </c>
      <c r="F88" s="8" t="inlineStr">
        <is>
          <t>DME</t>
        </is>
      </c>
      <c r="G88" s="16" t="inlineStr">
        <is>
          <t>Not mapped</t>
        </is>
      </c>
      <c r="H88" s="16" t="inlineStr">
        <is>
          <t>No limit on file - needs research</t>
        </is>
      </c>
      <c r="I88" s="24" t="inlineStr">
        <is>
          <t>-</t>
        </is>
      </c>
    </row>
    <row r="89">
      <c r="A89" s="7" t="inlineStr">
        <is>
          <t>UnitedHealthcare / All Savers Insurance</t>
        </is>
      </c>
      <c r="B89" s="8" t="str">
        <f>SUBSTITUTE(TRIM(IF(C89&gt;0,"Primary ","")&amp;IF(D89&gt;0,"Secondary ","")&amp;IF(E89&gt;0,"Responsible",""))," "," / ")</f>
        <v>Secondary / Responsible</v>
      </c>
      <c r="C89" s="10" t="n">
        <v>0</v>
      </c>
      <c r="D89" s="10" t="n">
        <v>1</v>
      </c>
      <c r="E89" s="10" t="n">
        <v>1</v>
      </c>
      <c r="F89" s="8" t="inlineStr">
        <is>
          <t>DME</t>
        </is>
      </c>
      <c r="G89" s="16" t="inlineStr">
        <is>
          <t>Not mapped</t>
        </is>
      </c>
      <c r="H89" s="16" t="inlineStr">
        <is>
          <t>No limit on file - needs research</t>
        </is>
      </c>
      <c r="I89" s="24" t="inlineStr">
        <is>
          <t>-</t>
        </is>
      </c>
    </row>
    <row r="91">
      <c r="A91" s="18" t="inlineStr">
        <is>
          <t>Total</t>
        </is>
      </c>
      <c r="B91" s="25" t="str">
        <f>COUNTA(A5:A89)&amp;" payers, "&amp;COUNTIF(G5:G89,"Not mapped")&amp;" with no filing limit on file"</f>
        <v>85 payers, 45 with no filing limit on file</v>
      </c>
      <c r="C91" s="19">
        <f>SUM(C5:C89)</f>
        <v>1086</v>
      </c>
      <c r="D91" s="19">
        <f>SUM(D5:D89)</f>
        <v>433</v>
      </c>
      <c r="E91" s="19">
        <f>SUM(E5:E89)</f>
        <v>1086</v>
      </c>
      <c r="F91" s="17" t="inlineStr"/>
      <c r="G91" s="17" t="inlineStr"/>
      <c r="H91" s="17" t="inlineStr"/>
      <c r="I91" s="17" t="inlineStr"/>
    </row>
    <row r="93">
      <c r="A93" s="20" t="inlineStr">
        <is>
          <t>A claim carries a primary payer, sometimes a secondary payer, and one responsible payer - the one the balance currently sits with. The three counts overlap, so do not add them together. 'Not mapped' means the payer name has no matching row in 'Carrier_Timely_Filing_Reference.xlsx' - the deadline has to be looked up on the payer's own portal or contract before working the claim.</t>
        </is>
      </c>
    </row>
    <row r="94"/>
    <row r="95"/>
  </sheetData>
  <autoFilter ref="A4:I89"/>
  <mergeCells count="1">
    <mergeCell ref="A93:I95"/>
  </mergeCells>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40" customWidth="1" min="3" max="3"/>
    <col width="86" customWidth="1" min="4" max="4"/>
    <col width="34" customWidth="1" min="5" max="5"/>
    <col width="30" customWidth="1" min="6" max="6"/>
  </cols>
  <sheetData>
    <row r="1">
      <c r="A1" s="1" t="inlineStr">
        <is>
          <t>My functions and tasks</t>
        </is>
      </c>
    </row>
    <row r="2">
      <c r="A2" s="2" t="inlineStr">
        <is>
          <t>What the role consists of. Rows 1-3 set the order the work is taken in; the rest are the actions a claim can need.</t>
        </is>
      </c>
    </row>
    <row r="4" ht="30" customHeight="1">
      <c r="A4" s="5" t="inlineStr">
        <is>
          <t>#</t>
        </is>
      </c>
      <c r="B4" s="5" t="inlineStr">
        <is>
          <t>Area</t>
        </is>
      </c>
      <c r="C4" s="5" t="inlineStr">
        <is>
          <t>Function / task</t>
        </is>
      </c>
      <c r="D4" s="5" t="inlineStr">
        <is>
          <t>What it involves</t>
        </is>
      </c>
      <c r="E4" s="5" t="inlineStr">
        <is>
          <t>Who I work with on it</t>
        </is>
      </c>
      <c r="F4" s="5" t="inlineStr">
        <is>
          <t>When it comes up</t>
        </is>
      </c>
    </row>
    <row r="5">
      <c r="A5" s="26" t="n">
        <v>1</v>
      </c>
      <c r="B5" s="27" t="inlineStr">
        <is>
          <t>Work queue and order</t>
        </is>
      </c>
      <c r="C5" s="27" t="inlineStr">
        <is>
          <t>Work claims inside the timely filing window first</t>
        </is>
      </c>
      <c r="D5" s="28" t="inlineStr">
        <is>
          <t>The queue is ordered by how much time is left to file. I take the claim whose timely filing deadline is closest first and work outward from there, to the ones with the most time left. A claim that runs out of window is money that cannot be recovered, so the window drives the order, not the balance.</t>
        </is>
      </c>
      <c r="E5" s="28" t="inlineStr">
        <is>
          <t>Self; deadlines from the carrier timely filing reference</t>
        </is>
      </c>
      <c r="F5" s="28" t="inlineStr">
        <is>
          <t>Every day - this is the top of the queue</t>
        </is>
      </c>
    </row>
    <row r="6">
      <c r="A6" s="26" t="n">
        <v>2</v>
      </c>
      <c r="B6" s="27" t="inlineStr">
        <is>
          <t>Work queue and order</t>
        </is>
      </c>
      <c r="C6" s="27" t="inlineStr">
        <is>
          <t>Then work denials that are already past due</t>
        </is>
      </c>
      <c r="D6" s="28" t="inlineStr">
        <is>
          <t>Once the claims still inside the filing window are handled, I go back through denials whose deadline has already passed to see what is still recoverable - a late-filing appeal with proof of timely submission, a reconsideration the payer still accepts, or a documented write-off.</t>
        </is>
      </c>
      <c r="E6" s="28" t="inlineStr">
        <is>
          <t>Brianna (lead)</t>
        </is>
      </c>
      <c r="F6" s="28" t="inlineStr">
        <is>
          <t>After the in-window claims are cleared</t>
        </is>
      </c>
    </row>
    <row r="7">
      <c r="A7" s="26" t="n">
        <v>3</v>
      </c>
      <c r="B7" s="27" t="inlineStr">
        <is>
          <t>Work queue and order</t>
        </is>
      </c>
      <c r="C7" s="27" t="inlineStr">
        <is>
          <t>No fixed daily claim target</t>
        </is>
      </c>
      <c r="D7" s="28" t="inlineStr">
        <is>
          <t>There is no set number of claims to close per day, and the work does not support one. One claim can close with a single corrected submission; the next needs a payer call, a records submission, an appeal, and weeks of follow-up. Throughput varies with what the claims need, not with effort.</t>
        </is>
      </c>
      <c r="E7" s="28" t="inlineStr">
        <is>
          <t>Raquel (2Centric manager) - noted for expectation setting</t>
        </is>
      </c>
      <c r="F7" s="28" t="inlineStr">
        <is>
          <t>Standing - describes the role</t>
        </is>
      </c>
    </row>
    <row r="8">
      <c r="A8" s="9" t="n">
        <v>4</v>
      </c>
      <c r="B8" s="7" t="inlineStr">
        <is>
          <t>Research</t>
        </is>
      </c>
      <c r="C8" s="7" t="inlineStr">
        <is>
          <t>Research why payment for a procedure was denied</t>
        </is>
      </c>
      <c r="D8" s="8" t="inlineStr">
        <is>
          <t>This is the main body of the work. I read the denial on the EOB or ERA and work back through the claim - procedure code, modifiers, units, diagnosis linkage, place of service, provider, authorization, eligibility, coordination of benefits, network status - until I find the actual reason the payer did not pay, rather than the reason printed on the remittance.</t>
        </is>
      </c>
      <c r="E8" s="8" t="inlineStr">
        <is>
          <t>Self</t>
        </is>
      </c>
      <c r="F8" s="8" t="inlineStr">
        <is>
          <t>Every denied or underpaid claim</t>
        </is>
      </c>
    </row>
    <row r="9">
      <c r="A9" s="9" t="n">
        <v>5</v>
      </c>
      <c r="B9" s="7" t="inlineStr">
        <is>
          <t>Research</t>
        </is>
      </c>
      <c r="C9" s="7" t="inlineStr">
        <is>
          <t>Call the insurance for denial detail</t>
        </is>
      </c>
      <c r="D9" s="8" t="inlineStr">
        <is>
          <t>When the remittance is not specific enough to act on, I call the payer to get the real denial reason, what they need to reprocess, whether it goes back as a correction or an appeal, and the reference number for the call.</t>
        </is>
      </c>
      <c r="E9" s="8" t="inlineStr">
        <is>
          <t>Payer representatives</t>
        </is>
      </c>
      <c r="F9" s="8" t="inlineStr">
        <is>
          <t>When the remittance is not actionable on its own</t>
        </is>
      </c>
    </row>
    <row r="10">
      <c r="A10" s="9" t="n">
        <v>6</v>
      </c>
      <c r="B10" s="7" t="inlineStr">
        <is>
          <t>Coordination</t>
        </is>
      </c>
      <c r="C10" s="7" t="inlineStr">
        <is>
          <t>Work coding issues with the billers</t>
        </is>
      </c>
      <c r="D10" s="8" t="inlineStr">
        <is>
          <t>When the denial points at how the claim was coded - the procedure code, a modifier, units, or how the diagnosis was linked - I take it back to the biller who coded it so the correction is right before it goes back out.</t>
        </is>
      </c>
      <c r="E10" s="8" t="inlineStr">
        <is>
          <t>Billing / coding team</t>
        </is>
      </c>
      <c r="F10" s="8" t="inlineStr">
        <is>
          <t>Coding, modifier, unit and diagnosis denials</t>
        </is>
      </c>
    </row>
    <row r="11">
      <c r="A11" s="9" t="n">
        <v>7</v>
      </c>
      <c r="B11" s="7" t="inlineStr">
        <is>
          <t>Coordination</t>
        </is>
      </c>
      <c r="C11" s="7" t="inlineStr">
        <is>
          <t>Review claims with the provider</t>
        </is>
      </c>
      <c r="D11" s="8" t="inlineStr">
        <is>
          <t>Some questions are clinical, not administrative - what was actually performed, what the documentation supports, whether the service was medically necessary as billed. Those I take to the rendering provider directly.</t>
        </is>
      </c>
      <c r="E11" s="8" t="inlineStr">
        <is>
          <t>Rendering providers</t>
        </is>
      </c>
      <c r="F11" s="8" t="inlineStr">
        <is>
          <t>Medical necessity and documentation questions</t>
        </is>
      </c>
    </row>
    <row r="12">
      <c r="A12" s="9" t="n">
        <v>8</v>
      </c>
      <c r="B12" s="7" t="inlineStr">
        <is>
          <t>Coordination</t>
        </is>
      </c>
      <c r="C12" s="7" t="inlineStr">
        <is>
          <t>Escalate to the authorizations team</t>
        </is>
      </c>
      <c r="D12" s="8" t="inlineStr">
        <is>
          <t>When the denial is for a missing, expired, or mismatched prior authorization, I hand it to the authorizations team to locate or obtain the auth, then rework the claim once they come back.</t>
        </is>
      </c>
      <c r="E12" s="8" t="inlineStr">
        <is>
          <t>Authorizations team</t>
        </is>
      </c>
      <c r="F12" s="8" t="inlineStr">
        <is>
          <t>Auth-related denials</t>
        </is>
      </c>
    </row>
    <row r="13">
      <c r="A13" s="9" t="n">
        <v>9</v>
      </c>
      <c r="B13" s="7" t="inlineStr">
        <is>
          <t>Coordination</t>
        </is>
      </c>
      <c r="C13" s="7" t="inlineStr">
        <is>
          <t>Escalate to the credentialing team</t>
        </is>
      </c>
      <c r="D13" s="8" t="inlineStr">
        <is>
          <t>When the problem is whether the provider is in network with that payer, or whether their effective date covers the date of service, it goes to credentialing.</t>
        </is>
      </c>
      <c r="E13" s="8" t="inlineStr">
        <is>
          <t>Credentialing team</t>
        </is>
      </c>
      <c r="F13" s="8" t="inlineStr">
        <is>
          <t>Network status and provider enrollment denials</t>
        </is>
      </c>
    </row>
    <row r="14">
      <c r="A14" s="9" t="n">
        <v>10</v>
      </c>
      <c r="B14" s="7" t="inlineStr">
        <is>
          <t>Coordination</t>
        </is>
      </c>
      <c r="C14" s="7" t="inlineStr">
        <is>
          <t>Review claims with Brianna</t>
        </is>
      </c>
      <c r="D14" s="8" t="inlineStr">
        <is>
          <t>Brianna is my main review path. Most claims I work get reviewed with her - the approach before I take it, or the outcome after - and she is who I go to when a claim does not fit a standard route.</t>
        </is>
      </c>
      <c r="E14" s="8" t="inlineStr">
        <is>
          <t>Brianna (direct lead, ASAP)</t>
        </is>
      </c>
      <c r="F14" s="8" t="inlineStr">
        <is>
          <t>Ongoing - the primary review channel</t>
        </is>
      </c>
    </row>
    <row r="15">
      <c r="A15" s="9" t="n">
        <v>11</v>
      </c>
      <c r="B15" s="7" t="inlineStr">
        <is>
          <t>Claim action</t>
        </is>
      </c>
      <c r="C15" s="7" t="inlineStr">
        <is>
          <t>Resubmit claims that need correction</t>
        </is>
      </c>
      <c r="D15" s="8" t="inlineStr">
        <is>
          <t>Rebill the claim with the correction applied - code, modifier, units, place of service, payer, or patient and insurance details - inside the payer's corrected claim window, carrying the original claim reference number so it is treated as a correction and not a duplicate.</t>
        </is>
      </c>
      <c r="E15" s="8" t="inlineStr">
        <is>
          <t>Billers where the correction is a coding change</t>
        </is>
      </c>
      <c r="F15" s="8" t="inlineStr">
        <is>
          <t>Once the cause is identified and the fix is a correction</t>
        </is>
      </c>
    </row>
    <row r="16">
      <c r="A16" s="9" t="n">
        <v>12</v>
      </c>
      <c r="B16" s="7" t="inlineStr">
        <is>
          <t>Claim action</t>
        </is>
      </c>
      <c r="C16" s="7" t="inlineStr">
        <is>
          <t>Submit medical records</t>
        </is>
      </c>
      <c r="D16" s="8" t="inlineStr">
        <is>
          <t>Send the payer what they have asked for to support the claim - office notes, operative reports, orders, proof of delivery on DME - through the route that payer accepts.</t>
        </is>
      </c>
      <c r="E16" s="8" t="inlineStr">
        <is>
          <t>Providers and clinic staff for the documentation</t>
        </is>
      </c>
      <c r="F16" s="8" t="inlineStr">
        <is>
          <t>Records requests and documentation denials</t>
        </is>
      </c>
    </row>
    <row r="17">
      <c r="A17" s="9" t="n">
        <v>13</v>
      </c>
      <c r="B17" s="7" t="inlineStr">
        <is>
          <t>Claim action</t>
        </is>
      </c>
      <c r="C17" s="7" t="inlineStr">
        <is>
          <t>File disputes, reconsiderations and appeals</t>
        </is>
      </c>
      <c r="D17" s="8" t="inlineStr">
        <is>
          <t>Prepare and submit the payer's formal route - level I reconsideration, then level II dispute or appeal where the first is unsuccessful - with the supporting documentation and argument, inside the appeal window for that payer.</t>
        </is>
      </c>
      <c r="E17" s="8" t="inlineStr">
        <is>
          <t>Brianna; providers for clinical support</t>
        </is>
      </c>
      <c r="F17" s="8" t="inlineStr">
        <is>
          <t>When a correction will not overturn the denial</t>
        </is>
      </c>
    </row>
    <row r="18">
      <c r="A18" s="9" t="n">
        <v>14</v>
      </c>
      <c r="B18" s="7" t="inlineStr">
        <is>
          <t>Claim action</t>
        </is>
      </c>
      <c r="C18" s="7" t="inlineStr">
        <is>
          <t>Send new claims</t>
        </is>
      </c>
      <c r="D18" s="8" t="inlineStr">
        <is>
          <t>Where a correction will not fix the problem, or where I see a service that would be better billed separately, I send it as a new claim rather than reworking the existing one.</t>
        </is>
      </c>
      <c r="E18" s="8" t="inlineStr">
        <is>
          <t>Billers</t>
        </is>
      </c>
      <c r="F18" s="8" t="inlineStr">
        <is>
          <t>When correcting the existing claim is the wrong route</t>
        </is>
      </c>
    </row>
    <row r="19">
      <c r="A19" s="9" t="n">
        <v>15</v>
      </c>
      <c r="B19" s="7" t="inlineStr">
        <is>
          <t>Patient contact</t>
        </is>
      </c>
      <c r="C19" s="7" t="inlineStr">
        <is>
          <t>Call patients about their insurance information</t>
        </is>
      </c>
      <c r="D19" s="8" t="inlineStr">
        <is>
          <t>Call the patient and ask them to contact their insurance to update or confirm what the payer is missing - coordination of benefits, eligibility, address, other coverage, plan status - so the claim can be approved for payment. The payer will only take that update from the member.</t>
        </is>
      </c>
      <c r="E19" s="8" t="inlineStr">
        <is>
          <t>Patients</t>
        </is>
      </c>
      <c r="F19" s="8" t="inlineStr">
        <is>
          <t>COB, eligibility and member information denials</t>
        </is>
      </c>
    </row>
    <row r="20">
      <c r="A20" s="9" t="n">
        <v>16</v>
      </c>
      <c r="B20" s="7" t="inlineStr">
        <is>
          <t>Payment and posting</t>
        </is>
      </c>
      <c r="C20" s="7" t="inlineStr">
        <is>
          <t>Correct payment posts in NGO</t>
        </is>
      </c>
      <c r="D20" s="8" t="inlineStr">
        <is>
          <t>Fix posting errors in NGO - a payment, adjustment, or transfer applied to the wrong claim, line, or amount - so the account reflects what the payer actually paid and the balance is real.</t>
        </is>
      </c>
      <c r="E20" s="8" t="inlineStr">
        <is>
          <t>Self; posting team where the error came from them</t>
        </is>
      </c>
      <c r="F20" s="8" t="inlineStr">
        <is>
          <t>Whenever a posting error is found on an account</t>
        </is>
      </c>
    </row>
    <row r="21">
      <c r="A21" s="9" t="n">
        <v>17</v>
      </c>
      <c r="B21" s="7" t="inlineStr">
        <is>
          <t>Payment and posting</t>
        </is>
      </c>
      <c r="C21" s="7" t="inlineStr">
        <is>
          <t>Request pending EOBs and ERAs</t>
        </is>
      </c>
      <c r="D21" s="8" t="inlineStr">
        <is>
          <t>Request the remittance from the payer when it has not come through on our end and the claim cannot be worked or posted without seeing how it processed.</t>
        </is>
      </c>
      <c r="E21" s="8" t="inlineStr">
        <is>
          <t>Payer representatives</t>
        </is>
      </c>
      <c r="F21" s="8" t="inlineStr">
        <is>
          <t>Missing remittance advice</t>
        </is>
      </c>
    </row>
    <row r="22">
      <c r="A22" s="9" t="n">
        <v>18</v>
      </c>
      <c r="B22" s="7" t="inlineStr">
        <is>
          <t>Payment and posting</t>
        </is>
      </c>
      <c r="C22" s="7" t="inlineStr">
        <is>
          <t>Confirm whether a check was sent or cashed</t>
        </is>
      </c>
      <c r="D22" s="8" t="inlineStr">
        <is>
          <t>Call the payer to confirm whether a check was actually issued and whether it has cleared, when we cannot locate the payment on our end - get the check number and date, and request a trace, stop payment, or reissue where it is warranted.</t>
        </is>
      </c>
      <c r="E22" s="8" t="inlineStr">
        <is>
          <t>Payer representatives</t>
        </is>
      </c>
      <c r="F22" s="8" t="inlineStr">
        <is>
          <t>Payments the payer shows as issued that we cannot find</t>
        </is>
      </c>
    </row>
    <row r="23">
      <c r="A23" s="9" t="n">
        <v>19</v>
      </c>
      <c r="B23" s="7" t="inlineStr">
        <is>
          <t>Account level</t>
        </is>
      </c>
      <c r="C23" s="7" t="inlineStr">
        <is>
          <t>Resolve holds on our accounts</t>
        </is>
      </c>
      <c r="D23" s="8" t="inlineStr">
        <is>
          <t>When a payer puts a hold on our accounts and claims stop processing, I work with them to find the path that clears it - what they are waiting on, who releases it, and what has to be submitted - and follow it through until claims flow again.</t>
        </is>
      </c>
      <c r="E23" s="8" t="inlineStr">
        <is>
          <t>Payer representatives; Brianna</t>
        </is>
      </c>
      <c r="F23" s="8" t="inlineStr">
        <is>
          <t>Whenever a payer hold blocks processing</t>
        </is>
      </c>
    </row>
    <row r="24">
      <c r="A24" s="26" t="n">
        <v>20</v>
      </c>
      <c r="B24" s="27" t="inlineStr">
        <is>
          <t>Ad hoc</t>
        </is>
      </c>
      <c r="C24" s="27" t="inlineStr">
        <is>
          <t>Review unsolved issues in podiatry, EMG and RTM</t>
        </is>
      </c>
      <c r="D24" s="28" t="inlineStr">
        <is>
          <t>Brianna and Deanne sometimes ask me to review unresolved claims in podiatry, EMG and remote therapeutic monitoring. These sit outside my five core specialties - I pick them up as one-off reviews rather than carrying a standing inventory for them.</t>
        </is>
      </c>
      <c r="E24" s="28" t="inlineStr">
        <is>
          <t>Brianna (lead); Deanne (billing department manager)</t>
        </is>
      </c>
      <c r="F24" s="28" t="inlineStr">
        <is>
          <t>On request</t>
        </is>
      </c>
    </row>
  </sheetData>
  <autoFilter ref="A4:F24"/>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A24"/>
  <sheetViews>
    <sheetView showGridLines="0" workbookViewId="0">
      <selection activeCell="A1" sqref="A1"/>
    </sheetView>
  </sheetViews>
  <sheetFormatPr baseColWidth="8" defaultRowHeight="15"/>
  <cols>
    <col width="122" customWidth="1" min="1" max="1"/>
  </cols>
  <sheetData>
    <row r="1">
      <c r="A1" s="1" t="inlineStr">
        <is>
          <t>Notes, assumptions and sources</t>
        </is>
      </c>
    </row>
    <row r="2">
      <c r="A2" s="2" t="inlineStr"/>
    </row>
    <row r="4">
      <c r="A4" s="3" t="inlineStr">
        <is>
          <t>Where each part of this workbook comes from</t>
        </is>
      </c>
    </row>
    <row r="5">
      <c r="A5" s="4" t="inlineStr">
        <is>
          <t>'Specialties' - the five core specialties, their codes and their scope descriptions come from 'Specialty_CPT_HCPCS_Code_Reference.xlsx' in this repository. Podiatry, EMG and RTM were supplied by me and are not in that file; they have no code list, volume or payer set here because I do not carry a standing inventory for them.</t>
        </is>
      </c>
    </row>
    <row r="6">
      <c r="A6" s="4" t="inlineStr">
        <is>
          <t>'Codes' - copied from the 'Code Master' tab of 'Specialty_CPT_HCPCS_Code_Reference.xlsx', 101 codes across the five specialties. The 'On 2026 S1 claims' column was calculated by matching each code against the procedure codes on the 1,086 pending claim lines - 46 of the codes appear there. A 'No' does not mean the code is not mine; it means no pending claim in that snapshot carries it.</t>
        </is>
      </c>
    </row>
    <row r="7">
      <c r="A7" s="4" t="inlineStr">
        <is>
          <t>'Providers', 'Locations', 'Payers' - taken from the 'Merged' sheet of 'Specialty Claims Pending 2026-S1.xlsx' (1,086 claim lines, dates of service 01/05/2026 to 06/30/2026). Names are reproduced exactly as they appear in the practice system, including inconsistent capitalisation, so they match when searched.</t>
        </is>
      </c>
    </row>
    <row r="8">
      <c r="A8" s="4" t="inlineStr">
        <is>
          <t>'Payers' timely filing columns - matched through column O ('Likely Payer Name(s) in AR Data') of 'Carrier_Timely_Filing_Reference.xlsx'. 40 of the 85 payer names map to a carrier row; the remaining 45 are marked 'Not mapped'.</t>
        </is>
      </c>
    </row>
    <row r="9">
      <c r="A9" s="4" t="inlineStr">
        <is>
          <t>'Functions &amp; Tasks' - supplied by me, describing the role as it is actually worked. Not taken from a written job description.</t>
        </is>
      </c>
    </row>
    <row r="11">
      <c r="A11" s="3" t="inlineStr">
        <is>
          <t>Assumptions and caveats</t>
        </is>
      </c>
    </row>
    <row r="12">
      <c r="A12" s="4" t="inlineStr">
        <is>
          <t>Claim-line counts are a snapshot of pending AR at the time that file was pulled. They show where the volume sits across specialties, providers, locations and payers - they are not a record of everything worked, and not a productivity figure.</t>
        </is>
      </c>
    </row>
    <row r="13">
      <c r="A13" s="4" t="inlineStr">
        <is>
          <t>A claim line is one procedure line, not one claim. A claim with three procedure codes contributes three lines, so provider and location counts reflect billed lines rather than patient encounters.</t>
        </is>
      </c>
    </row>
    <row r="14">
      <c r="A14" s="4" t="inlineStr">
        <is>
          <t>The three payer counts overlap. Every claim has a primary payer and one responsible payer, and may have a secondary payer; the responsible payer is whichever one currently holds the balance. Do not add the three columns together.</t>
        </is>
      </c>
    </row>
    <row r="15">
      <c r="A15" s="4" t="inlineStr">
        <is>
          <t>'LIEN 03' and 'LIEN 05' appear in the payer field but are lien accounts, not insurance carriers. They are kept in the list because claims sit under them.</t>
        </is>
      </c>
    </row>
    <row r="16">
      <c r="A16" s="4" t="inlineStr">
        <is>
          <t>The five 'Advanced Spine and Pain LLC DME' entries in the provider column are supplier entities per location, not individual clinicians. They are listed with the providers because that is the field the claims carry them in.</t>
        </is>
      </c>
    </row>
    <row r="17">
      <c r="A17" s="4" t="inlineStr">
        <is>
          <t>Two codes on the 'Codes' tab are flagged amber in the billing notes and should not be billed without checking first: 97504 (deleted from CPT in 2006, replaced by 97760 / 97763) and L3028 (could not be confirmed as a valid HCPCS Level II code). Both flags are carried over from the source reference file.</t>
        </is>
      </c>
    </row>
    <row r="18">
      <c r="A18" s="4" t="inlineStr">
        <is>
          <t>CPT is a registered trademark of the American Medical Association, which holds the copyright in the CPT code set and its descriptors. HCPCS Level II descriptors are from the CMS code set and are in the public domain. This is an internal working reference - confirm any descriptor against a current licensed CPT manual before relying on it for billing. Both code sets change annually.</t>
        </is>
      </c>
    </row>
    <row r="20">
      <c r="A20" s="3" t="inlineStr">
        <is>
          <t>No patient data</t>
        </is>
      </c>
    </row>
    <row r="21">
      <c r="A21" s="4" t="inlineStr">
        <is>
          <t>This workbook contains no patient names, chart numbers, claim IDs, dates of service, diagnoses or dollar amounts. It carries only counts, code lists and role description.</t>
        </is>
      </c>
    </row>
    <row r="23">
      <c r="A23" s="3" t="inlineStr">
        <is>
          <t>Prepared</t>
        </is>
      </c>
    </row>
    <row r="24">
      <c r="A24" s="4" t="inlineStr">
        <is>
          <t>Prepared August 2026 by Linda Mora, at the request of Raquel (2Centric). The claims described are worked for ASAP, where Brianna is the direct lead and Deanne is the billing department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2026-08-17T17:31:31Z</dcterms:created>
  <dcterms:modified xsi:type="dcterms:W3CDTF">2026-08-17T17:31:32Z</dcterms:modified>
</cp:coreProperties>
</file>