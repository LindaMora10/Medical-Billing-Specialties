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31" documentId="11_23DFB2700444359EC757A1EC06AF36DA32B435A4" xr6:coauthVersionLast="47" xr6:coauthVersionMax="47" xr10:uidLastSave="{6DCADB83-285E-4EEF-950F-85DA1BD14149}"/>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BH!$A$1:$AO$32</definedName>
    <definedName name="_xlnm._FilterDatabase" localSheetId="1" hidden="1">DME!$A$1:$AO$11</definedName>
    <definedName name="_xlnm._FilterDatabase" localSheetId="2" hidden="1">GAE!$A$1:$AO$4</definedName>
    <definedName name="_xlnm._FilterDatabase" localSheetId="3" hidden="1">ORTHO!$A$1:$AO$16</definedName>
    <definedName name="_xlnm._FilterDatabase" localSheetId="4" hidden="1">US!$A$1:$AO$15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5" i="5" l="1"/>
  <c r="M15" i="5"/>
  <c r="L15" i="5"/>
  <c r="N14" i="5"/>
  <c r="M14" i="5"/>
  <c r="L14" i="5"/>
  <c r="N13" i="5"/>
  <c r="M13" i="5"/>
  <c r="L13" i="5"/>
  <c r="N12" i="5"/>
  <c r="M12" i="5"/>
  <c r="L12" i="5"/>
  <c r="N11" i="5"/>
  <c r="M11" i="5"/>
  <c r="L11" i="5"/>
  <c r="N10" i="5"/>
  <c r="M10" i="5"/>
  <c r="L10" i="5"/>
  <c r="N9" i="5"/>
  <c r="M9" i="5"/>
  <c r="L9" i="5"/>
  <c r="N8" i="5"/>
  <c r="M8" i="5"/>
  <c r="L8" i="5"/>
  <c r="N7" i="5"/>
  <c r="M7" i="5"/>
  <c r="L7" i="5"/>
  <c r="N6" i="5"/>
  <c r="M6" i="5"/>
  <c r="L6" i="5"/>
  <c r="L5" i="5"/>
  <c r="N4" i="5"/>
  <c r="M4" i="5"/>
  <c r="L4" i="5"/>
  <c r="N3" i="5"/>
  <c r="M3" i="5"/>
  <c r="L3" i="5"/>
  <c r="N2" i="5"/>
  <c r="M2" i="5"/>
  <c r="L2" i="5"/>
  <c r="N16" i="4"/>
  <c r="M16" i="4"/>
  <c r="L16" i="4"/>
  <c r="N15" i="4"/>
  <c r="M15" i="4"/>
  <c r="L15" i="4"/>
  <c r="N14" i="4"/>
  <c r="M14" i="4"/>
  <c r="L14" i="4"/>
  <c r="N13" i="4"/>
  <c r="M13" i="4"/>
  <c r="L13" i="4"/>
  <c r="N12" i="4"/>
  <c r="M12" i="4"/>
  <c r="L12" i="4"/>
  <c r="N11" i="4"/>
  <c r="M11" i="4"/>
  <c r="L11" i="4"/>
  <c r="N10" i="4"/>
  <c r="M10" i="4"/>
  <c r="L10" i="4"/>
  <c r="N9" i="4"/>
  <c r="M9" i="4"/>
  <c r="L9" i="4"/>
  <c r="N8" i="4"/>
  <c r="M8" i="4"/>
  <c r="L8" i="4"/>
  <c r="N7" i="4"/>
  <c r="M7" i="4"/>
  <c r="L7" i="4"/>
  <c r="N6" i="4"/>
  <c r="M6" i="4"/>
  <c r="L6" i="4"/>
  <c r="N5" i="4"/>
  <c r="M5" i="4"/>
  <c r="L5" i="4"/>
  <c r="N4" i="4"/>
  <c r="M4" i="4"/>
  <c r="L4" i="4"/>
  <c r="N3" i="4"/>
  <c r="M3" i="4"/>
  <c r="L3" i="4"/>
  <c r="N2" i="4"/>
  <c r="M2" i="4"/>
  <c r="L2" i="4"/>
  <c r="N4" i="3"/>
  <c r="L4" i="3"/>
  <c r="N3" i="3"/>
  <c r="M3" i="3"/>
  <c r="L3" i="3"/>
  <c r="N2" i="3"/>
  <c r="M2" i="3"/>
  <c r="L2" i="3"/>
  <c r="N11" i="2"/>
  <c r="M11" i="2"/>
  <c r="L11" i="2"/>
  <c r="N10" i="2"/>
  <c r="M10" i="2"/>
  <c r="L10" i="2"/>
  <c r="N9" i="2"/>
  <c r="M9" i="2"/>
  <c r="L9" i="2"/>
  <c r="N8" i="2"/>
  <c r="M8" i="2"/>
  <c r="L8" i="2"/>
  <c r="N7" i="2"/>
  <c r="M7" i="2"/>
  <c r="L7" i="2"/>
  <c r="N6" i="2"/>
  <c r="M6" i="2"/>
  <c r="L6" i="2"/>
  <c r="N5" i="2"/>
  <c r="M5" i="2"/>
  <c r="L5" i="2"/>
  <c r="N4" i="2"/>
  <c r="M4" i="2"/>
  <c r="L4" i="2"/>
  <c r="N3" i="2"/>
  <c r="M3" i="2"/>
  <c r="L3" i="2"/>
  <c r="N2" i="2"/>
  <c r="M2" i="2"/>
  <c r="L2" i="2"/>
  <c r="L32" i="1"/>
  <c r="L31" i="1"/>
  <c r="L30" i="1"/>
  <c r="N29" i="1"/>
  <c r="M29" i="1"/>
  <c r="L29" i="1"/>
  <c r="N28" i="1"/>
  <c r="M28" i="1"/>
  <c r="L28" i="1"/>
  <c r="N27" i="1"/>
  <c r="M27" i="1"/>
  <c r="L27" i="1"/>
  <c r="N26" i="1"/>
  <c r="M26" i="1"/>
  <c r="L26" i="1"/>
  <c r="N25" i="1"/>
  <c r="M25" i="1"/>
  <c r="L25" i="1"/>
  <c r="N24" i="1"/>
  <c r="M24" i="1"/>
  <c r="L24" i="1"/>
  <c r="N23" i="1"/>
  <c r="M23" i="1"/>
  <c r="L23" i="1"/>
  <c r="N22" i="1"/>
  <c r="M22" i="1"/>
  <c r="L22" i="1"/>
  <c r="N21" i="1"/>
  <c r="M21" i="1"/>
  <c r="L21" i="1"/>
  <c r="N20" i="1"/>
  <c r="M20" i="1"/>
  <c r="L20" i="1"/>
  <c r="N19" i="1"/>
  <c r="M19" i="1"/>
  <c r="L19" i="1"/>
  <c r="N18" i="1"/>
  <c r="M18" i="1"/>
  <c r="L18" i="1"/>
  <c r="N17" i="1"/>
  <c r="M17" i="1"/>
  <c r="L17" i="1"/>
  <c r="N16" i="1"/>
  <c r="M16" i="1"/>
  <c r="L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<sst xmlns="http://schemas.openxmlformats.org/spreadsheetml/2006/main" count="1671" uniqueCount="498">
  <si>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</si>
  <si>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</si>
  <si>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</si>
  <si>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</si>
  <si>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</si>
  <si>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</si>
  <si>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</si>
  <si>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</si>
  <si>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</si>
  <si>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</si>
  <si>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</si>
  <si>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</si>
  <si>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</si>
  <si>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</si>
  <si>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</si>
  <si>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</si>
  <si>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</si>
  <si>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</si>
  <si>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</si>
  <si>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</si>
  <si>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</si>
  <si>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</si>
  <si>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</si>
  <si>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</si>
  <si>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</si>
  <si>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</si>
  <si>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</si>
  <si>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</si>
  <si>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</si>
  <si>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</si>
  <si>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</si>
  <si>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</si>
  <si>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</si>
  <si>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</si>
  <si>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</si>
  <si>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</si>
  <si>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</si>
  <si>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</si>
  <si>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</si>
  <si>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</si>
  <si>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</si>
  <si>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HF522230488</t>
  </si>
  <si>
    <t>Oscar Health</t>
  </si>
  <si>
    <t>No Payer</t>
  </si>
  <si>
    <t>99493 x1; 99494 x1</t>
  </si>
  <si>
    <t>180 days</t>
  </si>
  <si>
    <t>OSCAR HEALTH</t>
  </si>
  <si>
    <t>Date of service</t>
  </si>
  <si>
    <t>Processed date</t>
  </si>
  <si>
    <t>1</t>
  </si>
  <si>
    <t>F4323</t>
  </si>
  <si>
    <t>HUERTA, KARLA</t>
  </si>
  <si>
    <t>ASAP Peoria</t>
  </si>
  <si>
    <t>BH</t>
  </si>
  <si>
    <t>391, 427</t>
  </si>
  <si>
    <t>HF524312806</t>
  </si>
  <si>
    <t>Medica Health Plan Solutions (Mayo Plan - CHI Health)</t>
  </si>
  <si>
    <t>99494 x1; 99493 x1</t>
  </si>
  <si>
    <t>MEDICA</t>
  </si>
  <si>
    <t>365 days</t>
  </si>
  <si>
    <t>F411</t>
  </si>
  <si>
    <t>MEARS, CHAD</t>
  </si>
  <si>
    <t>ASAP - Gilbert</t>
  </si>
  <si>
    <t>345, 346</t>
  </si>
  <si>
    <t>Finalized</t>
  </si>
  <si>
    <t>HF549983763</t>
  </si>
  <si>
    <t>Mutual of Omaha Insurance Company</t>
  </si>
  <si>
    <t>Medicare Part B Arizona *</t>
  </si>
  <si>
    <t>99494 x1; 99492 x1</t>
  </si>
  <si>
    <t>MEDICARE</t>
  </si>
  <si>
    <t>120 days</t>
  </si>
  <si>
    <t>F4320</t>
  </si>
  <si>
    <t>TURLEY, TODD</t>
  </si>
  <si>
    <t>279, 280</t>
  </si>
  <si>
    <t>HF470696196</t>
  </si>
  <si>
    <t>Blue Cross Blue Shield of Arizona (BCBS AZ)</t>
  </si>
  <si>
    <t>99493 x1; 99494 x2</t>
  </si>
  <si>
    <t>1, 2</t>
  </si>
  <si>
    <t>F4321</t>
  </si>
  <si>
    <t>SARKAR, AWNIK</t>
  </si>
  <si>
    <t>ASAP - DEER VALLEY</t>
  </si>
  <si>
    <t>7, 8</t>
  </si>
  <si>
    <t>HF364689537</t>
  </si>
  <si>
    <t>F330</t>
  </si>
  <si>
    <t>4, 5</t>
  </si>
  <si>
    <t>HF550420682</t>
  </si>
  <si>
    <t>AARP United Healthcare</t>
  </si>
  <si>
    <t>99492 x1; 99494 x1</t>
  </si>
  <si>
    <t>F1190</t>
  </si>
  <si>
    <t>KRAUSE, JEFFREY</t>
  </si>
  <si>
    <t>467, 468</t>
  </si>
  <si>
    <t>HF544007270</t>
  </si>
  <si>
    <t>Bankers Life Colonial Penn Life</t>
  </si>
  <si>
    <t>F39</t>
  </si>
  <si>
    <t>LEATHEM, JARRETT</t>
  </si>
  <si>
    <t>178, 179</t>
  </si>
  <si>
    <t>HF419012518</t>
  </si>
  <si>
    <t>ChampVA - HAC</t>
  </si>
  <si>
    <t>O'NEIL, ROY</t>
  </si>
  <si>
    <t>77, 78</t>
  </si>
  <si>
    <t>HF329719904</t>
  </si>
  <si>
    <t>Mercy Care Health Plan Advantage (AHCCCS)</t>
  </si>
  <si>
    <t>F32A</t>
  </si>
  <si>
    <t>BURGHER, ABRAM</t>
  </si>
  <si>
    <t>79, 80</t>
  </si>
  <si>
    <t>HF444976688</t>
  </si>
  <si>
    <t>886, 887</t>
  </si>
  <si>
    <t>HF550289743</t>
  </si>
  <si>
    <t>Banner Medicare Advantage Prime HMO (BMAH)</t>
  </si>
  <si>
    <t>KALLGREN, MARK</t>
  </si>
  <si>
    <t>257, 264</t>
  </si>
  <si>
    <t>HF537685966</t>
  </si>
  <si>
    <t>90 days</t>
  </si>
  <si>
    <t>BCBS</t>
  </si>
  <si>
    <t>BAUGHER, TIMOTHY</t>
  </si>
  <si>
    <t>909, 910</t>
  </si>
  <si>
    <t>HF372010397</t>
  </si>
  <si>
    <t>Optum Care Medical Network of Arizona, Utah, &amp; Washington (LifePrint)</t>
  </si>
  <si>
    <t>OPTUM</t>
  </si>
  <si>
    <t>757, 758</t>
  </si>
  <si>
    <t>Received</t>
  </si>
  <si>
    <t>HF417864409</t>
  </si>
  <si>
    <t>UnitedHealthcare Community Plan / Arizona Long Term Care</t>
  </si>
  <si>
    <t>United Healthcare</t>
  </si>
  <si>
    <t>UHC COMMERCIAL</t>
  </si>
  <si>
    <t>261, 262</t>
  </si>
  <si>
    <t>HF515864933</t>
  </si>
  <si>
    <t>450, 451</t>
  </si>
  <si>
    <t>HF509386349</t>
  </si>
  <si>
    <t>89, 90</t>
  </si>
  <si>
    <t>Rejected</t>
  </si>
  <si>
    <t>HF499452983</t>
  </si>
  <si>
    <t>99492+79 x1; 99494 x1</t>
  </si>
  <si>
    <t>UHC COMMUNITY</t>
  </si>
  <si>
    <t>79</t>
  </si>
  <si>
    <t>411, 412</t>
  </si>
  <si>
    <t>HF492208813</t>
  </si>
  <si>
    <t>760, 761</t>
  </si>
  <si>
    <t>HF542079660</t>
  </si>
  <si>
    <t>91, 92</t>
  </si>
  <si>
    <t>HF341023592</t>
  </si>
  <si>
    <t>F331</t>
  </si>
  <si>
    <t>45, 46</t>
  </si>
  <si>
    <t>HF550612373</t>
  </si>
  <si>
    <t>656, 657</t>
  </si>
  <si>
    <t>HF549281205</t>
  </si>
  <si>
    <t>MORALES, DAVID</t>
  </si>
  <si>
    <t>93, 94</t>
  </si>
  <si>
    <t>99494 x1</t>
  </si>
  <si>
    <t>M5417</t>
  </si>
  <si>
    <t>Z79891</t>
  </si>
  <si>
    <t>ASAP - Biltmore</t>
  </si>
  <si>
    <t>428</t>
  </si>
  <si>
    <t>HF545223898</t>
  </si>
  <si>
    <t>Humana Gold Plus HMO</t>
  </si>
  <si>
    <t>99492 x1</t>
  </si>
  <si>
    <t>HUMANA MA</t>
  </si>
  <si>
    <t>60 days</t>
  </si>
  <si>
    <t>2</t>
  </si>
  <si>
    <t>HF443112560</t>
  </si>
  <si>
    <t>141, 142</t>
  </si>
  <si>
    <t>HF481780302</t>
  </si>
  <si>
    <t>99494 x1; 99492+79 x1</t>
  </si>
  <si>
    <t>207, 208</t>
  </si>
  <si>
    <t>HF330559209</t>
  </si>
  <si>
    <t>Banner Aetna</t>
  </si>
  <si>
    <t>BANNER HEALTH &amp; AETNA</t>
  </si>
  <si>
    <t>762, 763</t>
  </si>
  <si>
    <t>HF525117988</t>
  </si>
  <si>
    <t>TRIWEST VA CCN CLAIMS</t>
  </si>
  <si>
    <t>99493 x1</t>
  </si>
  <si>
    <t>TRIWEST</t>
  </si>
  <si>
    <t>105</t>
  </si>
  <si>
    <t>HF539993491</t>
  </si>
  <si>
    <t>Alignment Health Care</t>
  </si>
  <si>
    <t>Not on reference list</t>
  </si>
  <si>
    <t>444, 445</t>
  </si>
  <si>
    <t>HF547777590</t>
  </si>
  <si>
    <t>Banner University Family Care - Arizona Long Term Care System</t>
  </si>
  <si>
    <t>Banner University Care Dual Advantage Plan</t>
  </si>
  <si>
    <t>99494 x2; 99492 x1</t>
  </si>
  <si>
    <t>2, 1</t>
  </si>
  <si>
    <t>96, 97</t>
  </si>
  <si>
    <t>HF524119358</t>
  </si>
  <si>
    <t>Imperial Insurance Companies Inc Exchange AZ (IEXAZ) (WAYSTAR ONLY)</t>
  </si>
  <si>
    <t>1007, 1008</t>
  </si>
  <si>
    <t>HF545896181</t>
  </si>
  <si>
    <t>DME Region D</t>
  </si>
  <si>
    <t>MediCo Insurance Company</t>
  </si>
  <si>
    <t>L1851+KX x1</t>
  </si>
  <si>
    <t>KX</t>
  </si>
  <si>
    <t>M1711</t>
  </si>
  <si>
    <t>Advanced Spine and Pain LLC DME GWY</t>
  </si>
  <si>
    <t>Advanced Spine and Pain LLC DME - Surprise Reems</t>
  </si>
  <si>
    <t>DME</t>
  </si>
  <si>
    <t>129</t>
  </si>
  <si>
    <t>HF551760467</t>
  </si>
  <si>
    <t>Humana</t>
  </si>
  <si>
    <t>L0650+KX x1</t>
  </si>
  <si>
    <t>M5416</t>
  </si>
  <si>
    <t>M48062</t>
  </si>
  <si>
    <t>Advanced Spine and Pain LLC DME - Greenway</t>
  </si>
  <si>
    <t>390</t>
  </si>
  <si>
    <t>HF545895005</t>
  </si>
  <si>
    <t>BANKERS FIDELITY</t>
  </si>
  <si>
    <t>A6023+A2 x10</t>
  </si>
  <si>
    <t>A2</t>
  </si>
  <si>
    <t>10</t>
  </si>
  <si>
    <t>G894</t>
  </si>
  <si>
    <t>M961</t>
  </si>
  <si>
    <t>Advanced Spine and Pain LLC DME SUR</t>
  </si>
  <si>
    <t>781</t>
  </si>
  <si>
    <t>HF473973377</t>
  </si>
  <si>
    <t>M47817</t>
  </si>
  <si>
    <t>M5450</t>
  </si>
  <si>
    <t>Advanced Spine and Pain LLC DME - Peoria</t>
  </si>
  <si>
    <t>470</t>
  </si>
  <si>
    <t>HF541294637</t>
  </si>
  <si>
    <t>Medicare Railroad (RR Medicare MetraHealth) 00882</t>
  </si>
  <si>
    <t>A6023+A1 x20</t>
  </si>
  <si>
    <t>A1</t>
  </si>
  <si>
    <t>20</t>
  </si>
  <si>
    <t>ASAP - Goodyear</t>
  </si>
  <si>
    <t>547</t>
  </si>
  <si>
    <t>HF549224659</t>
  </si>
  <si>
    <t>A6023+A1 x10</t>
  </si>
  <si>
    <t>792</t>
  </si>
  <si>
    <t>HF518773107</t>
  </si>
  <si>
    <t>Aetna Senior Supplemental (AESSI) - Secondary Only 62118</t>
  </si>
  <si>
    <t>M5459</t>
  </si>
  <si>
    <t>Z4789</t>
  </si>
  <si>
    <t>Advanced Spine and Pain LLC DME - Gilbert</t>
  </si>
  <si>
    <t>764</t>
  </si>
  <si>
    <t>HF549992587</t>
  </si>
  <si>
    <t>L0650+NU x1</t>
  </si>
  <si>
    <t>NU</t>
  </si>
  <si>
    <t>M47896</t>
  </si>
  <si>
    <t>896</t>
  </si>
  <si>
    <t>HF545096268</t>
  </si>
  <si>
    <t>A6010+A1 x20</t>
  </si>
  <si>
    <t>L03116</t>
  </si>
  <si>
    <t>M2012</t>
  </si>
  <si>
    <t>Q66212</t>
  </si>
  <si>
    <t>KOMINSKY, STEPHEN</t>
  </si>
  <si>
    <t>386</t>
  </si>
  <si>
    <t>HF548742459</t>
  </si>
  <si>
    <t>UnitedHealthcare / All Savers Insurance</t>
  </si>
  <si>
    <t>M5489</t>
  </si>
  <si>
    <t>ADLER, STEVEN</t>
  </si>
  <si>
    <t>31</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</si>
  <si>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</si>
  <si>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</si>
  <si>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</si>
  <si>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</si>
  <si>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</si>
  <si>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</si>
  <si>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</si>
  <si>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</si>
  <si>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</si>
  <si>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</si>
  <si>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</si>
  <si>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</si>
  <si>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</si>
  <si>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765, 766, 767</t>
  </si>
  <si>
    <t>HF531061819</t>
  </si>
  <si>
    <t>AMETrust</t>
  </si>
  <si>
    <t>37242 x1</t>
  </si>
  <si>
    <t>M1712</t>
  </si>
  <si>
    <t>M25562</t>
  </si>
  <si>
    <t>282</t>
  </si>
  <si>
    <t>HF362284092</t>
  </si>
  <si>
    <t>UMR Wausau / UHIS</t>
  </si>
  <si>
    <t>Arizona Complete Health (Centene)</t>
  </si>
  <si>
    <t>75710+XU+LT x1; 75774+XU x5; 36245+59 x1; 36248+59 x3; 37242 x1; 36246+59+LT x1; 76937 x1</t>
  </si>
  <si>
    <t>UMR / WAUSAU</t>
  </si>
  <si>
    <t>XU, 59</t>
  </si>
  <si>
    <t>LT</t>
  </si>
  <si>
    <t>1, 5, 3</t>
  </si>
  <si>
    <t>95, 103, 111, 112, 113, 114, 115</t>
  </si>
  <si>
    <t>HF339893207</t>
  </si>
  <si>
    <t>63655 x1</t>
  </si>
  <si>
    <t>LUKE, TIMOTHY</t>
  </si>
  <si>
    <t>ORTHO</t>
  </si>
  <si>
    <t>469</t>
  </si>
  <si>
    <t>HF538467882</t>
  </si>
  <si>
    <t>63047 x1; 63048 x1</t>
  </si>
  <si>
    <t>M4316</t>
  </si>
  <si>
    <t>M51362</t>
  </si>
  <si>
    <t>M4726</t>
  </si>
  <si>
    <t>Q7649</t>
  </si>
  <si>
    <t>MCCUNNIFF, PETER</t>
  </si>
  <si>
    <t>784, 785</t>
  </si>
  <si>
    <t>63685 x1</t>
  </si>
  <si>
    <t>121</t>
  </si>
  <si>
    <t>HF455478612</t>
  </si>
  <si>
    <t>G609</t>
  </si>
  <si>
    <t>G5783</t>
  </si>
  <si>
    <t>CURRIE, DAVID</t>
  </si>
  <si>
    <t>Premier Endoscopy Center, LLC</t>
  </si>
  <si>
    <t>140</t>
  </si>
  <si>
    <t>HF538308641</t>
  </si>
  <si>
    <t>63047+XS x1; 63048 x1; 22612 x1</t>
  </si>
  <si>
    <t>XS</t>
  </si>
  <si>
    <t>M5416, M4317</t>
  </si>
  <si>
    <t>M48062, M4807</t>
  </si>
  <si>
    <t>143, 144, 145</t>
  </si>
  <si>
    <t>HF425603516</t>
  </si>
  <si>
    <t>G90523</t>
  </si>
  <si>
    <t>283</t>
  </si>
  <si>
    <t>HF539238719</t>
  </si>
  <si>
    <t>Mercy Care Plan (AHCCCS) - Complete Care &amp; Long Term Care (LTC)</t>
  </si>
  <si>
    <t>27279+LT x1</t>
  </si>
  <si>
    <t>M461</t>
  </si>
  <si>
    <t>HF517981468</t>
  </si>
  <si>
    <t>HealthSpring Medicare Advantage</t>
  </si>
  <si>
    <t>63048 x1</t>
  </si>
  <si>
    <t>CIGNA / CIGNA MEDICARE</t>
  </si>
  <si>
    <t>M4120</t>
  </si>
  <si>
    <t>759</t>
  </si>
  <si>
    <t>HF490461961</t>
  </si>
  <si>
    <t>63047 x1</t>
  </si>
  <si>
    <t>452</t>
  </si>
  <si>
    <t>HF537038069</t>
  </si>
  <si>
    <t>22853 x1; 22551 x1; 22845+59 x1</t>
  </si>
  <si>
    <t>59</t>
  </si>
  <si>
    <t>M4802</t>
  </si>
  <si>
    <t>M50021</t>
  </si>
  <si>
    <t>MAYURAN, VIKRAM</t>
  </si>
  <si>
    <t>Banner Desert Medical Center</t>
  </si>
  <si>
    <t>520, 521, 522</t>
  </si>
  <si>
    <t>HF495165589</t>
  </si>
  <si>
    <t>22853 x1; 22845+59 x1; 22551 x1</t>
  </si>
  <si>
    <t>M4317</t>
  </si>
  <si>
    <t>47, 48, 49</t>
  </si>
  <si>
    <t>HF536440270</t>
  </si>
  <si>
    <t>22853 x1; 22612 x1</t>
  </si>
  <si>
    <t>M48061</t>
  </si>
  <si>
    <t>50, 104</t>
  </si>
  <si>
    <t>HF404885397</t>
  </si>
  <si>
    <t>63655 x1; 63685 x1</t>
  </si>
  <si>
    <t>650, 651</t>
  </si>
  <si>
    <t>63030+50 x1; 63035+LT x1</t>
  </si>
  <si>
    <t>HUMANA COMMERCIAL</t>
  </si>
  <si>
    <t>50, LT</t>
  </si>
  <si>
    <t>M9963</t>
  </si>
  <si>
    <t>M5126</t>
  </si>
  <si>
    <t>138, 139</t>
  </si>
  <si>
    <t>HF518096784</t>
  </si>
  <si>
    <t>Aetna Legacy</t>
  </si>
  <si>
    <t>AETNA</t>
  </si>
  <si>
    <t>347</t>
  </si>
  <si>
    <t>HF330249847</t>
  </si>
  <si>
    <t>Mercy Care RBHA</t>
  </si>
  <si>
    <t>93923 x1; 93925 x1</t>
  </si>
  <si>
    <t>MERCY CARE MEDICAID</t>
  </si>
  <si>
    <t>E1142</t>
  </si>
  <si>
    <t>US</t>
  </si>
  <si>
    <t>553, 554</t>
  </si>
  <si>
    <t>HF497596195</t>
  </si>
  <si>
    <t>93970 x1</t>
  </si>
  <si>
    <t>I8312</t>
  </si>
  <si>
    <t>I872</t>
  </si>
  <si>
    <t>460</t>
  </si>
  <si>
    <t>HF553586044</t>
  </si>
  <si>
    <t>93970 x1; 93923 x1</t>
  </si>
  <si>
    <t>I4891</t>
  </si>
  <si>
    <t>I83893</t>
  </si>
  <si>
    <t>116, 117</t>
  </si>
  <si>
    <t>HF508997880</t>
  </si>
  <si>
    <t>Banner Health Physician Hospital Organization Plan Administration</t>
  </si>
  <si>
    <t>BANNER HEALTH NETWORK (BHN)</t>
  </si>
  <si>
    <t>E785</t>
  </si>
  <si>
    <t>I10</t>
  </si>
  <si>
    <t>I739</t>
  </si>
  <si>
    <t>613</t>
  </si>
  <si>
    <t>HF539049375</t>
  </si>
  <si>
    <t>CIGNA HealthSprings</t>
  </si>
  <si>
    <t>R600</t>
  </si>
  <si>
    <t>E139</t>
  </si>
  <si>
    <t>658, 659</t>
  </si>
  <si>
    <t>HF470511781</t>
  </si>
  <si>
    <t>M5412</t>
  </si>
  <si>
    <t>R609</t>
  </si>
  <si>
    <t>649</t>
  </si>
  <si>
    <t>HF419953579</t>
  </si>
  <si>
    <t>93970 x1; 93923 x1; 93925 x1</t>
  </si>
  <si>
    <t>M47816</t>
  </si>
  <si>
    <t>387, 388, 389</t>
  </si>
  <si>
    <t>HF546700195</t>
  </si>
  <si>
    <t>Tricare West</t>
  </si>
  <si>
    <t>93925 x1</t>
  </si>
  <si>
    <t>I70213</t>
  </si>
  <si>
    <t>ASAP - Surprise - Reems</t>
  </si>
  <si>
    <t>270</t>
  </si>
  <si>
    <t>HF537299610</t>
  </si>
  <si>
    <t>I83811</t>
  </si>
  <si>
    <t>821</t>
  </si>
  <si>
    <t>HF545494297</t>
  </si>
  <si>
    <t>629</t>
  </si>
  <si>
    <t>HF442066976</t>
  </si>
  <si>
    <t>Aetna Medicare PPO</t>
  </si>
  <si>
    <t>348, 349</t>
  </si>
  <si>
    <t>HF550437353</t>
  </si>
  <si>
    <t>Banner Health &amp; Aetna Health Insurance Company</t>
  </si>
  <si>
    <t>93923 x1</t>
  </si>
  <si>
    <t>708</t>
  </si>
  <si>
    <t>HF518754066</t>
  </si>
  <si>
    <t>146</t>
  </si>
  <si>
    <t>HF505830380</t>
  </si>
  <si>
    <t>AARP MedicareComplete (SecureHorizons &amp; Oxford Network)</t>
  </si>
  <si>
    <t>AARP MA CHOICE / MEDICARE COMPLETE</t>
  </si>
  <si>
    <t>M79604</t>
  </si>
  <si>
    <t>M79605</t>
  </si>
  <si>
    <t>867, 868, 869</t>
  </si>
  <si>
    <t>2026-03 March - Specialty Claims</t>
  </si>
  <si>
    <t>73 claim lines with a date of service in 2026-03 March,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</si>
  <si>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</si>
  <si>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</si>
  <si>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</si>
  <si>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</si>
  <si>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</si>
  <si>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28</t>
  </si>
  <si>
    <t xml:space="preserve">    4 - Past deadline: 40</t>
  </si>
  <si>
    <t xml:space="preserve">    5 - No limit on file: 5</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</si>
  <si>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</si>
  <si>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</si>
  <si>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</si>
  <si>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</si>
  <si>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</si>
  <si>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</si>
  <si>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</si>
  <si>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</si>
  <si>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</si>
  <si>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</si>
  <si>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</si>
  <si>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</si>
  <si>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</si>
  <si>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</si>
  <si>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</si>
  <si>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</si>
  <si>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</si>
  <si>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</si>
  <si>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</si>
  <si>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</si>
  <si>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</si>
  <si>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</si>
  <si>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</si>
  <si>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</si>
  <si>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</si>
  <si>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</si>
  <si>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</si>
  <si>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</si>
  <si>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</si>
  <si>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</si>
  <si>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</si>
  <si>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</si>
  <si>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</si>
  <si>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Updated Supplemental insurance info, and resubmitted</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</si>
  <si>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</si>
  <si>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</si>
  <si>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</si>
  <si>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</si>
  <si>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</si>
  <si>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</si>
  <si>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</si>
  <si>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</si>
  <si>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***Sent email to AZ Blue for insights - active coverage on DOS - DND Expenses incurred after coverage terminated</t>
  </si>
  <si>
    <t>Bundling with Claim ID 26F500108500 Line ID 1 on date of service 03/24/2026 CPT 64640</t>
  </si>
  <si>
    <t>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</si>
  <si>
    <t>Removed mod 79 - Added mod 24, and resubmitted - Added mod 79, and resubmitted</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</si>
  <si>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</si>
  <si>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</si>
  <si>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</si>
  <si>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***Waiting for payment to be posted, so I can cross over to secondary - Primary paid - Edited rendering and referral provider, and resubmitted - Invalid rendering provider NPIInvalid rendering provider NPI - Rejected</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</si>
  <si>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</si>
  <si>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</si>
  <si>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</si>
  <si>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</si>
  <si>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***I need to ask Juan for MR </t>
  </si>
  <si>
    <t>No found</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</si>
  <si>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</si>
  <si>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</si>
  <si>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</si>
  <si>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</si>
  <si>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</si>
  <si>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***Checking tax code on UMR records - I'm expecting a response by email</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</si>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</sst>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2"/>
  <sheetViews>
    <sheetView zoomScale="90" workbookViewId="0">
      <pane xSplit="2" ySplit="1" topLeftCell="C2" activePane="bottomRight" state="frozen"/>
      <selection pane="topRight"/>
      <selection pane="bottomLeft"/>
      <selection pane="bottomRight" activeCell="G12" sqref="G1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64</v>
      </c>
      <c r="B2" s="2" t="s">
        <v>454</v>
      </c>
      <c r="C2" s="3">
        <v>46126</v>
      </c>
      <c r="D2" s="4">
        <v>555140726</v>
      </c>
      <c r="E2" s="5" t="s">
        <v>41</v>
      </c>
      <c r="F2" s="6">
        <v>46098</v>
      </c>
      <c r="G2" s="5" t="s">
        <v>42</v>
      </c>
      <c r="H2" s="5" t="s">
        <v>42</v>
      </c>
      <c r="I2" s="5" t="s">
        <v>43</v>
      </c>
      <c r="J2" s="5" t="s">
        <v>44</v>
      </c>
      <c r="K2" s="3">
        <v>46245</v>
      </c>
      <c r="L2" s="12">
        <f t="shared" ref="L2:L32" ca="1" si="0">IF($O2="","",$O2-TODAY())</f>
        <v>-4</v>
      </c>
      <c r="M2" s="12">
        <f ca="1">IF($F2="","",$F2+180-TODAY())</f>
        <v>-4</v>
      </c>
      <c r="N2" s="12">
        <f ca="1">IF($C2="","",$C2+180-TODAY())</f>
        <v>24</v>
      </c>
      <c r="O2" s="6">
        <v>46278</v>
      </c>
      <c r="P2" s="5" t="s">
        <v>45</v>
      </c>
      <c r="Q2" s="5" t="s">
        <v>46</v>
      </c>
      <c r="R2" s="5" t="s">
        <v>45</v>
      </c>
      <c r="S2" s="5" t="s">
        <v>47</v>
      </c>
      <c r="T2" s="5" t="s">
        <v>45</v>
      </c>
      <c r="U2" s="5" t="s">
        <v>48</v>
      </c>
      <c r="V2" s="5"/>
      <c r="W2" s="5"/>
      <c r="X2" s="5"/>
      <c r="Y2" s="5" t="s">
        <v>49</v>
      </c>
      <c r="Z2" s="7">
        <v>1372.91</v>
      </c>
      <c r="AA2" s="7">
        <v>0</v>
      </c>
      <c r="AB2" s="7">
        <v>0</v>
      </c>
      <c r="AC2" s="6">
        <v>46126</v>
      </c>
      <c r="AD2" s="7">
        <v>1372.91</v>
      </c>
      <c r="AE2" s="4">
        <v>144</v>
      </c>
      <c r="AF2" s="5" t="s">
        <v>50</v>
      </c>
      <c r="AG2" s="5"/>
      <c r="AH2" s="5"/>
      <c r="AI2" s="5"/>
      <c r="AJ2" s="4"/>
      <c r="AK2" s="5" t="s">
        <v>51</v>
      </c>
      <c r="AL2" s="5" t="s">
        <v>52</v>
      </c>
      <c r="AM2" s="6">
        <v>46119</v>
      </c>
      <c r="AN2" s="5" t="s">
        <v>53</v>
      </c>
      <c r="AO2" s="5" t="s">
        <v>54</v>
      </c>
    </row>
    <row r="3" spans="1:41" x14ac:dyDescent="0.25">
      <c r="A3" s="2" t="s">
        <v>250</v>
      </c>
      <c r="B3" s="2" t="s">
        <v>455</v>
      </c>
      <c r="C3" s="3">
        <v>46129</v>
      </c>
      <c r="D3" s="4">
        <v>553329086</v>
      </c>
      <c r="E3" s="5" t="s">
        <v>55</v>
      </c>
      <c r="F3" s="6">
        <v>46101</v>
      </c>
      <c r="G3" s="5" t="s">
        <v>56</v>
      </c>
      <c r="H3" s="5" t="s">
        <v>56</v>
      </c>
      <c r="I3" s="5" t="s">
        <v>43</v>
      </c>
      <c r="J3" s="5" t="s">
        <v>57</v>
      </c>
      <c r="K3" s="3">
        <v>46266</v>
      </c>
      <c r="L3" s="12">
        <f t="shared" ca="1" si="0"/>
        <v>-1</v>
      </c>
      <c r="M3" s="12">
        <f ca="1">IF($C3="","",$C3+365-TODAY())</f>
        <v>212</v>
      </c>
      <c r="N3" s="12">
        <f ca="1">IF($C3="","",$C3+365-TODAY())</f>
        <v>212</v>
      </c>
      <c r="O3" s="6">
        <v>46281</v>
      </c>
      <c r="P3" s="5" t="s">
        <v>45</v>
      </c>
      <c r="Q3" s="5" t="s">
        <v>58</v>
      </c>
      <c r="R3" s="5" t="s">
        <v>59</v>
      </c>
      <c r="S3" s="5" t="s">
        <v>48</v>
      </c>
      <c r="T3" s="5" t="s">
        <v>59</v>
      </c>
      <c r="U3" s="5" t="s">
        <v>48</v>
      </c>
      <c r="V3" s="5"/>
      <c r="W3" s="5"/>
      <c r="X3" s="5"/>
      <c r="Y3" s="5" t="s">
        <v>49</v>
      </c>
      <c r="Z3" s="7">
        <v>1372.91</v>
      </c>
      <c r="AA3" s="7">
        <v>0</v>
      </c>
      <c r="AB3" s="7">
        <v>0</v>
      </c>
      <c r="AC3" s="6">
        <v>46129</v>
      </c>
      <c r="AD3" s="7">
        <v>1372.91</v>
      </c>
      <c r="AE3" s="4">
        <v>141</v>
      </c>
      <c r="AF3" s="5" t="s">
        <v>60</v>
      </c>
      <c r="AG3" s="5"/>
      <c r="AH3" s="5"/>
      <c r="AI3" s="5"/>
      <c r="AJ3" s="4"/>
      <c r="AK3" s="5" t="s">
        <v>61</v>
      </c>
      <c r="AL3" s="5" t="s">
        <v>62</v>
      </c>
      <c r="AM3" s="6">
        <v>46119</v>
      </c>
      <c r="AN3" s="5" t="s">
        <v>53</v>
      </c>
      <c r="AO3" s="5" t="s">
        <v>63</v>
      </c>
    </row>
    <row r="4" spans="1:41" x14ac:dyDescent="0.25">
      <c r="A4" s="2" t="s">
        <v>64</v>
      </c>
      <c r="B4" s="2" t="s">
        <v>456</v>
      </c>
      <c r="C4" s="3">
        <v>46141</v>
      </c>
      <c r="D4" s="4">
        <v>551389428</v>
      </c>
      <c r="E4" s="5" t="s">
        <v>65</v>
      </c>
      <c r="F4" s="6">
        <v>46083</v>
      </c>
      <c r="G4" s="5" t="s">
        <v>66</v>
      </c>
      <c r="H4" s="5" t="s">
        <v>67</v>
      </c>
      <c r="I4" s="5" t="s">
        <v>66</v>
      </c>
      <c r="J4" s="5" t="s">
        <v>68</v>
      </c>
      <c r="K4" s="3">
        <v>46268</v>
      </c>
      <c r="L4" s="12">
        <f t="shared" ca="1" si="0"/>
        <v>166</v>
      </c>
      <c r="M4" s="12">
        <f t="shared" ref="M4:M14" ca="1" si="1">IF($C4="","",$C4+365-TODAY())</f>
        <v>224</v>
      </c>
      <c r="N4" s="12">
        <f t="shared" ref="N4:N12" ca="1" si="2">IF($C4="","",$C4+120-TODAY())</f>
        <v>-21</v>
      </c>
      <c r="O4" s="6">
        <v>46448</v>
      </c>
      <c r="P4" s="5" t="s">
        <v>59</v>
      </c>
      <c r="Q4" s="5" t="s">
        <v>69</v>
      </c>
      <c r="R4" s="5" t="s">
        <v>59</v>
      </c>
      <c r="S4" s="5" t="s">
        <v>48</v>
      </c>
      <c r="T4" s="5" t="s">
        <v>70</v>
      </c>
      <c r="U4" s="5" t="s">
        <v>48</v>
      </c>
      <c r="V4" s="5"/>
      <c r="W4" s="5"/>
      <c r="X4" s="5"/>
      <c r="Y4" s="5" t="s">
        <v>49</v>
      </c>
      <c r="Z4" s="7">
        <v>1426.25</v>
      </c>
      <c r="AA4" s="7">
        <v>1184.69</v>
      </c>
      <c r="AB4" s="7">
        <v>198.17</v>
      </c>
      <c r="AC4" s="6">
        <v>46141</v>
      </c>
      <c r="AD4" s="7">
        <v>43.39</v>
      </c>
      <c r="AE4" s="4">
        <v>159</v>
      </c>
      <c r="AF4" s="5" t="s">
        <v>71</v>
      </c>
      <c r="AG4" s="5"/>
      <c r="AH4" s="5"/>
      <c r="AI4" s="5"/>
      <c r="AJ4" s="4">
        <v>559119307</v>
      </c>
      <c r="AK4" s="5" t="s">
        <v>72</v>
      </c>
      <c r="AL4" s="5" t="s">
        <v>52</v>
      </c>
      <c r="AM4" s="6">
        <v>46119</v>
      </c>
      <c r="AN4" s="5" t="s">
        <v>53</v>
      </c>
      <c r="AO4" s="5" t="s">
        <v>73</v>
      </c>
    </row>
    <row r="5" spans="1:41" x14ac:dyDescent="0.25">
      <c r="A5" s="2" t="s">
        <v>64</v>
      </c>
      <c r="B5" s="2" t="s">
        <v>446</v>
      </c>
      <c r="C5" s="3">
        <v>46134</v>
      </c>
      <c r="D5" s="4">
        <v>551962197</v>
      </c>
      <c r="E5" s="5" t="s">
        <v>74</v>
      </c>
      <c r="F5" s="6">
        <v>46087</v>
      </c>
      <c r="G5" s="5" t="s">
        <v>75</v>
      </c>
      <c r="H5" s="5" t="s">
        <v>67</v>
      </c>
      <c r="I5" s="5" t="s">
        <v>75</v>
      </c>
      <c r="J5" s="5" t="s">
        <v>76</v>
      </c>
      <c r="K5" s="3">
        <v>46260</v>
      </c>
      <c r="L5" s="12">
        <f t="shared" ca="1" si="0"/>
        <v>170</v>
      </c>
      <c r="M5" s="12">
        <f t="shared" ca="1" si="1"/>
        <v>217</v>
      </c>
      <c r="N5" s="12">
        <f t="shared" ca="1" si="2"/>
        <v>-28</v>
      </c>
      <c r="O5" s="6">
        <v>46452</v>
      </c>
      <c r="P5" s="5" t="s">
        <v>59</v>
      </c>
      <c r="Q5" s="5" t="s">
        <v>69</v>
      </c>
      <c r="R5" s="5" t="s">
        <v>59</v>
      </c>
      <c r="S5" s="5" t="s">
        <v>48</v>
      </c>
      <c r="T5" s="5" t="s">
        <v>70</v>
      </c>
      <c r="U5" s="5" t="s">
        <v>48</v>
      </c>
      <c r="V5" s="5"/>
      <c r="W5" s="5"/>
      <c r="X5" s="5"/>
      <c r="Y5" s="5" t="s">
        <v>77</v>
      </c>
      <c r="Z5" s="7">
        <v>1769.18</v>
      </c>
      <c r="AA5" s="7">
        <v>1510.96</v>
      </c>
      <c r="AB5" s="7">
        <v>205.74</v>
      </c>
      <c r="AC5" s="6">
        <v>46134</v>
      </c>
      <c r="AD5" s="7">
        <v>52.48</v>
      </c>
      <c r="AE5" s="4">
        <v>155</v>
      </c>
      <c r="AF5" s="5" t="s">
        <v>78</v>
      </c>
      <c r="AG5" s="5"/>
      <c r="AH5" s="5"/>
      <c r="AI5" s="5"/>
      <c r="AJ5" s="4">
        <v>559120111</v>
      </c>
      <c r="AK5" s="5" t="s">
        <v>79</v>
      </c>
      <c r="AL5" s="5" t="s">
        <v>80</v>
      </c>
      <c r="AM5" s="6">
        <v>46119</v>
      </c>
      <c r="AN5" s="5" t="s">
        <v>53</v>
      </c>
      <c r="AO5" s="5" t="s">
        <v>81</v>
      </c>
    </row>
    <row r="6" spans="1:41" x14ac:dyDescent="0.25">
      <c r="A6" s="2" t="s">
        <v>64</v>
      </c>
      <c r="B6" s="2" t="s">
        <v>456</v>
      </c>
      <c r="C6" s="3">
        <v>46141</v>
      </c>
      <c r="D6" s="4">
        <v>552404210</v>
      </c>
      <c r="E6" s="5" t="s">
        <v>82</v>
      </c>
      <c r="F6" s="6">
        <v>46092</v>
      </c>
      <c r="G6" s="5" t="s">
        <v>75</v>
      </c>
      <c r="H6" s="5" t="s">
        <v>67</v>
      </c>
      <c r="I6" s="5" t="s">
        <v>75</v>
      </c>
      <c r="J6" s="5" t="s">
        <v>44</v>
      </c>
      <c r="K6" s="3">
        <v>46268</v>
      </c>
      <c r="L6" s="12">
        <f t="shared" ca="1" si="0"/>
        <v>175</v>
      </c>
      <c r="M6" s="12">
        <f t="shared" ca="1" si="1"/>
        <v>224</v>
      </c>
      <c r="N6" s="12">
        <f t="shared" ca="1" si="2"/>
        <v>-21</v>
      </c>
      <c r="O6" s="6">
        <v>46457</v>
      </c>
      <c r="P6" s="5" t="s">
        <v>59</v>
      </c>
      <c r="Q6" s="5" t="s">
        <v>69</v>
      </c>
      <c r="R6" s="5" t="s">
        <v>59</v>
      </c>
      <c r="S6" s="5" t="s">
        <v>48</v>
      </c>
      <c r="T6" s="5" t="s">
        <v>70</v>
      </c>
      <c r="U6" s="5" t="s">
        <v>48</v>
      </c>
      <c r="V6" s="5"/>
      <c r="W6" s="5"/>
      <c r="X6" s="5"/>
      <c r="Y6" s="5" t="s">
        <v>49</v>
      </c>
      <c r="Z6" s="7">
        <v>1372.91</v>
      </c>
      <c r="AA6" s="7">
        <v>1147.73</v>
      </c>
      <c r="AB6" s="7">
        <v>184.73</v>
      </c>
      <c r="AC6" s="6">
        <v>46141</v>
      </c>
      <c r="AD6" s="7">
        <v>40.450000000000003</v>
      </c>
      <c r="AE6" s="4">
        <v>150</v>
      </c>
      <c r="AF6" s="5" t="s">
        <v>83</v>
      </c>
      <c r="AG6" s="5"/>
      <c r="AH6" s="5"/>
      <c r="AI6" s="5"/>
      <c r="AJ6" s="4">
        <v>559120113</v>
      </c>
      <c r="AK6" s="5" t="s">
        <v>72</v>
      </c>
      <c r="AL6" s="5" t="s">
        <v>80</v>
      </c>
      <c r="AM6" s="6">
        <v>46119</v>
      </c>
      <c r="AN6" s="5" t="s">
        <v>53</v>
      </c>
      <c r="AO6" s="5" t="s">
        <v>84</v>
      </c>
    </row>
    <row r="7" spans="1:41" x14ac:dyDescent="0.25">
      <c r="A7" s="2" t="s">
        <v>130</v>
      </c>
      <c r="B7" s="2" t="s">
        <v>457</v>
      </c>
      <c r="C7" s="3"/>
      <c r="D7" s="4">
        <v>552644739</v>
      </c>
      <c r="E7" s="5" t="s">
        <v>85</v>
      </c>
      <c r="F7" s="6">
        <v>46093</v>
      </c>
      <c r="G7" s="5" t="s">
        <v>67</v>
      </c>
      <c r="H7" s="5" t="s">
        <v>67</v>
      </c>
      <c r="I7" s="5" t="s">
        <v>86</v>
      </c>
      <c r="J7" s="5" t="s">
        <v>87</v>
      </c>
      <c r="K7" s="3">
        <v>46268</v>
      </c>
      <c r="L7" s="12">
        <f t="shared" ca="1" si="0"/>
        <v>176</v>
      </c>
      <c r="M7" s="12" t="str">
        <f t="shared" ca="1" si="1"/>
        <v/>
      </c>
      <c r="N7" s="12" t="str">
        <f t="shared" ca="1" si="2"/>
        <v/>
      </c>
      <c r="O7" s="6">
        <v>46458</v>
      </c>
      <c r="P7" s="5" t="s">
        <v>59</v>
      </c>
      <c r="Q7" s="5" t="s">
        <v>69</v>
      </c>
      <c r="R7" s="5" t="s">
        <v>59</v>
      </c>
      <c r="S7" s="5" t="s">
        <v>48</v>
      </c>
      <c r="T7" s="5" t="s">
        <v>70</v>
      </c>
      <c r="U7" s="5" t="s">
        <v>48</v>
      </c>
      <c r="V7" s="5"/>
      <c r="W7" s="5"/>
      <c r="X7" s="5"/>
      <c r="Y7" s="5" t="s">
        <v>49</v>
      </c>
      <c r="Z7" s="7">
        <v>1426.25</v>
      </c>
      <c r="AA7" s="7">
        <v>0</v>
      </c>
      <c r="AB7" s="7">
        <v>0</v>
      </c>
      <c r="AC7" s="6"/>
      <c r="AD7" s="7">
        <v>1426.25</v>
      </c>
      <c r="AE7" s="4">
        <v>149</v>
      </c>
      <c r="AF7" s="5" t="s">
        <v>88</v>
      </c>
      <c r="AG7" s="5"/>
      <c r="AH7" s="5"/>
      <c r="AI7" s="5"/>
      <c r="AJ7" s="4"/>
      <c r="AK7" s="5" t="s">
        <v>89</v>
      </c>
      <c r="AL7" s="5" t="s">
        <v>80</v>
      </c>
      <c r="AM7" s="6">
        <v>46119</v>
      </c>
      <c r="AN7" s="5" t="s">
        <v>53</v>
      </c>
      <c r="AO7" s="5" t="s">
        <v>90</v>
      </c>
    </row>
    <row r="8" spans="1:41" x14ac:dyDescent="0.25">
      <c r="A8" s="2" t="s">
        <v>64</v>
      </c>
      <c r="B8" s="2" t="s">
        <v>456</v>
      </c>
      <c r="C8" s="3">
        <v>46141</v>
      </c>
      <c r="D8" s="4">
        <v>552606577</v>
      </c>
      <c r="E8" s="5" t="s">
        <v>91</v>
      </c>
      <c r="F8" s="6">
        <v>46094</v>
      </c>
      <c r="G8" s="5" t="s">
        <v>92</v>
      </c>
      <c r="H8" s="5" t="s">
        <v>67</v>
      </c>
      <c r="I8" s="5" t="s">
        <v>92</v>
      </c>
      <c r="J8" s="5" t="s">
        <v>68</v>
      </c>
      <c r="K8" s="3">
        <v>46268</v>
      </c>
      <c r="L8" s="12">
        <f t="shared" ca="1" si="0"/>
        <v>177</v>
      </c>
      <c r="M8" s="12">
        <f t="shared" ca="1" si="1"/>
        <v>224</v>
      </c>
      <c r="N8" s="12">
        <f t="shared" ca="1" si="2"/>
        <v>-21</v>
      </c>
      <c r="O8" s="6">
        <v>46459</v>
      </c>
      <c r="P8" s="5" t="s">
        <v>59</v>
      </c>
      <c r="Q8" s="5" t="s">
        <v>69</v>
      </c>
      <c r="R8" s="5" t="s">
        <v>59</v>
      </c>
      <c r="S8" s="5" t="s">
        <v>48</v>
      </c>
      <c r="T8" s="5" t="s">
        <v>70</v>
      </c>
      <c r="U8" s="5" t="s">
        <v>48</v>
      </c>
      <c r="V8" s="5"/>
      <c r="W8" s="5"/>
      <c r="X8" s="5"/>
      <c r="Y8" s="5" t="s">
        <v>49</v>
      </c>
      <c r="Z8" s="7">
        <v>1426.25</v>
      </c>
      <c r="AA8" s="7">
        <v>1184.69</v>
      </c>
      <c r="AB8" s="7">
        <v>198.17</v>
      </c>
      <c r="AC8" s="6">
        <v>46141</v>
      </c>
      <c r="AD8" s="7">
        <v>43.39</v>
      </c>
      <c r="AE8" s="4">
        <v>148</v>
      </c>
      <c r="AF8" s="5" t="s">
        <v>93</v>
      </c>
      <c r="AG8" s="5"/>
      <c r="AH8" s="5"/>
      <c r="AI8" s="5"/>
      <c r="AJ8" s="4">
        <v>559120100</v>
      </c>
      <c r="AK8" s="5" t="s">
        <v>94</v>
      </c>
      <c r="AL8" s="5" t="s">
        <v>62</v>
      </c>
      <c r="AM8" s="6">
        <v>46119</v>
      </c>
      <c r="AN8" s="5" t="s">
        <v>53</v>
      </c>
      <c r="AO8" s="5" t="s">
        <v>95</v>
      </c>
    </row>
    <row r="9" spans="1:41" x14ac:dyDescent="0.25">
      <c r="A9" s="2" t="s">
        <v>64</v>
      </c>
      <c r="B9" s="2" t="s">
        <v>458</v>
      </c>
      <c r="C9" s="3">
        <v>46210</v>
      </c>
      <c r="D9" s="4">
        <v>552857208</v>
      </c>
      <c r="E9" s="5" t="s">
        <v>96</v>
      </c>
      <c r="F9" s="6">
        <v>46094</v>
      </c>
      <c r="G9" s="5" t="s">
        <v>97</v>
      </c>
      <c r="H9" s="5" t="s">
        <v>67</v>
      </c>
      <c r="I9" s="5" t="s">
        <v>97</v>
      </c>
      <c r="J9" s="5" t="s">
        <v>87</v>
      </c>
      <c r="K9" s="3">
        <v>46268</v>
      </c>
      <c r="L9" s="12">
        <f t="shared" ca="1" si="0"/>
        <v>177</v>
      </c>
      <c r="M9" s="12">
        <f t="shared" ca="1" si="1"/>
        <v>293</v>
      </c>
      <c r="N9" s="12">
        <f t="shared" ca="1" si="2"/>
        <v>48</v>
      </c>
      <c r="O9" s="6">
        <v>46459</v>
      </c>
      <c r="P9" s="5" t="s">
        <v>59</v>
      </c>
      <c r="Q9" s="5" t="s">
        <v>69</v>
      </c>
      <c r="R9" s="5" t="s">
        <v>59</v>
      </c>
      <c r="S9" s="5" t="s">
        <v>48</v>
      </c>
      <c r="T9" s="5" t="s">
        <v>70</v>
      </c>
      <c r="U9" s="5" t="s">
        <v>48</v>
      </c>
      <c r="V9" s="5"/>
      <c r="W9" s="5"/>
      <c r="X9" s="5"/>
      <c r="Y9" s="5" t="s">
        <v>49</v>
      </c>
      <c r="Z9" s="7">
        <v>1426.25</v>
      </c>
      <c r="AA9" s="7">
        <v>1223.6600000000001</v>
      </c>
      <c r="AB9" s="7">
        <v>159.19999999999999</v>
      </c>
      <c r="AC9" s="6">
        <v>46210</v>
      </c>
      <c r="AD9" s="7">
        <v>43.39</v>
      </c>
      <c r="AE9" s="4">
        <v>148</v>
      </c>
      <c r="AF9" s="5" t="s">
        <v>71</v>
      </c>
      <c r="AG9" s="5"/>
      <c r="AH9" s="5"/>
      <c r="AI9" s="5"/>
      <c r="AJ9" s="4">
        <v>559120090</v>
      </c>
      <c r="AK9" s="5" t="s">
        <v>98</v>
      </c>
      <c r="AL9" s="5" t="s">
        <v>80</v>
      </c>
      <c r="AM9" s="6">
        <v>46119</v>
      </c>
      <c r="AN9" s="5" t="s">
        <v>53</v>
      </c>
      <c r="AO9" s="5" t="s">
        <v>99</v>
      </c>
    </row>
    <row r="10" spans="1:41" x14ac:dyDescent="0.25">
      <c r="A10" s="2" t="s">
        <v>459</v>
      </c>
      <c r="B10" s="2" t="s">
        <v>460</v>
      </c>
      <c r="C10" s="3">
        <v>46134</v>
      </c>
      <c r="D10" s="4">
        <v>554160609</v>
      </c>
      <c r="E10" s="5" t="s">
        <v>100</v>
      </c>
      <c r="F10" s="6">
        <v>46108</v>
      </c>
      <c r="G10" s="5" t="s">
        <v>101</v>
      </c>
      <c r="H10" s="5" t="s">
        <v>67</v>
      </c>
      <c r="I10" s="5" t="s">
        <v>101</v>
      </c>
      <c r="J10" s="5" t="s">
        <v>57</v>
      </c>
      <c r="K10" s="3">
        <v>46268</v>
      </c>
      <c r="L10" s="12">
        <f t="shared" ca="1" si="0"/>
        <v>191</v>
      </c>
      <c r="M10" s="12">
        <f t="shared" ca="1" si="1"/>
        <v>217</v>
      </c>
      <c r="N10" s="12">
        <f t="shared" ca="1" si="2"/>
        <v>-28</v>
      </c>
      <c r="O10" s="6">
        <v>46473</v>
      </c>
      <c r="P10" s="5" t="s">
        <v>59</v>
      </c>
      <c r="Q10" s="5" t="s">
        <v>69</v>
      </c>
      <c r="R10" s="5" t="s">
        <v>59</v>
      </c>
      <c r="S10" s="5" t="s">
        <v>48</v>
      </c>
      <c r="T10" s="5" t="s">
        <v>70</v>
      </c>
      <c r="U10" s="5" t="s">
        <v>48</v>
      </c>
      <c r="V10" s="5"/>
      <c r="W10" s="5"/>
      <c r="X10" s="5"/>
      <c r="Y10" s="5" t="s">
        <v>49</v>
      </c>
      <c r="Z10" s="7">
        <v>1372.91</v>
      </c>
      <c r="AA10" s="7">
        <v>1184.44</v>
      </c>
      <c r="AB10" s="7">
        <v>148.02000000000001</v>
      </c>
      <c r="AC10" s="6">
        <v>46134</v>
      </c>
      <c r="AD10" s="7">
        <v>40.450000000000003</v>
      </c>
      <c r="AE10" s="4">
        <v>134</v>
      </c>
      <c r="AF10" s="5" t="s">
        <v>102</v>
      </c>
      <c r="AG10" s="5"/>
      <c r="AH10" s="5"/>
      <c r="AI10" s="5"/>
      <c r="AJ10" s="4">
        <v>559120425</v>
      </c>
      <c r="AK10" s="5" t="s">
        <v>103</v>
      </c>
      <c r="AL10" s="5" t="s">
        <v>80</v>
      </c>
      <c r="AM10" s="6">
        <v>46119</v>
      </c>
      <c r="AN10" s="5" t="s">
        <v>53</v>
      </c>
      <c r="AO10" s="5" t="s">
        <v>104</v>
      </c>
    </row>
    <row r="11" spans="1:41" x14ac:dyDescent="0.25">
      <c r="A11" s="2" t="s">
        <v>459</v>
      </c>
      <c r="B11" s="2" t="s">
        <v>473</v>
      </c>
      <c r="C11" s="3">
        <v>46268</v>
      </c>
      <c r="D11" s="4">
        <v>555138984</v>
      </c>
      <c r="E11" s="5" t="s">
        <v>105</v>
      </c>
      <c r="F11" s="6">
        <v>46108</v>
      </c>
      <c r="G11" s="5" t="s">
        <v>67</v>
      </c>
      <c r="H11" s="5" t="s">
        <v>67</v>
      </c>
      <c r="I11" s="5" t="s">
        <v>75</v>
      </c>
      <c r="J11" s="5" t="s">
        <v>57</v>
      </c>
      <c r="K11" s="3">
        <v>46254</v>
      </c>
      <c r="L11" s="12">
        <f t="shared" ca="1" si="0"/>
        <v>191</v>
      </c>
      <c r="M11" s="12">
        <f t="shared" ca="1" si="1"/>
        <v>351</v>
      </c>
      <c r="N11" s="12">
        <f t="shared" ca="1" si="2"/>
        <v>106</v>
      </c>
      <c r="O11" s="6">
        <v>46473</v>
      </c>
      <c r="P11" s="5" t="s">
        <v>59</v>
      </c>
      <c r="Q11" s="5" t="s">
        <v>69</v>
      </c>
      <c r="R11" s="5" t="s">
        <v>59</v>
      </c>
      <c r="S11" s="5" t="s">
        <v>48</v>
      </c>
      <c r="T11" s="5" t="s">
        <v>70</v>
      </c>
      <c r="U11" s="5" t="s">
        <v>48</v>
      </c>
      <c r="V11" s="5"/>
      <c r="W11" s="5"/>
      <c r="X11" s="5"/>
      <c r="Y11" s="5" t="s">
        <v>49</v>
      </c>
      <c r="Z11" s="7">
        <v>1372.91</v>
      </c>
      <c r="AA11" s="7">
        <v>0</v>
      </c>
      <c r="AB11" s="7">
        <v>0</v>
      </c>
      <c r="AC11" s="6"/>
      <c r="AD11" s="7">
        <v>1372.91</v>
      </c>
      <c r="AE11" s="4">
        <v>134</v>
      </c>
      <c r="AF11" s="5" t="s">
        <v>71</v>
      </c>
      <c r="AG11" s="5"/>
      <c r="AH11" s="5"/>
      <c r="AI11" s="5"/>
      <c r="AJ11" s="4"/>
      <c r="AK11" s="5" t="s">
        <v>51</v>
      </c>
      <c r="AL11" s="5" t="s">
        <v>80</v>
      </c>
      <c r="AM11" s="6">
        <v>46119</v>
      </c>
      <c r="AN11" s="5" t="s">
        <v>53</v>
      </c>
      <c r="AO11" s="5" t="s">
        <v>106</v>
      </c>
    </row>
    <row r="12" spans="1:41" x14ac:dyDescent="0.25">
      <c r="A12" s="2" t="s">
        <v>250</v>
      </c>
      <c r="B12" s="2" t="s">
        <v>461</v>
      </c>
      <c r="C12" s="3">
        <v>46125</v>
      </c>
      <c r="D12" s="4">
        <v>554403926</v>
      </c>
      <c r="E12" s="5" t="s">
        <v>107</v>
      </c>
      <c r="F12" s="6">
        <v>46111</v>
      </c>
      <c r="G12" s="5" t="s">
        <v>67</v>
      </c>
      <c r="H12" s="5" t="s">
        <v>67</v>
      </c>
      <c r="I12" s="5" t="s">
        <v>108</v>
      </c>
      <c r="J12" s="5" t="s">
        <v>87</v>
      </c>
      <c r="K12" s="3">
        <v>46268</v>
      </c>
      <c r="L12" s="12">
        <f t="shared" ca="1" si="0"/>
        <v>194</v>
      </c>
      <c r="M12" s="12">
        <f t="shared" ca="1" si="1"/>
        <v>208</v>
      </c>
      <c r="N12" s="12">
        <f t="shared" ca="1" si="2"/>
        <v>-37</v>
      </c>
      <c r="O12" s="6">
        <v>46476</v>
      </c>
      <c r="P12" s="5" t="s">
        <v>59</v>
      </c>
      <c r="Q12" s="5" t="s">
        <v>69</v>
      </c>
      <c r="R12" s="5" t="s">
        <v>59</v>
      </c>
      <c r="S12" s="5" t="s">
        <v>48</v>
      </c>
      <c r="T12" s="5" t="s">
        <v>70</v>
      </c>
      <c r="U12" s="5" t="s">
        <v>48</v>
      </c>
      <c r="V12" s="5"/>
      <c r="W12" s="5"/>
      <c r="X12" s="5"/>
      <c r="Y12" s="5" t="s">
        <v>49</v>
      </c>
      <c r="Z12" s="7">
        <v>1426.25</v>
      </c>
      <c r="AA12" s="7">
        <v>0</v>
      </c>
      <c r="AB12" s="7">
        <v>0</v>
      </c>
      <c r="AC12" s="6">
        <v>46125</v>
      </c>
      <c r="AD12" s="7">
        <v>1426.25</v>
      </c>
      <c r="AE12" s="4">
        <v>131</v>
      </c>
      <c r="AF12" s="5" t="s">
        <v>88</v>
      </c>
      <c r="AG12" s="5"/>
      <c r="AH12" s="5"/>
      <c r="AI12" s="5"/>
      <c r="AJ12" s="4"/>
      <c r="AK12" s="5" t="s">
        <v>109</v>
      </c>
      <c r="AL12" s="5" t="s">
        <v>52</v>
      </c>
      <c r="AM12" s="6">
        <v>46119</v>
      </c>
      <c r="AN12" s="5" t="s">
        <v>53</v>
      </c>
      <c r="AO12" s="5" t="s">
        <v>110</v>
      </c>
    </row>
    <row r="13" spans="1:41" x14ac:dyDescent="0.25">
      <c r="A13" s="2" t="s">
        <v>250</v>
      </c>
      <c r="B13" s="2" t="s">
        <v>462</v>
      </c>
      <c r="C13" s="3">
        <v>46134</v>
      </c>
      <c r="D13" s="4">
        <v>566722180</v>
      </c>
      <c r="E13" s="5" t="s">
        <v>111</v>
      </c>
      <c r="F13" s="6">
        <v>46085</v>
      </c>
      <c r="G13" s="5" t="s">
        <v>75</v>
      </c>
      <c r="H13" s="5" t="s">
        <v>75</v>
      </c>
      <c r="I13" s="5" t="s">
        <v>67</v>
      </c>
      <c r="J13" s="5" t="s">
        <v>76</v>
      </c>
      <c r="K13" s="3">
        <v>46231</v>
      </c>
      <c r="L13" s="12">
        <f t="shared" ca="1" si="0"/>
        <v>-107</v>
      </c>
      <c r="M13" s="12">
        <f t="shared" ca="1" si="1"/>
        <v>217</v>
      </c>
      <c r="N13" s="12">
        <f t="shared" ref="N13:N24" ca="1" si="3">IF($C13="","",$C13+365-TODAY())</f>
        <v>217</v>
      </c>
      <c r="O13" s="6">
        <v>46175</v>
      </c>
      <c r="P13" s="5" t="s">
        <v>112</v>
      </c>
      <c r="Q13" s="5" t="s">
        <v>113</v>
      </c>
      <c r="R13" s="5" t="s">
        <v>59</v>
      </c>
      <c r="S13" s="5" t="s">
        <v>48</v>
      </c>
      <c r="T13" s="5" t="s">
        <v>59</v>
      </c>
      <c r="U13" s="5" t="s">
        <v>48</v>
      </c>
      <c r="V13" s="5"/>
      <c r="W13" s="5"/>
      <c r="X13" s="5"/>
      <c r="Y13" s="5" t="s">
        <v>77</v>
      </c>
      <c r="Z13" s="7">
        <v>1769.18</v>
      </c>
      <c r="AA13" s="7">
        <v>0</v>
      </c>
      <c r="AB13" s="7">
        <v>0</v>
      </c>
      <c r="AC13" s="6">
        <v>46134</v>
      </c>
      <c r="AD13" s="7">
        <v>1769.18</v>
      </c>
      <c r="AE13" s="4">
        <v>157</v>
      </c>
      <c r="AF13" s="5" t="s">
        <v>83</v>
      </c>
      <c r="AG13" s="5"/>
      <c r="AH13" s="5"/>
      <c r="AI13" s="5"/>
      <c r="AJ13" s="4"/>
      <c r="AK13" s="5" t="s">
        <v>114</v>
      </c>
      <c r="AL13" s="5" t="s">
        <v>62</v>
      </c>
      <c r="AM13" s="6">
        <v>46119</v>
      </c>
      <c r="AN13" s="5" t="s">
        <v>53</v>
      </c>
      <c r="AO13" s="5" t="s">
        <v>115</v>
      </c>
    </row>
    <row r="14" spans="1:41" x14ac:dyDescent="0.25">
      <c r="A14" s="2" t="s">
        <v>250</v>
      </c>
      <c r="B14" s="2" t="s">
        <v>449</v>
      </c>
      <c r="C14" s="3">
        <v>46141</v>
      </c>
      <c r="D14" s="4">
        <v>551769931</v>
      </c>
      <c r="E14" s="5" t="s">
        <v>116</v>
      </c>
      <c r="F14" s="6">
        <v>46086</v>
      </c>
      <c r="G14" s="5" t="s">
        <v>117</v>
      </c>
      <c r="H14" s="5" t="s">
        <v>117</v>
      </c>
      <c r="I14" s="5" t="s">
        <v>43</v>
      </c>
      <c r="J14" s="5" t="s">
        <v>44</v>
      </c>
      <c r="K14" s="3">
        <v>46265</v>
      </c>
      <c r="L14" s="12">
        <f t="shared" ca="1" si="0"/>
        <v>-106</v>
      </c>
      <c r="M14" s="12">
        <f t="shared" ca="1" si="1"/>
        <v>224</v>
      </c>
      <c r="N14" s="12">
        <f t="shared" ca="1" si="3"/>
        <v>224</v>
      </c>
      <c r="O14" s="6">
        <v>46176</v>
      </c>
      <c r="P14" s="5" t="s">
        <v>112</v>
      </c>
      <c r="Q14" s="5" t="s">
        <v>118</v>
      </c>
      <c r="R14" s="5" t="s">
        <v>59</v>
      </c>
      <c r="S14" s="5" t="s">
        <v>48</v>
      </c>
      <c r="T14" s="5" t="s">
        <v>59</v>
      </c>
      <c r="U14" s="5" t="s">
        <v>48</v>
      </c>
      <c r="V14" s="5"/>
      <c r="W14" s="5"/>
      <c r="X14" s="5"/>
      <c r="Y14" s="5" t="s">
        <v>49</v>
      </c>
      <c r="Z14" s="7">
        <v>1372.91</v>
      </c>
      <c r="AA14" s="7">
        <v>0</v>
      </c>
      <c r="AB14" s="7">
        <v>0</v>
      </c>
      <c r="AC14" s="6">
        <v>46141</v>
      </c>
      <c r="AD14" s="7">
        <v>1372.91</v>
      </c>
      <c r="AE14" s="4">
        <v>156</v>
      </c>
      <c r="AF14" s="5" t="s">
        <v>88</v>
      </c>
      <c r="AG14" s="5"/>
      <c r="AH14" s="5"/>
      <c r="AI14" s="5"/>
      <c r="AJ14" s="4"/>
      <c r="AK14" s="5" t="s">
        <v>94</v>
      </c>
      <c r="AL14" s="5" t="s">
        <v>80</v>
      </c>
      <c r="AM14" s="6">
        <v>46119</v>
      </c>
      <c r="AN14" s="5" t="s">
        <v>53</v>
      </c>
      <c r="AO14" s="5" t="s">
        <v>119</v>
      </c>
    </row>
    <row r="15" spans="1:41" x14ac:dyDescent="0.25">
      <c r="A15" s="2" t="s">
        <v>459</v>
      </c>
      <c r="B15" s="2" t="s">
        <v>463</v>
      </c>
      <c r="C15" s="3">
        <v>46196</v>
      </c>
      <c r="D15" s="4">
        <v>551830492</v>
      </c>
      <c r="E15" s="5" t="s">
        <v>121</v>
      </c>
      <c r="F15" s="6">
        <v>46087</v>
      </c>
      <c r="G15" s="5" t="s">
        <v>122</v>
      </c>
      <c r="H15" s="5" t="s">
        <v>123</v>
      </c>
      <c r="I15" s="5" t="s">
        <v>122</v>
      </c>
      <c r="J15" s="5" t="s">
        <v>87</v>
      </c>
      <c r="K15" s="3">
        <v>46268</v>
      </c>
      <c r="L15" s="12">
        <f t="shared" ca="1" si="0"/>
        <v>-105</v>
      </c>
      <c r="M15" s="12">
        <f ca="1">IF($C15="","",$C15+180-TODAY())</f>
        <v>94</v>
      </c>
      <c r="N15" s="12">
        <f t="shared" ca="1" si="3"/>
        <v>279</v>
      </c>
      <c r="O15" s="6">
        <v>46177</v>
      </c>
      <c r="P15" s="5" t="s">
        <v>112</v>
      </c>
      <c r="Q15" s="5" t="s">
        <v>124</v>
      </c>
      <c r="R15" s="5" t="s">
        <v>45</v>
      </c>
      <c r="S15" s="5" t="s">
        <v>48</v>
      </c>
      <c r="T15" s="5" t="s">
        <v>59</v>
      </c>
      <c r="U15" s="5" t="s">
        <v>48</v>
      </c>
      <c r="V15" s="5"/>
      <c r="W15" s="5"/>
      <c r="X15" s="5"/>
      <c r="Y15" s="5" t="s">
        <v>49</v>
      </c>
      <c r="Z15" s="7">
        <v>1426.25</v>
      </c>
      <c r="AA15" s="7">
        <v>1223.69</v>
      </c>
      <c r="AB15" s="7">
        <v>354.8</v>
      </c>
      <c r="AC15" s="6">
        <v>46196</v>
      </c>
      <c r="AD15" s="7">
        <v>-152.24</v>
      </c>
      <c r="AE15" s="4">
        <v>155</v>
      </c>
      <c r="AF15" s="5" t="s">
        <v>93</v>
      </c>
      <c r="AG15" s="5"/>
      <c r="AH15" s="5"/>
      <c r="AI15" s="5"/>
      <c r="AJ15" s="4">
        <v>560056768</v>
      </c>
      <c r="AK15" s="5" t="s">
        <v>94</v>
      </c>
      <c r="AL15" s="5" t="s">
        <v>62</v>
      </c>
      <c r="AM15" s="6">
        <v>46119</v>
      </c>
      <c r="AN15" s="5" t="s">
        <v>53</v>
      </c>
      <c r="AO15" s="5" t="s">
        <v>125</v>
      </c>
    </row>
    <row r="16" spans="1:41" x14ac:dyDescent="0.25">
      <c r="A16" s="2" t="s">
        <v>250</v>
      </c>
      <c r="B16" s="2" t="s">
        <v>448</v>
      </c>
      <c r="C16" s="3">
        <v>46121</v>
      </c>
      <c r="D16" s="4">
        <v>551874008</v>
      </c>
      <c r="E16" s="5" t="s">
        <v>126</v>
      </c>
      <c r="F16" s="6">
        <v>46087</v>
      </c>
      <c r="G16" s="5" t="s">
        <v>117</v>
      </c>
      <c r="H16" s="5" t="s">
        <v>117</v>
      </c>
      <c r="I16" s="5" t="s">
        <v>43</v>
      </c>
      <c r="J16" s="5" t="s">
        <v>68</v>
      </c>
      <c r="K16" s="3">
        <v>46265</v>
      </c>
      <c r="L16" s="12">
        <f t="shared" ca="1" si="0"/>
        <v>-105</v>
      </c>
      <c r="M16" s="12">
        <f ca="1">IF($C16="","",$C16+365-TODAY())</f>
        <v>204</v>
      </c>
      <c r="N16" s="12">
        <f t="shared" ca="1" si="3"/>
        <v>204</v>
      </c>
      <c r="O16" s="6">
        <v>46177</v>
      </c>
      <c r="P16" s="5" t="s">
        <v>112</v>
      </c>
      <c r="Q16" s="5" t="s">
        <v>118</v>
      </c>
      <c r="R16" s="5" t="s">
        <v>59</v>
      </c>
      <c r="S16" s="5" t="s">
        <v>48</v>
      </c>
      <c r="T16" s="5" t="s">
        <v>59</v>
      </c>
      <c r="U16" s="5" t="s">
        <v>48</v>
      </c>
      <c r="V16" s="5"/>
      <c r="W16" s="5"/>
      <c r="X16" s="5"/>
      <c r="Y16" s="5" t="s">
        <v>49</v>
      </c>
      <c r="Z16" s="7">
        <v>1426.25</v>
      </c>
      <c r="AA16" s="7">
        <v>0</v>
      </c>
      <c r="AB16" s="7">
        <v>0</v>
      </c>
      <c r="AC16" s="6">
        <v>46121</v>
      </c>
      <c r="AD16" s="7">
        <v>1426.25</v>
      </c>
      <c r="AE16" s="4">
        <v>155</v>
      </c>
      <c r="AF16" s="5" t="s">
        <v>71</v>
      </c>
      <c r="AG16" s="5"/>
      <c r="AH16" s="5"/>
      <c r="AI16" s="5"/>
      <c r="AJ16" s="4"/>
      <c r="AK16" s="5" t="s">
        <v>89</v>
      </c>
      <c r="AL16" s="5" t="s">
        <v>80</v>
      </c>
      <c r="AM16" s="6">
        <v>46119</v>
      </c>
      <c r="AN16" s="5" t="s">
        <v>53</v>
      </c>
      <c r="AO16" s="5" t="s">
        <v>127</v>
      </c>
    </row>
    <row r="17" spans="1:41" x14ac:dyDescent="0.25">
      <c r="A17" s="2" t="s">
        <v>250</v>
      </c>
      <c r="B17" s="2" t="s">
        <v>443</v>
      </c>
      <c r="C17" s="3">
        <v>46121</v>
      </c>
      <c r="D17" s="4">
        <v>552405449</v>
      </c>
      <c r="E17" s="5" t="s">
        <v>128</v>
      </c>
      <c r="F17" s="6">
        <v>46092</v>
      </c>
      <c r="G17" s="5" t="s">
        <v>117</v>
      </c>
      <c r="H17" s="5" t="s">
        <v>117</v>
      </c>
      <c r="I17" s="5" t="s">
        <v>43</v>
      </c>
      <c r="J17" s="5" t="s">
        <v>87</v>
      </c>
      <c r="K17" s="3">
        <v>46257</v>
      </c>
      <c r="L17" s="12">
        <f t="shared" ca="1" si="0"/>
        <v>-100</v>
      </c>
      <c r="M17" s="12">
        <f ca="1">IF($C17="","",$C17+365-TODAY())</f>
        <v>204</v>
      </c>
      <c r="N17" s="12">
        <f t="shared" ca="1" si="3"/>
        <v>204</v>
      </c>
      <c r="O17" s="6">
        <v>46182</v>
      </c>
      <c r="P17" s="5" t="s">
        <v>112</v>
      </c>
      <c r="Q17" s="5" t="s">
        <v>118</v>
      </c>
      <c r="R17" s="5" t="s">
        <v>59</v>
      </c>
      <c r="S17" s="5" t="s">
        <v>48</v>
      </c>
      <c r="T17" s="5" t="s">
        <v>59</v>
      </c>
      <c r="U17" s="5" t="s">
        <v>48</v>
      </c>
      <c r="V17" s="5"/>
      <c r="W17" s="5"/>
      <c r="X17" s="5"/>
      <c r="Y17" s="5" t="s">
        <v>49</v>
      </c>
      <c r="Z17" s="7">
        <v>1426.25</v>
      </c>
      <c r="AA17" s="7">
        <v>0</v>
      </c>
      <c r="AB17" s="7">
        <v>0</v>
      </c>
      <c r="AC17" s="6">
        <v>46121</v>
      </c>
      <c r="AD17" s="7">
        <v>1426.25</v>
      </c>
      <c r="AE17" s="4">
        <v>150</v>
      </c>
      <c r="AF17" s="5" t="s">
        <v>88</v>
      </c>
      <c r="AG17" s="5"/>
      <c r="AH17" s="5"/>
      <c r="AI17" s="5"/>
      <c r="AJ17" s="4"/>
      <c r="AK17" s="5" t="s">
        <v>98</v>
      </c>
      <c r="AL17" s="5" t="s">
        <v>80</v>
      </c>
      <c r="AM17" s="6">
        <v>46119</v>
      </c>
      <c r="AN17" s="5" t="s">
        <v>53</v>
      </c>
      <c r="AO17" s="5" t="s">
        <v>129</v>
      </c>
    </row>
    <row r="18" spans="1:41" x14ac:dyDescent="0.25">
      <c r="A18" s="2" t="s">
        <v>130</v>
      </c>
      <c r="B18" s="2" t="s">
        <v>469</v>
      </c>
      <c r="C18" s="3">
        <v>46223</v>
      </c>
      <c r="D18" s="4">
        <v>563362999</v>
      </c>
      <c r="E18" s="5" t="s">
        <v>131</v>
      </c>
      <c r="F18" s="6">
        <v>46094</v>
      </c>
      <c r="G18" s="5" t="s">
        <v>122</v>
      </c>
      <c r="H18" s="5" t="s">
        <v>122</v>
      </c>
      <c r="I18" s="5" t="s">
        <v>43</v>
      </c>
      <c r="J18" s="5" t="s">
        <v>132</v>
      </c>
      <c r="K18" s="3">
        <v>46268</v>
      </c>
      <c r="L18" s="12">
        <f t="shared" ca="1" si="0"/>
        <v>-98</v>
      </c>
      <c r="M18" s="12">
        <f ca="1">IF($C18="","",$C18+180-TODAY())</f>
        <v>121</v>
      </c>
      <c r="N18" s="12">
        <f t="shared" ca="1" si="3"/>
        <v>306</v>
      </c>
      <c r="O18" s="6">
        <v>46184</v>
      </c>
      <c r="P18" s="5" t="s">
        <v>112</v>
      </c>
      <c r="Q18" s="5" t="s">
        <v>133</v>
      </c>
      <c r="R18" s="5" t="s">
        <v>45</v>
      </c>
      <c r="S18" s="5" t="s">
        <v>48</v>
      </c>
      <c r="T18" s="5" t="s">
        <v>59</v>
      </c>
      <c r="U18" s="5" t="s">
        <v>48</v>
      </c>
      <c r="V18" s="5" t="s">
        <v>134</v>
      </c>
      <c r="W18" s="5"/>
      <c r="X18" s="5"/>
      <c r="Y18" s="5" t="s">
        <v>49</v>
      </c>
      <c r="Z18" s="7">
        <v>1426.25</v>
      </c>
      <c r="AA18" s="7">
        <v>0</v>
      </c>
      <c r="AB18" s="7">
        <v>0</v>
      </c>
      <c r="AC18" s="6">
        <v>46223</v>
      </c>
      <c r="AD18" s="7">
        <v>1426.25</v>
      </c>
      <c r="AE18" s="4">
        <v>148</v>
      </c>
      <c r="AF18" s="5" t="s">
        <v>93</v>
      </c>
      <c r="AG18" s="5"/>
      <c r="AH18" s="5"/>
      <c r="AI18" s="5"/>
      <c r="AJ18" s="4"/>
      <c r="AK18" s="5" t="s">
        <v>109</v>
      </c>
      <c r="AL18" s="5" t="s">
        <v>62</v>
      </c>
      <c r="AM18" s="6">
        <v>46119</v>
      </c>
      <c r="AN18" s="5" t="s">
        <v>53</v>
      </c>
      <c r="AO18" s="5" t="s">
        <v>135</v>
      </c>
    </row>
    <row r="19" spans="1:41" x14ac:dyDescent="0.25">
      <c r="A19" s="2" t="s">
        <v>250</v>
      </c>
      <c r="B19" s="2" t="s">
        <v>464</v>
      </c>
      <c r="C19" s="3">
        <v>46135</v>
      </c>
      <c r="D19" s="4">
        <v>552859864</v>
      </c>
      <c r="E19" s="5" t="s">
        <v>136</v>
      </c>
      <c r="F19" s="6">
        <v>46097</v>
      </c>
      <c r="G19" s="5" t="s">
        <v>75</v>
      </c>
      <c r="H19" s="5" t="s">
        <v>75</v>
      </c>
      <c r="I19" s="5" t="s">
        <v>75</v>
      </c>
      <c r="J19" s="5" t="s">
        <v>68</v>
      </c>
      <c r="K19" s="3">
        <v>46268</v>
      </c>
      <c r="L19" s="12">
        <f t="shared" ca="1" si="0"/>
        <v>-95</v>
      </c>
      <c r="M19" s="12">
        <f ca="1">IF($C19="","",$C19+365-TODAY())</f>
        <v>218</v>
      </c>
      <c r="N19" s="12">
        <f t="shared" ca="1" si="3"/>
        <v>218</v>
      </c>
      <c r="O19" s="6">
        <v>46187</v>
      </c>
      <c r="P19" s="5" t="s">
        <v>112</v>
      </c>
      <c r="Q19" s="5" t="s">
        <v>113</v>
      </c>
      <c r="R19" s="5" t="s">
        <v>59</v>
      </c>
      <c r="S19" s="5" t="s">
        <v>48</v>
      </c>
      <c r="T19" s="5" t="s">
        <v>59</v>
      </c>
      <c r="U19" s="5" t="s">
        <v>48</v>
      </c>
      <c r="V19" s="5"/>
      <c r="W19" s="5"/>
      <c r="X19" s="5"/>
      <c r="Y19" s="5" t="s">
        <v>49</v>
      </c>
      <c r="Z19" s="7">
        <v>1426.25</v>
      </c>
      <c r="AA19" s="7">
        <v>0</v>
      </c>
      <c r="AB19" s="7">
        <v>0</v>
      </c>
      <c r="AC19" s="6">
        <v>46135</v>
      </c>
      <c r="AD19" s="7">
        <v>1426.25</v>
      </c>
      <c r="AE19" s="4">
        <v>145</v>
      </c>
      <c r="AF19" s="5" t="s">
        <v>88</v>
      </c>
      <c r="AG19" s="5" t="s">
        <v>60</v>
      </c>
      <c r="AH19" s="5"/>
      <c r="AI19" s="5"/>
      <c r="AJ19" s="4"/>
      <c r="AK19" s="5" t="s">
        <v>61</v>
      </c>
      <c r="AL19" s="5" t="s">
        <v>52</v>
      </c>
      <c r="AM19" s="6">
        <v>46119</v>
      </c>
      <c r="AN19" s="5" t="s">
        <v>53</v>
      </c>
      <c r="AO19" s="5" t="s">
        <v>137</v>
      </c>
    </row>
    <row r="20" spans="1:41" x14ac:dyDescent="0.25">
      <c r="A20" s="2" t="s">
        <v>250</v>
      </c>
      <c r="B20" s="2" t="s">
        <v>465</v>
      </c>
      <c r="C20" s="3">
        <v>46161</v>
      </c>
      <c r="D20" s="4">
        <v>553133483</v>
      </c>
      <c r="E20" s="5" t="s">
        <v>138</v>
      </c>
      <c r="F20" s="6">
        <v>46099</v>
      </c>
      <c r="G20" s="5" t="s">
        <v>123</v>
      </c>
      <c r="H20" s="5" t="s">
        <v>123</v>
      </c>
      <c r="I20" s="5" t="s">
        <v>43</v>
      </c>
      <c r="J20" s="5" t="s">
        <v>87</v>
      </c>
      <c r="K20" s="3">
        <v>46268</v>
      </c>
      <c r="L20" s="12">
        <f t="shared" ca="1" si="0"/>
        <v>-93</v>
      </c>
      <c r="M20" s="12">
        <f ca="1">IF($C20="","",$C20+180-TODAY())</f>
        <v>59</v>
      </c>
      <c r="N20" s="12">
        <f t="shared" ca="1" si="3"/>
        <v>244</v>
      </c>
      <c r="O20" s="6">
        <v>46189</v>
      </c>
      <c r="P20" s="5" t="s">
        <v>112</v>
      </c>
      <c r="Q20" s="5" t="s">
        <v>124</v>
      </c>
      <c r="R20" s="5" t="s">
        <v>45</v>
      </c>
      <c r="S20" s="5" t="s">
        <v>48</v>
      </c>
      <c r="T20" s="5" t="s">
        <v>59</v>
      </c>
      <c r="U20" s="5" t="s">
        <v>48</v>
      </c>
      <c r="V20" s="5"/>
      <c r="W20" s="5"/>
      <c r="X20" s="5"/>
      <c r="Y20" s="5" t="s">
        <v>49</v>
      </c>
      <c r="Z20" s="7">
        <v>1426.25</v>
      </c>
      <c r="AA20" s="7">
        <v>0</v>
      </c>
      <c r="AB20" s="7">
        <v>0</v>
      </c>
      <c r="AC20" s="6">
        <v>46161</v>
      </c>
      <c r="AD20" s="7">
        <v>1426.25</v>
      </c>
      <c r="AE20" s="4">
        <v>143</v>
      </c>
      <c r="AF20" s="5" t="s">
        <v>93</v>
      </c>
      <c r="AG20" s="5"/>
      <c r="AH20" s="5"/>
      <c r="AI20" s="5"/>
      <c r="AJ20" s="4"/>
      <c r="AK20" s="5" t="s">
        <v>98</v>
      </c>
      <c r="AL20" s="5" t="s">
        <v>62</v>
      </c>
      <c r="AM20" s="6">
        <v>46119</v>
      </c>
      <c r="AN20" s="5" t="s">
        <v>53</v>
      </c>
      <c r="AO20" s="5" t="s">
        <v>139</v>
      </c>
    </row>
    <row r="21" spans="1:41" x14ac:dyDescent="0.25">
      <c r="A21" s="2" t="s">
        <v>250</v>
      </c>
      <c r="B21" s="2" t="s">
        <v>452</v>
      </c>
      <c r="C21" s="3">
        <v>46167</v>
      </c>
      <c r="D21" s="4">
        <v>553148506</v>
      </c>
      <c r="E21" s="5" t="s">
        <v>140</v>
      </c>
      <c r="F21" s="6">
        <v>46099</v>
      </c>
      <c r="G21" s="5" t="s">
        <v>117</v>
      </c>
      <c r="H21" s="5" t="s">
        <v>117</v>
      </c>
      <c r="I21" s="5" t="s">
        <v>43</v>
      </c>
      <c r="J21" s="5" t="s">
        <v>44</v>
      </c>
      <c r="K21" s="3">
        <v>46265</v>
      </c>
      <c r="L21" s="12">
        <f t="shared" ca="1" si="0"/>
        <v>-93</v>
      </c>
      <c r="M21" s="12">
        <f ca="1">IF($C21="","",$C21+365-TODAY())</f>
        <v>250</v>
      </c>
      <c r="N21" s="12">
        <f t="shared" ca="1" si="3"/>
        <v>250</v>
      </c>
      <c r="O21" s="6">
        <v>46189</v>
      </c>
      <c r="P21" s="5" t="s">
        <v>112</v>
      </c>
      <c r="Q21" s="5" t="s">
        <v>118</v>
      </c>
      <c r="R21" s="5" t="s">
        <v>59</v>
      </c>
      <c r="S21" s="5" t="s">
        <v>48</v>
      </c>
      <c r="T21" s="5" t="s">
        <v>59</v>
      </c>
      <c r="U21" s="5" t="s">
        <v>48</v>
      </c>
      <c r="V21" s="5"/>
      <c r="W21" s="5"/>
      <c r="X21" s="5"/>
      <c r="Y21" s="5" t="s">
        <v>49</v>
      </c>
      <c r="Z21" s="7">
        <v>1372.91</v>
      </c>
      <c r="AA21" s="7">
        <v>0</v>
      </c>
      <c r="AB21" s="7">
        <v>0</v>
      </c>
      <c r="AC21" s="6">
        <v>46167</v>
      </c>
      <c r="AD21" s="7">
        <v>1372.91</v>
      </c>
      <c r="AE21" s="4">
        <v>143</v>
      </c>
      <c r="AF21" s="5" t="s">
        <v>141</v>
      </c>
      <c r="AG21" s="5" t="s">
        <v>60</v>
      </c>
      <c r="AH21" s="5"/>
      <c r="AI21" s="5"/>
      <c r="AJ21" s="4"/>
      <c r="AK21" s="5" t="s">
        <v>72</v>
      </c>
      <c r="AL21" s="5" t="s">
        <v>62</v>
      </c>
      <c r="AM21" s="6">
        <v>46153</v>
      </c>
      <c r="AN21" s="5" t="s">
        <v>53</v>
      </c>
      <c r="AO21" s="5" t="s">
        <v>142</v>
      </c>
    </row>
    <row r="22" spans="1:41" x14ac:dyDescent="0.25">
      <c r="A22" s="2" t="s">
        <v>446</v>
      </c>
      <c r="B22" s="2" t="s">
        <v>451</v>
      </c>
      <c r="C22" s="3">
        <v>46185</v>
      </c>
      <c r="D22" s="4">
        <v>553362911</v>
      </c>
      <c r="E22" s="5" t="s">
        <v>143</v>
      </c>
      <c r="F22" s="6">
        <v>46101</v>
      </c>
      <c r="G22" s="5" t="s">
        <v>117</v>
      </c>
      <c r="H22" s="5" t="s">
        <v>117</v>
      </c>
      <c r="I22" s="5" t="s">
        <v>43</v>
      </c>
      <c r="J22" s="5" t="s">
        <v>87</v>
      </c>
      <c r="K22" s="3">
        <v>46266</v>
      </c>
      <c r="L22" s="12">
        <f t="shared" ca="1" si="0"/>
        <v>-91</v>
      </c>
      <c r="M22" s="12">
        <f ca="1">IF($C22="","",$C22+365-TODAY())</f>
        <v>268</v>
      </c>
      <c r="N22" s="12">
        <f t="shared" ca="1" si="3"/>
        <v>268</v>
      </c>
      <c r="O22" s="6">
        <v>46191</v>
      </c>
      <c r="P22" s="5" t="s">
        <v>112</v>
      </c>
      <c r="Q22" s="5" t="s">
        <v>118</v>
      </c>
      <c r="R22" s="5" t="s">
        <v>59</v>
      </c>
      <c r="S22" s="5" t="s">
        <v>48</v>
      </c>
      <c r="T22" s="5" t="s">
        <v>59</v>
      </c>
      <c r="U22" s="5" t="s">
        <v>48</v>
      </c>
      <c r="V22" s="5"/>
      <c r="W22" s="5"/>
      <c r="X22" s="5"/>
      <c r="Y22" s="5" t="s">
        <v>49</v>
      </c>
      <c r="Z22" s="7">
        <v>1426.25</v>
      </c>
      <c r="AA22" s="7">
        <v>1245.54</v>
      </c>
      <c r="AB22" s="7">
        <v>361.42</v>
      </c>
      <c r="AC22" s="6">
        <v>46185</v>
      </c>
      <c r="AD22" s="7">
        <v>-180.71</v>
      </c>
      <c r="AE22" s="4">
        <v>141</v>
      </c>
      <c r="AF22" s="5" t="s">
        <v>71</v>
      </c>
      <c r="AG22" s="5"/>
      <c r="AH22" s="5"/>
      <c r="AI22" s="5"/>
      <c r="AJ22" s="4"/>
      <c r="AK22" s="5" t="s">
        <v>61</v>
      </c>
      <c r="AL22" s="5" t="s">
        <v>80</v>
      </c>
      <c r="AM22" s="6">
        <v>46119</v>
      </c>
      <c r="AN22" s="5" t="s">
        <v>53</v>
      </c>
      <c r="AO22" s="5" t="s">
        <v>144</v>
      </c>
    </row>
    <row r="23" spans="1:41" x14ac:dyDescent="0.25">
      <c r="A23" s="2" t="s">
        <v>250</v>
      </c>
      <c r="B23" s="2" t="s">
        <v>466</v>
      </c>
      <c r="C23" s="3">
        <v>46124</v>
      </c>
      <c r="D23" s="4">
        <v>553498942</v>
      </c>
      <c r="E23" s="5" t="s">
        <v>145</v>
      </c>
      <c r="F23" s="6">
        <v>46101</v>
      </c>
      <c r="G23" s="5" t="s">
        <v>75</v>
      </c>
      <c r="H23" s="5" t="s">
        <v>75</v>
      </c>
      <c r="I23" s="5" t="s">
        <v>43</v>
      </c>
      <c r="J23" s="5" t="s">
        <v>68</v>
      </c>
      <c r="K23" s="3">
        <v>46268</v>
      </c>
      <c r="L23" s="12">
        <f t="shared" ca="1" si="0"/>
        <v>-91</v>
      </c>
      <c r="M23" s="12">
        <f ca="1">IF($C23="","",$C23+365-TODAY())</f>
        <v>207</v>
      </c>
      <c r="N23" s="12">
        <f t="shared" ca="1" si="3"/>
        <v>207</v>
      </c>
      <c r="O23" s="6">
        <v>46191</v>
      </c>
      <c r="P23" s="5" t="s">
        <v>112</v>
      </c>
      <c r="Q23" s="5" t="s">
        <v>113</v>
      </c>
      <c r="R23" s="5" t="s">
        <v>59</v>
      </c>
      <c r="S23" s="5" t="s">
        <v>48</v>
      </c>
      <c r="T23" s="5" t="s">
        <v>59</v>
      </c>
      <c r="U23" s="5" t="s">
        <v>48</v>
      </c>
      <c r="V23" s="5"/>
      <c r="W23" s="5"/>
      <c r="X23" s="5"/>
      <c r="Y23" s="5" t="s">
        <v>49</v>
      </c>
      <c r="Z23" s="7">
        <v>1426.25</v>
      </c>
      <c r="AA23" s="7">
        <v>0</v>
      </c>
      <c r="AB23" s="7">
        <v>0</v>
      </c>
      <c r="AC23" s="6">
        <v>46124</v>
      </c>
      <c r="AD23" s="7">
        <v>1426.25</v>
      </c>
      <c r="AE23" s="4">
        <v>141</v>
      </c>
      <c r="AF23" s="5" t="s">
        <v>71</v>
      </c>
      <c r="AG23" s="5"/>
      <c r="AH23" s="5"/>
      <c r="AI23" s="5"/>
      <c r="AJ23" s="4"/>
      <c r="AK23" s="5" t="s">
        <v>146</v>
      </c>
      <c r="AL23" s="5" t="s">
        <v>80</v>
      </c>
      <c r="AM23" s="6">
        <v>46119</v>
      </c>
      <c r="AN23" s="5" t="s">
        <v>53</v>
      </c>
      <c r="AO23" s="5" t="s">
        <v>147</v>
      </c>
    </row>
    <row r="24" spans="1:41" x14ac:dyDescent="0.25">
      <c r="A24" s="2" t="s">
        <v>64</v>
      </c>
      <c r="B24" s="2" t="s">
        <v>453</v>
      </c>
      <c r="C24" s="3">
        <v>46141</v>
      </c>
      <c r="D24" s="4">
        <v>555169750</v>
      </c>
      <c r="E24" s="5" t="s">
        <v>140</v>
      </c>
      <c r="F24" s="6">
        <v>46104</v>
      </c>
      <c r="G24" s="5" t="s">
        <v>117</v>
      </c>
      <c r="H24" s="5" t="s">
        <v>117</v>
      </c>
      <c r="I24" s="5" t="s">
        <v>43</v>
      </c>
      <c r="J24" s="5" t="s">
        <v>148</v>
      </c>
      <c r="K24" s="3">
        <v>46266</v>
      </c>
      <c r="L24" s="12">
        <f t="shared" ca="1" si="0"/>
        <v>-88</v>
      </c>
      <c r="M24" s="12">
        <f ca="1">IF($C24="","",$C24+365-TODAY())</f>
        <v>224</v>
      </c>
      <c r="N24" s="12">
        <f t="shared" ca="1" si="3"/>
        <v>224</v>
      </c>
      <c r="O24" s="6">
        <v>46194</v>
      </c>
      <c r="P24" s="5" t="s">
        <v>112</v>
      </c>
      <c r="Q24" s="5" t="s">
        <v>118</v>
      </c>
      <c r="R24" s="5" t="s">
        <v>59</v>
      </c>
      <c r="S24" s="5" t="s">
        <v>48</v>
      </c>
      <c r="T24" s="5" t="s">
        <v>59</v>
      </c>
      <c r="U24" s="5" t="s">
        <v>48</v>
      </c>
      <c r="V24" s="5"/>
      <c r="W24" s="5"/>
      <c r="X24" s="5"/>
      <c r="Y24" s="5" t="s">
        <v>49</v>
      </c>
      <c r="Z24" s="7">
        <v>396.27</v>
      </c>
      <c r="AA24" s="7">
        <v>0</v>
      </c>
      <c r="AB24" s="7">
        <v>0</v>
      </c>
      <c r="AC24" s="6">
        <v>46141</v>
      </c>
      <c r="AD24" s="7">
        <v>396.27</v>
      </c>
      <c r="AE24" s="4">
        <v>138</v>
      </c>
      <c r="AF24" s="5" t="s">
        <v>149</v>
      </c>
      <c r="AG24" s="5" t="s">
        <v>150</v>
      </c>
      <c r="AH24" s="5"/>
      <c r="AI24" s="5"/>
      <c r="AJ24" s="4"/>
      <c r="AK24" s="5" t="s">
        <v>72</v>
      </c>
      <c r="AL24" s="5" t="s">
        <v>151</v>
      </c>
      <c r="AM24" s="6">
        <v>46105</v>
      </c>
      <c r="AN24" s="5" t="s">
        <v>53</v>
      </c>
      <c r="AO24" s="5" t="s">
        <v>152</v>
      </c>
    </row>
    <row r="25" spans="1:41" x14ac:dyDescent="0.25">
      <c r="A25" s="2" t="s">
        <v>64</v>
      </c>
      <c r="B25" s="2" t="s">
        <v>458</v>
      </c>
      <c r="C25" s="3">
        <v>46123</v>
      </c>
      <c r="D25" s="4">
        <v>554246495</v>
      </c>
      <c r="E25" s="5" t="s">
        <v>153</v>
      </c>
      <c r="F25" s="6">
        <v>46106</v>
      </c>
      <c r="G25" s="5" t="s">
        <v>97</v>
      </c>
      <c r="H25" s="5" t="s">
        <v>154</v>
      </c>
      <c r="I25" s="5" t="s">
        <v>97</v>
      </c>
      <c r="J25" s="5" t="s">
        <v>155</v>
      </c>
      <c r="K25" s="3">
        <v>46268</v>
      </c>
      <c r="L25" s="12">
        <f t="shared" ca="1" si="0"/>
        <v>-86</v>
      </c>
      <c r="M25" s="12">
        <f ca="1">IF($F25="","",$F25+90-TODAY())</f>
        <v>-86</v>
      </c>
      <c r="N25" s="12">
        <f ca="1">IF($C25="","",$C25+60-TODAY())</f>
        <v>-99</v>
      </c>
      <c r="O25" s="6">
        <v>46196</v>
      </c>
      <c r="P25" s="5" t="s">
        <v>112</v>
      </c>
      <c r="Q25" s="5" t="s">
        <v>156</v>
      </c>
      <c r="R25" s="5" t="s">
        <v>112</v>
      </c>
      <c r="S25" s="5" t="s">
        <v>47</v>
      </c>
      <c r="T25" s="5" t="s">
        <v>157</v>
      </c>
      <c r="U25" s="5" t="s">
        <v>48</v>
      </c>
      <c r="V25" s="5"/>
      <c r="W25" s="5"/>
      <c r="X25" s="5"/>
      <c r="Y25" s="5" t="s">
        <v>49</v>
      </c>
      <c r="Z25" s="7">
        <v>1029.98</v>
      </c>
      <c r="AA25" s="7">
        <v>883.53</v>
      </c>
      <c r="AB25" s="7">
        <v>121.45</v>
      </c>
      <c r="AC25" s="6">
        <v>46123</v>
      </c>
      <c r="AD25" s="7">
        <v>25</v>
      </c>
      <c r="AE25" s="4">
        <v>136</v>
      </c>
      <c r="AF25" s="5" t="s">
        <v>50</v>
      </c>
      <c r="AG25" s="5"/>
      <c r="AH25" s="5"/>
      <c r="AI25" s="5"/>
      <c r="AJ25" s="4">
        <v>557570817</v>
      </c>
      <c r="AK25" s="5" t="s">
        <v>103</v>
      </c>
      <c r="AL25" s="5" t="s">
        <v>80</v>
      </c>
      <c r="AM25" s="6">
        <v>46119</v>
      </c>
      <c r="AN25" s="5" t="s">
        <v>53</v>
      </c>
      <c r="AO25" s="5" t="s">
        <v>158</v>
      </c>
    </row>
    <row r="26" spans="1:41" x14ac:dyDescent="0.25">
      <c r="A26" s="2" t="s">
        <v>250</v>
      </c>
      <c r="B26" s="2" t="s">
        <v>450</v>
      </c>
      <c r="C26" s="3">
        <v>46141</v>
      </c>
      <c r="D26" s="4">
        <v>554088972</v>
      </c>
      <c r="E26" s="5" t="s">
        <v>159</v>
      </c>
      <c r="F26" s="6">
        <v>46108</v>
      </c>
      <c r="G26" s="5" t="s">
        <v>117</v>
      </c>
      <c r="H26" s="5" t="s">
        <v>117</v>
      </c>
      <c r="I26" s="5" t="s">
        <v>43</v>
      </c>
      <c r="J26" s="5" t="s">
        <v>57</v>
      </c>
      <c r="K26" s="3">
        <v>46266</v>
      </c>
      <c r="L26" s="12">
        <f t="shared" ca="1" si="0"/>
        <v>-84</v>
      </c>
      <c r="M26" s="12">
        <f ca="1">IF($C26="","",$C26+365-TODAY())</f>
        <v>224</v>
      </c>
      <c r="N26" s="12">
        <f ca="1">IF($C26="","",$C26+365-TODAY())</f>
        <v>224</v>
      </c>
      <c r="O26" s="6">
        <v>46198</v>
      </c>
      <c r="P26" s="5" t="s">
        <v>112</v>
      </c>
      <c r="Q26" s="5" t="s">
        <v>118</v>
      </c>
      <c r="R26" s="5" t="s">
        <v>59</v>
      </c>
      <c r="S26" s="5" t="s">
        <v>48</v>
      </c>
      <c r="T26" s="5" t="s">
        <v>59</v>
      </c>
      <c r="U26" s="5" t="s">
        <v>48</v>
      </c>
      <c r="V26" s="5"/>
      <c r="W26" s="5"/>
      <c r="X26" s="5"/>
      <c r="Y26" s="5" t="s">
        <v>49</v>
      </c>
      <c r="Z26" s="7">
        <v>1372.91</v>
      </c>
      <c r="AA26" s="7">
        <v>0</v>
      </c>
      <c r="AB26" s="7">
        <v>0</v>
      </c>
      <c r="AC26" s="6">
        <v>46141</v>
      </c>
      <c r="AD26" s="7">
        <v>1372.91</v>
      </c>
      <c r="AE26" s="4">
        <v>134</v>
      </c>
      <c r="AF26" s="5" t="s">
        <v>88</v>
      </c>
      <c r="AG26" s="5"/>
      <c r="AH26" s="5"/>
      <c r="AI26" s="5"/>
      <c r="AJ26" s="4"/>
      <c r="AK26" s="5" t="s">
        <v>94</v>
      </c>
      <c r="AL26" s="5" t="s">
        <v>62</v>
      </c>
      <c r="AM26" s="6">
        <v>46119</v>
      </c>
      <c r="AN26" s="5" t="s">
        <v>53</v>
      </c>
      <c r="AO26" s="5" t="s">
        <v>160</v>
      </c>
    </row>
    <row r="27" spans="1:41" x14ac:dyDescent="0.25">
      <c r="A27" s="2" t="s">
        <v>250</v>
      </c>
      <c r="B27" s="2" t="s">
        <v>467</v>
      </c>
      <c r="C27" s="3">
        <v>46197</v>
      </c>
      <c r="D27" s="4">
        <v>563362114</v>
      </c>
      <c r="E27" s="5" t="s">
        <v>161</v>
      </c>
      <c r="F27" s="6">
        <v>46108</v>
      </c>
      <c r="G27" s="5" t="s">
        <v>122</v>
      </c>
      <c r="H27" s="5" t="s">
        <v>122</v>
      </c>
      <c r="I27" s="5" t="s">
        <v>43</v>
      </c>
      <c r="J27" s="5" t="s">
        <v>162</v>
      </c>
      <c r="K27" s="3">
        <v>46148</v>
      </c>
      <c r="L27" s="12">
        <f t="shared" ca="1" si="0"/>
        <v>-84</v>
      </c>
      <c r="M27" s="12">
        <f ca="1">IF($C27="","",$C27+180-TODAY())</f>
        <v>95</v>
      </c>
      <c r="N27" s="12">
        <f ca="1">IF($C27="","",$C27+365-TODAY())</f>
        <v>280</v>
      </c>
      <c r="O27" s="6">
        <v>46198</v>
      </c>
      <c r="P27" s="5" t="s">
        <v>112</v>
      </c>
      <c r="Q27" s="5" t="s">
        <v>133</v>
      </c>
      <c r="R27" s="5" t="s">
        <v>45</v>
      </c>
      <c r="S27" s="5" t="s">
        <v>48</v>
      </c>
      <c r="T27" s="5" t="s">
        <v>59</v>
      </c>
      <c r="U27" s="5" t="s">
        <v>48</v>
      </c>
      <c r="V27" s="5" t="s">
        <v>134</v>
      </c>
      <c r="W27" s="5"/>
      <c r="X27" s="5"/>
      <c r="Y27" s="5" t="s">
        <v>49</v>
      </c>
      <c r="Z27" s="7">
        <v>1426.25</v>
      </c>
      <c r="AA27" s="7">
        <v>0</v>
      </c>
      <c r="AB27" s="7">
        <v>0</v>
      </c>
      <c r="AC27" s="6">
        <v>46197</v>
      </c>
      <c r="AD27" s="7">
        <v>1426.25</v>
      </c>
      <c r="AE27" s="4">
        <v>134</v>
      </c>
      <c r="AF27" s="5" t="s">
        <v>88</v>
      </c>
      <c r="AG27" s="5"/>
      <c r="AH27" s="5"/>
      <c r="AI27" s="5"/>
      <c r="AJ27" s="4"/>
      <c r="AK27" s="5" t="s">
        <v>94</v>
      </c>
      <c r="AL27" s="5" t="s">
        <v>62</v>
      </c>
      <c r="AM27" s="6">
        <v>46119</v>
      </c>
      <c r="AN27" s="5" t="s">
        <v>53</v>
      </c>
      <c r="AO27" s="5" t="s">
        <v>163</v>
      </c>
    </row>
    <row r="28" spans="1:41" x14ac:dyDescent="0.25">
      <c r="A28" s="2" t="s">
        <v>130</v>
      </c>
      <c r="B28" s="2" t="s">
        <v>468</v>
      </c>
      <c r="C28" s="3">
        <v>46184</v>
      </c>
      <c r="D28" s="4">
        <v>553283455</v>
      </c>
      <c r="E28" s="5" t="s">
        <v>164</v>
      </c>
      <c r="F28" s="6">
        <v>46100</v>
      </c>
      <c r="G28" s="5" t="s">
        <v>165</v>
      </c>
      <c r="H28" s="5" t="s">
        <v>165</v>
      </c>
      <c r="I28" s="5" t="s">
        <v>43</v>
      </c>
      <c r="J28" s="5" t="s">
        <v>87</v>
      </c>
      <c r="K28" s="3">
        <v>46268</v>
      </c>
      <c r="L28" s="12">
        <f t="shared" ca="1" si="0"/>
        <v>-62</v>
      </c>
      <c r="M28" s="12">
        <f ca="1">IF($C28="","",$C28+180-TODAY())</f>
        <v>82</v>
      </c>
      <c r="N28" s="12">
        <f ca="1">IF($C28="","",$C28+180-TODAY())</f>
        <v>82</v>
      </c>
      <c r="O28" s="6">
        <v>46220</v>
      </c>
      <c r="P28" s="5" t="s">
        <v>70</v>
      </c>
      <c r="Q28" s="5" t="s">
        <v>166</v>
      </c>
      <c r="R28" s="5" t="s">
        <v>45</v>
      </c>
      <c r="S28" s="5" t="s">
        <v>48</v>
      </c>
      <c r="T28" s="5" t="s">
        <v>45</v>
      </c>
      <c r="U28" s="5" t="s">
        <v>48</v>
      </c>
      <c r="V28" s="5"/>
      <c r="W28" s="5"/>
      <c r="X28" s="5"/>
      <c r="Y28" s="5" t="s">
        <v>49</v>
      </c>
      <c r="Z28" s="7">
        <v>1426.25</v>
      </c>
      <c r="AA28" s="7">
        <v>0</v>
      </c>
      <c r="AB28" s="7">
        <v>0</v>
      </c>
      <c r="AC28" s="6">
        <v>46184</v>
      </c>
      <c r="AD28" s="7">
        <v>1426.25</v>
      </c>
      <c r="AE28" s="4">
        <v>142</v>
      </c>
      <c r="AF28" s="5" t="s">
        <v>50</v>
      </c>
      <c r="AG28" s="5"/>
      <c r="AH28" s="5"/>
      <c r="AI28" s="5"/>
      <c r="AJ28" s="4"/>
      <c r="AK28" s="5" t="s">
        <v>98</v>
      </c>
      <c r="AL28" s="5" t="s">
        <v>80</v>
      </c>
      <c r="AM28" s="6">
        <v>46119</v>
      </c>
      <c r="AN28" s="5" t="s">
        <v>53</v>
      </c>
      <c r="AO28" s="5" t="s">
        <v>167</v>
      </c>
    </row>
    <row r="29" spans="1:41" x14ac:dyDescent="0.25">
      <c r="A29" s="2" t="s">
        <v>250</v>
      </c>
      <c r="B29" s="2" t="s">
        <v>470</v>
      </c>
      <c r="C29" s="3">
        <v>46128</v>
      </c>
      <c r="D29" s="4">
        <v>554404221</v>
      </c>
      <c r="E29" s="5" t="s">
        <v>168</v>
      </c>
      <c r="F29" s="6">
        <v>46112</v>
      </c>
      <c r="G29" s="5" t="s">
        <v>169</v>
      </c>
      <c r="H29" s="5" t="s">
        <v>169</v>
      </c>
      <c r="I29" s="5" t="s">
        <v>43</v>
      </c>
      <c r="J29" s="5" t="s">
        <v>170</v>
      </c>
      <c r="K29" s="3">
        <v>46268</v>
      </c>
      <c r="L29" s="12">
        <f t="shared" ca="1" si="0"/>
        <v>-50</v>
      </c>
      <c r="M29" s="12">
        <f ca="1">IF($C29="","",$C29+365-TODAY())</f>
        <v>211</v>
      </c>
      <c r="N29" s="12">
        <f ca="1">IF($C29="","",$C29+90-TODAY())</f>
        <v>-64</v>
      </c>
      <c r="O29" s="6">
        <v>46232</v>
      </c>
      <c r="P29" s="5" t="s">
        <v>70</v>
      </c>
      <c r="Q29" s="5" t="s">
        <v>171</v>
      </c>
      <c r="R29" s="5" t="s">
        <v>59</v>
      </c>
      <c r="S29" s="5" t="s">
        <v>48</v>
      </c>
      <c r="T29" s="5" t="s">
        <v>112</v>
      </c>
      <c r="U29" s="5" t="s">
        <v>48</v>
      </c>
      <c r="V29" s="5"/>
      <c r="W29" s="5"/>
      <c r="X29" s="5"/>
      <c r="Y29" s="5" t="s">
        <v>49</v>
      </c>
      <c r="Z29" s="7">
        <v>976.64</v>
      </c>
      <c r="AA29" s="7">
        <v>0</v>
      </c>
      <c r="AB29" s="7">
        <v>0</v>
      </c>
      <c r="AC29" s="6">
        <v>46128</v>
      </c>
      <c r="AD29" s="7">
        <v>976.64</v>
      </c>
      <c r="AE29" s="4">
        <v>130</v>
      </c>
      <c r="AF29" s="5" t="s">
        <v>71</v>
      </c>
      <c r="AG29" s="5"/>
      <c r="AH29" s="5"/>
      <c r="AI29" s="5"/>
      <c r="AJ29" s="4"/>
      <c r="AK29" s="5" t="s">
        <v>94</v>
      </c>
      <c r="AL29" s="5" t="s">
        <v>52</v>
      </c>
      <c r="AM29" s="6">
        <v>46119</v>
      </c>
      <c r="AN29" s="5" t="s">
        <v>53</v>
      </c>
      <c r="AO29" s="5" t="s">
        <v>172</v>
      </c>
    </row>
    <row r="30" spans="1:41" x14ac:dyDescent="0.25">
      <c r="A30" s="2" t="s">
        <v>250</v>
      </c>
      <c r="B30" s="2" t="s">
        <v>472</v>
      </c>
      <c r="C30" s="3">
        <v>46128</v>
      </c>
      <c r="D30" s="4">
        <v>553124954</v>
      </c>
      <c r="E30" s="5" t="s">
        <v>173</v>
      </c>
      <c r="F30" s="6">
        <v>46099</v>
      </c>
      <c r="G30" s="5" t="s">
        <v>174</v>
      </c>
      <c r="H30" s="5" t="s">
        <v>174</v>
      </c>
      <c r="I30" s="5" t="s">
        <v>43</v>
      </c>
      <c r="J30" s="5" t="s">
        <v>44</v>
      </c>
      <c r="K30" s="3">
        <v>46269</v>
      </c>
      <c r="L30" s="12" t="str">
        <f t="shared" ca="1" si="0"/>
        <v/>
      </c>
      <c r="M30" s="12"/>
      <c r="N30" s="12"/>
      <c r="O30" s="6"/>
      <c r="P30" s="5"/>
      <c r="Q30" s="5" t="s">
        <v>175</v>
      </c>
      <c r="R30" s="5"/>
      <c r="S30" s="5"/>
      <c r="T30" s="5"/>
      <c r="U30" s="5"/>
      <c r="V30" s="5"/>
      <c r="W30" s="5"/>
      <c r="X30" s="5"/>
      <c r="Y30" s="5" t="s">
        <v>49</v>
      </c>
      <c r="Z30" s="7">
        <v>1372.91</v>
      </c>
      <c r="AA30" s="7">
        <v>0</v>
      </c>
      <c r="AB30" s="7">
        <v>0</v>
      </c>
      <c r="AC30" s="6">
        <v>46128</v>
      </c>
      <c r="AD30" s="7">
        <v>1372.91</v>
      </c>
      <c r="AE30" s="4">
        <v>143</v>
      </c>
      <c r="AF30" s="5" t="s">
        <v>71</v>
      </c>
      <c r="AG30" s="5"/>
      <c r="AH30" s="5"/>
      <c r="AI30" s="5"/>
      <c r="AJ30" s="4"/>
      <c r="AK30" s="5" t="s">
        <v>146</v>
      </c>
      <c r="AL30" s="5" t="s">
        <v>80</v>
      </c>
      <c r="AM30" s="6">
        <v>46119</v>
      </c>
      <c r="AN30" s="5" t="s">
        <v>53</v>
      </c>
      <c r="AO30" s="5" t="s">
        <v>176</v>
      </c>
    </row>
    <row r="31" spans="1:41" x14ac:dyDescent="0.25">
      <c r="A31" s="2" t="s">
        <v>446</v>
      </c>
      <c r="B31" s="2" t="s">
        <v>471</v>
      </c>
      <c r="C31" s="3">
        <v>46164</v>
      </c>
      <c r="D31" s="4">
        <v>553577987</v>
      </c>
      <c r="E31" s="5" t="s">
        <v>177</v>
      </c>
      <c r="F31" s="6">
        <v>46104</v>
      </c>
      <c r="G31" s="5" t="s">
        <v>178</v>
      </c>
      <c r="H31" s="5" t="s">
        <v>179</v>
      </c>
      <c r="I31" s="5" t="s">
        <v>178</v>
      </c>
      <c r="J31" s="5" t="s">
        <v>180</v>
      </c>
      <c r="K31" s="3">
        <v>46269</v>
      </c>
      <c r="L31" s="12" t="str">
        <f t="shared" ca="1" si="0"/>
        <v/>
      </c>
      <c r="M31" s="12"/>
      <c r="N31" s="12"/>
      <c r="O31" s="6"/>
      <c r="P31" s="5"/>
      <c r="Q31" s="5" t="s">
        <v>175</v>
      </c>
      <c r="R31" s="5"/>
      <c r="S31" s="5"/>
      <c r="T31" s="5"/>
      <c r="U31" s="5"/>
      <c r="V31" s="5"/>
      <c r="W31" s="5"/>
      <c r="X31" s="5"/>
      <c r="Y31" s="5" t="s">
        <v>181</v>
      </c>
      <c r="Z31" s="7">
        <v>1822.52</v>
      </c>
      <c r="AA31" s="7">
        <v>1549.83</v>
      </c>
      <c r="AB31" s="7">
        <v>217.27</v>
      </c>
      <c r="AC31" s="6">
        <v>46164</v>
      </c>
      <c r="AD31" s="7">
        <v>55.42</v>
      </c>
      <c r="AE31" s="4">
        <v>138</v>
      </c>
      <c r="AF31" s="5" t="s">
        <v>71</v>
      </c>
      <c r="AG31" s="5"/>
      <c r="AH31" s="5"/>
      <c r="AI31" s="5"/>
      <c r="AJ31" s="4">
        <v>557766116</v>
      </c>
      <c r="AK31" s="5" t="s">
        <v>98</v>
      </c>
      <c r="AL31" s="5" t="s">
        <v>52</v>
      </c>
      <c r="AM31" s="6">
        <v>46119</v>
      </c>
      <c r="AN31" s="5" t="s">
        <v>53</v>
      </c>
      <c r="AO31" s="5" t="s">
        <v>182</v>
      </c>
    </row>
    <row r="32" spans="1:41" x14ac:dyDescent="0.25">
      <c r="A32" s="2" t="s">
        <v>64</v>
      </c>
      <c r="B32" s="2" t="s">
        <v>446</v>
      </c>
      <c r="C32" s="3">
        <v>46245</v>
      </c>
      <c r="D32" s="4">
        <v>554062261</v>
      </c>
      <c r="E32" s="5" t="s">
        <v>183</v>
      </c>
      <c r="F32" s="6">
        <v>46108</v>
      </c>
      <c r="G32" s="5" t="s">
        <v>184</v>
      </c>
      <c r="H32" s="5" t="s">
        <v>184</v>
      </c>
      <c r="I32" s="5" t="s">
        <v>43</v>
      </c>
      <c r="J32" s="5" t="s">
        <v>87</v>
      </c>
      <c r="K32" s="3">
        <v>46260</v>
      </c>
      <c r="L32" s="12" t="str">
        <f t="shared" ca="1" si="0"/>
        <v/>
      </c>
      <c r="M32" s="12"/>
      <c r="N32" s="12"/>
      <c r="O32" s="6"/>
      <c r="P32" s="5"/>
      <c r="Q32" s="5" t="s">
        <v>175</v>
      </c>
      <c r="R32" s="5"/>
      <c r="S32" s="5"/>
      <c r="T32" s="5"/>
      <c r="U32" s="5"/>
      <c r="V32" s="5"/>
      <c r="W32" s="5"/>
      <c r="X32" s="5"/>
      <c r="Y32" s="5" t="s">
        <v>49</v>
      </c>
      <c r="Z32" s="7">
        <v>1426.25</v>
      </c>
      <c r="AA32" s="7">
        <v>0</v>
      </c>
      <c r="AB32" s="7">
        <v>0</v>
      </c>
      <c r="AC32" s="6"/>
      <c r="AD32" s="7">
        <v>1426.25</v>
      </c>
      <c r="AE32" s="4">
        <v>134</v>
      </c>
      <c r="AF32" s="5" t="s">
        <v>88</v>
      </c>
      <c r="AG32" s="5"/>
      <c r="AH32" s="5"/>
      <c r="AI32" s="5"/>
      <c r="AJ32" s="4"/>
      <c r="AK32" s="5" t="s">
        <v>109</v>
      </c>
      <c r="AL32" s="5" t="s">
        <v>62</v>
      </c>
      <c r="AM32" s="6">
        <v>46119</v>
      </c>
      <c r="AN32" s="5" t="s">
        <v>53</v>
      </c>
      <c r="AO32" s="5" t="s">
        <v>185</v>
      </c>
    </row>
  </sheetData>
  <autoFilter ref="A1:AO32" xr:uid="{00000000-0009-0000-0000-000000000000}"/>
  <conditionalFormatting sqref="L2:L3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2"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11"/>
  <sheetViews>
    <sheetView zoomScale="90" workbookViewId="0">
      <pane xSplit="2" ySplit="1" topLeftCell="C2" activePane="bottomRight" state="frozen"/>
      <selection pane="topRight"/>
      <selection pane="bottomLeft"/>
      <selection pane="bottomRight" activeCell="B22" sqref="B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c r="B2" s="2"/>
      <c r="C2" s="3">
        <v>46141</v>
      </c>
      <c r="D2" s="4">
        <v>551735634</v>
      </c>
      <c r="E2" s="5" t="s">
        <v>186</v>
      </c>
      <c r="F2" s="6">
        <v>46085</v>
      </c>
      <c r="G2" s="5" t="s">
        <v>187</v>
      </c>
      <c r="H2" s="5" t="s">
        <v>187</v>
      </c>
      <c r="I2" s="5" t="s">
        <v>188</v>
      </c>
      <c r="J2" s="5" t="s">
        <v>189</v>
      </c>
      <c r="K2" s="3"/>
      <c r="L2" s="12">
        <f t="shared" ref="L2:L11" ca="1" si="0">IF($O2="","",$O2-TODAY())</f>
        <v>168</v>
      </c>
      <c r="M2" s="12">
        <f t="shared" ref="M2:M10" ca="1" si="1">IF($C2="","",$C2+365-TODAY())</f>
        <v>224</v>
      </c>
      <c r="N2" s="12">
        <f t="shared" ref="N2:N8" ca="1" si="2">IF($C2="","",$C2+120-TODAY())</f>
        <v>-21</v>
      </c>
      <c r="O2" s="6">
        <v>46450</v>
      </c>
      <c r="P2" s="5" t="s">
        <v>59</v>
      </c>
      <c r="Q2" s="5" t="s">
        <v>69</v>
      </c>
      <c r="R2" s="5" t="s">
        <v>59</v>
      </c>
      <c r="S2" s="5" t="s">
        <v>48</v>
      </c>
      <c r="T2" s="5" t="s">
        <v>70</v>
      </c>
      <c r="U2" s="5" t="s">
        <v>48</v>
      </c>
      <c r="V2" s="5" t="s">
        <v>190</v>
      </c>
      <c r="W2" s="5"/>
      <c r="X2" s="5"/>
      <c r="Y2" s="5" t="s">
        <v>49</v>
      </c>
      <c r="Z2" s="7">
        <v>4520.1099999999997</v>
      </c>
      <c r="AA2" s="7">
        <v>0</v>
      </c>
      <c r="AB2" s="7">
        <v>0</v>
      </c>
      <c r="AC2" s="6">
        <v>46141</v>
      </c>
      <c r="AD2" s="7">
        <v>4520.1099999999997</v>
      </c>
      <c r="AE2" s="4">
        <v>157</v>
      </c>
      <c r="AF2" s="5" t="s">
        <v>191</v>
      </c>
      <c r="AG2" s="5"/>
      <c r="AH2" s="5"/>
      <c r="AI2" s="5"/>
      <c r="AJ2" s="4"/>
      <c r="AK2" s="5" t="s">
        <v>192</v>
      </c>
      <c r="AL2" s="5" t="s">
        <v>193</v>
      </c>
      <c r="AM2" s="6">
        <v>46099</v>
      </c>
      <c r="AN2" s="5" t="s">
        <v>194</v>
      </c>
      <c r="AO2" s="5" t="s">
        <v>195</v>
      </c>
    </row>
    <row r="3" spans="1:41" x14ac:dyDescent="0.25">
      <c r="A3" s="2"/>
      <c r="B3" s="2"/>
      <c r="C3" s="3">
        <v>46121</v>
      </c>
      <c r="D3" s="4">
        <v>553103783</v>
      </c>
      <c r="E3" s="5" t="s">
        <v>196</v>
      </c>
      <c r="F3" s="6">
        <v>46097</v>
      </c>
      <c r="G3" s="5" t="s">
        <v>187</v>
      </c>
      <c r="H3" s="5" t="s">
        <v>187</v>
      </c>
      <c r="I3" s="5" t="s">
        <v>197</v>
      </c>
      <c r="J3" s="5" t="s">
        <v>198</v>
      </c>
      <c r="K3" s="3"/>
      <c r="L3" s="12">
        <f t="shared" ca="1" si="0"/>
        <v>180</v>
      </c>
      <c r="M3" s="12">
        <f t="shared" ca="1" si="1"/>
        <v>204</v>
      </c>
      <c r="N3" s="12">
        <f t="shared" ca="1" si="2"/>
        <v>-41</v>
      </c>
      <c r="O3" s="6">
        <v>46462</v>
      </c>
      <c r="P3" s="5" t="s">
        <v>59</v>
      </c>
      <c r="Q3" s="5" t="s">
        <v>69</v>
      </c>
      <c r="R3" s="5" t="s">
        <v>59</v>
      </c>
      <c r="S3" s="5" t="s">
        <v>48</v>
      </c>
      <c r="T3" s="5" t="s">
        <v>70</v>
      </c>
      <c r="U3" s="5" t="s">
        <v>48</v>
      </c>
      <c r="V3" s="5" t="s">
        <v>190</v>
      </c>
      <c r="W3" s="5"/>
      <c r="X3" s="5"/>
      <c r="Y3" s="5" t="s">
        <v>49</v>
      </c>
      <c r="Z3" s="7">
        <v>6392.96</v>
      </c>
      <c r="AA3" s="7">
        <v>0</v>
      </c>
      <c r="AB3" s="7">
        <v>0</v>
      </c>
      <c r="AC3" s="6">
        <v>46121</v>
      </c>
      <c r="AD3" s="7">
        <v>6392.96</v>
      </c>
      <c r="AE3" s="4">
        <v>145</v>
      </c>
      <c r="AF3" s="5" t="s">
        <v>199</v>
      </c>
      <c r="AG3" s="5" t="s">
        <v>200</v>
      </c>
      <c r="AH3" s="5"/>
      <c r="AI3" s="5"/>
      <c r="AJ3" s="4"/>
      <c r="AK3" s="5" t="s">
        <v>192</v>
      </c>
      <c r="AL3" s="5" t="s">
        <v>201</v>
      </c>
      <c r="AM3" s="6">
        <v>46099</v>
      </c>
      <c r="AN3" s="5" t="s">
        <v>194</v>
      </c>
      <c r="AO3" s="5" t="s">
        <v>202</v>
      </c>
    </row>
    <row r="4" spans="1:41" x14ac:dyDescent="0.25">
      <c r="A4" s="2" t="s">
        <v>120</v>
      </c>
      <c r="B4" s="2"/>
      <c r="C4" s="3">
        <v>46165</v>
      </c>
      <c r="D4" s="4">
        <v>557717115</v>
      </c>
      <c r="E4" s="5" t="s">
        <v>203</v>
      </c>
      <c r="F4" s="6">
        <v>46097</v>
      </c>
      <c r="G4" s="5" t="s">
        <v>187</v>
      </c>
      <c r="H4" s="5" t="s">
        <v>187</v>
      </c>
      <c r="I4" s="5" t="s">
        <v>204</v>
      </c>
      <c r="J4" s="5" t="s">
        <v>205</v>
      </c>
      <c r="K4" s="3"/>
      <c r="L4" s="12">
        <f t="shared" ca="1" si="0"/>
        <v>180</v>
      </c>
      <c r="M4" s="12">
        <f t="shared" ca="1" si="1"/>
        <v>248</v>
      </c>
      <c r="N4" s="12">
        <f t="shared" ca="1" si="2"/>
        <v>3</v>
      </c>
      <c r="O4" s="6">
        <v>46462</v>
      </c>
      <c r="P4" s="5" t="s">
        <v>59</v>
      </c>
      <c r="Q4" s="5" t="s">
        <v>69</v>
      </c>
      <c r="R4" s="5" t="s">
        <v>59</v>
      </c>
      <c r="S4" s="5" t="s">
        <v>48</v>
      </c>
      <c r="T4" s="5" t="s">
        <v>70</v>
      </c>
      <c r="U4" s="5" t="s">
        <v>48</v>
      </c>
      <c r="V4" s="5" t="s">
        <v>206</v>
      </c>
      <c r="W4" s="5"/>
      <c r="X4" s="5"/>
      <c r="Y4" s="5" t="s">
        <v>207</v>
      </c>
      <c r="Z4" s="7">
        <v>18176.900000000001</v>
      </c>
      <c r="AA4" s="7">
        <v>0</v>
      </c>
      <c r="AB4" s="7">
        <v>542.44000000000005</v>
      </c>
      <c r="AC4" s="6">
        <v>46165</v>
      </c>
      <c r="AD4" s="7">
        <v>17634.46</v>
      </c>
      <c r="AE4" s="4">
        <v>145</v>
      </c>
      <c r="AF4" s="5" t="s">
        <v>208</v>
      </c>
      <c r="AG4" s="5" t="s">
        <v>209</v>
      </c>
      <c r="AH4" s="5"/>
      <c r="AI4" s="5"/>
      <c r="AJ4" s="4"/>
      <c r="AK4" s="5" t="s">
        <v>210</v>
      </c>
      <c r="AL4" s="5" t="s">
        <v>193</v>
      </c>
      <c r="AM4" s="6">
        <v>46115</v>
      </c>
      <c r="AN4" s="5" t="s">
        <v>194</v>
      </c>
      <c r="AO4" s="5" t="s">
        <v>211</v>
      </c>
    </row>
    <row r="5" spans="1:41" x14ac:dyDescent="0.25">
      <c r="A5" s="2"/>
      <c r="B5" s="2"/>
      <c r="C5" s="3">
        <v>46122</v>
      </c>
      <c r="D5" s="4">
        <v>554946837</v>
      </c>
      <c r="E5" s="5" t="s">
        <v>212</v>
      </c>
      <c r="F5" s="6">
        <v>46104</v>
      </c>
      <c r="G5" s="5" t="s">
        <v>187</v>
      </c>
      <c r="H5" s="5" t="s">
        <v>187</v>
      </c>
      <c r="I5" s="5" t="s">
        <v>197</v>
      </c>
      <c r="J5" s="5" t="s">
        <v>198</v>
      </c>
      <c r="K5" s="3"/>
      <c r="L5" s="12">
        <f t="shared" ca="1" si="0"/>
        <v>187</v>
      </c>
      <c r="M5" s="12">
        <f t="shared" ca="1" si="1"/>
        <v>205</v>
      </c>
      <c r="N5" s="12">
        <f t="shared" ca="1" si="2"/>
        <v>-40</v>
      </c>
      <c r="O5" s="6">
        <v>46469</v>
      </c>
      <c r="P5" s="5" t="s">
        <v>59</v>
      </c>
      <c r="Q5" s="5" t="s">
        <v>69</v>
      </c>
      <c r="R5" s="5" t="s">
        <v>59</v>
      </c>
      <c r="S5" s="5" t="s">
        <v>48</v>
      </c>
      <c r="T5" s="5" t="s">
        <v>70</v>
      </c>
      <c r="U5" s="5" t="s">
        <v>48</v>
      </c>
      <c r="V5" s="5" t="s">
        <v>190</v>
      </c>
      <c r="W5" s="5"/>
      <c r="X5" s="5"/>
      <c r="Y5" s="5" t="s">
        <v>49</v>
      </c>
      <c r="Z5" s="7">
        <v>6392.96</v>
      </c>
      <c r="AA5" s="7">
        <v>0</v>
      </c>
      <c r="AB5" s="7">
        <v>0</v>
      </c>
      <c r="AC5" s="6">
        <v>46122</v>
      </c>
      <c r="AD5" s="7">
        <v>6392.96</v>
      </c>
      <c r="AE5" s="4">
        <v>138</v>
      </c>
      <c r="AF5" s="5" t="s">
        <v>213</v>
      </c>
      <c r="AG5" s="5" t="s">
        <v>214</v>
      </c>
      <c r="AH5" s="5" t="s">
        <v>200</v>
      </c>
      <c r="AI5" s="5"/>
      <c r="AJ5" s="4"/>
      <c r="AK5" s="5" t="s">
        <v>192</v>
      </c>
      <c r="AL5" s="5" t="s">
        <v>215</v>
      </c>
      <c r="AM5" s="6">
        <v>46118</v>
      </c>
      <c r="AN5" s="5" t="s">
        <v>194</v>
      </c>
      <c r="AO5" s="5" t="s">
        <v>216</v>
      </c>
    </row>
    <row r="6" spans="1:41" x14ac:dyDescent="0.25">
      <c r="A6" s="2"/>
      <c r="B6" s="2"/>
      <c r="C6" s="3">
        <v>46156</v>
      </c>
      <c r="D6" s="4">
        <v>556757813</v>
      </c>
      <c r="E6" s="5" t="s">
        <v>217</v>
      </c>
      <c r="F6" s="6">
        <v>46104</v>
      </c>
      <c r="G6" s="5" t="s">
        <v>218</v>
      </c>
      <c r="H6" s="5" t="s">
        <v>218</v>
      </c>
      <c r="I6" s="5" t="s">
        <v>86</v>
      </c>
      <c r="J6" s="5" t="s">
        <v>219</v>
      </c>
      <c r="K6" s="3"/>
      <c r="L6" s="12">
        <f t="shared" ca="1" si="0"/>
        <v>187</v>
      </c>
      <c r="M6" s="12">
        <f t="shared" ca="1" si="1"/>
        <v>239</v>
      </c>
      <c r="N6" s="12">
        <f t="shared" ca="1" si="2"/>
        <v>-6</v>
      </c>
      <c r="O6" s="6">
        <v>46469</v>
      </c>
      <c r="P6" s="5" t="s">
        <v>59</v>
      </c>
      <c r="Q6" s="5" t="s">
        <v>69</v>
      </c>
      <c r="R6" s="5" t="s">
        <v>59</v>
      </c>
      <c r="S6" s="5" t="s">
        <v>48</v>
      </c>
      <c r="T6" s="5" t="s">
        <v>70</v>
      </c>
      <c r="U6" s="5" t="s">
        <v>48</v>
      </c>
      <c r="V6" s="5" t="s">
        <v>220</v>
      </c>
      <c r="W6" s="5"/>
      <c r="X6" s="5"/>
      <c r="Y6" s="5" t="s">
        <v>221</v>
      </c>
      <c r="Z6" s="7">
        <v>36353.800000000003</v>
      </c>
      <c r="AA6" s="7">
        <v>0</v>
      </c>
      <c r="AB6" s="7">
        <v>0</v>
      </c>
      <c r="AC6" s="6">
        <v>46156</v>
      </c>
      <c r="AD6" s="7">
        <v>36353.800000000003</v>
      </c>
      <c r="AE6" s="4">
        <v>138</v>
      </c>
      <c r="AF6" s="5" t="s">
        <v>208</v>
      </c>
      <c r="AG6" s="5" t="s">
        <v>200</v>
      </c>
      <c r="AH6" s="5"/>
      <c r="AI6" s="5"/>
      <c r="AJ6" s="4"/>
      <c r="AK6" s="5" t="s">
        <v>98</v>
      </c>
      <c r="AL6" s="5" t="s">
        <v>222</v>
      </c>
      <c r="AM6" s="6">
        <v>46133</v>
      </c>
      <c r="AN6" s="5" t="s">
        <v>194</v>
      </c>
      <c r="AO6" s="5" t="s">
        <v>223</v>
      </c>
    </row>
    <row r="7" spans="1:41" x14ac:dyDescent="0.25">
      <c r="A7" s="2"/>
      <c r="B7" s="2"/>
      <c r="C7" s="3">
        <v>46154</v>
      </c>
      <c r="D7" s="4">
        <v>556761529</v>
      </c>
      <c r="E7" s="5" t="s">
        <v>224</v>
      </c>
      <c r="F7" s="6">
        <v>46111</v>
      </c>
      <c r="G7" s="5" t="s">
        <v>187</v>
      </c>
      <c r="H7" s="5" t="s">
        <v>187</v>
      </c>
      <c r="I7" s="5" t="s">
        <v>75</v>
      </c>
      <c r="J7" s="5" t="s">
        <v>225</v>
      </c>
      <c r="K7" s="3"/>
      <c r="L7" s="12">
        <f t="shared" ca="1" si="0"/>
        <v>194</v>
      </c>
      <c r="M7" s="12">
        <f t="shared" ca="1" si="1"/>
        <v>237</v>
      </c>
      <c r="N7" s="12">
        <f t="shared" ca="1" si="2"/>
        <v>-8</v>
      </c>
      <c r="O7" s="6">
        <v>46476</v>
      </c>
      <c r="P7" s="5" t="s">
        <v>59</v>
      </c>
      <c r="Q7" s="5" t="s">
        <v>69</v>
      </c>
      <c r="R7" s="5" t="s">
        <v>59</v>
      </c>
      <c r="S7" s="5" t="s">
        <v>48</v>
      </c>
      <c r="T7" s="5" t="s">
        <v>70</v>
      </c>
      <c r="U7" s="5" t="s">
        <v>48</v>
      </c>
      <c r="V7" s="5" t="s">
        <v>220</v>
      </c>
      <c r="W7" s="5"/>
      <c r="X7" s="5"/>
      <c r="Y7" s="5" t="s">
        <v>207</v>
      </c>
      <c r="Z7" s="7">
        <v>18176.900000000001</v>
      </c>
      <c r="AA7" s="7">
        <v>0</v>
      </c>
      <c r="AB7" s="7">
        <v>542.44000000000005</v>
      </c>
      <c r="AC7" s="6">
        <v>46154</v>
      </c>
      <c r="AD7" s="7">
        <v>17634.46</v>
      </c>
      <c r="AE7" s="4">
        <v>131</v>
      </c>
      <c r="AF7" s="5" t="s">
        <v>208</v>
      </c>
      <c r="AG7" s="5" t="s">
        <v>200</v>
      </c>
      <c r="AH7" s="5"/>
      <c r="AI7" s="5"/>
      <c r="AJ7" s="4"/>
      <c r="AK7" s="5" t="s">
        <v>210</v>
      </c>
      <c r="AL7" s="5" t="s">
        <v>193</v>
      </c>
      <c r="AM7" s="6">
        <v>46133</v>
      </c>
      <c r="AN7" s="5" t="s">
        <v>194</v>
      </c>
      <c r="AO7" s="5" t="s">
        <v>226</v>
      </c>
    </row>
    <row r="8" spans="1:41" x14ac:dyDescent="0.25">
      <c r="A8" s="2"/>
      <c r="B8" s="2"/>
      <c r="C8" s="3">
        <v>46121</v>
      </c>
      <c r="D8" s="4">
        <v>554941943</v>
      </c>
      <c r="E8" s="5" t="s">
        <v>227</v>
      </c>
      <c r="F8" s="6">
        <v>46112</v>
      </c>
      <c r="G8" s="5" t="s">
        <v>187</v>
      </c>
      <c r="H8" s="5" t="s">
        <v>187</v>
      </c>
      <c r="I8" s="5" t="s">
        <v>228</v>
      </c>
      <c r="J8" s="5" t="s">
        <v>198</v>
      </c>
      <c r="K8" s="3"/>
      <c r="L8" s="12">
        <f t="shared" ca="1" si="0"/>
        <v>195</v>
      </c>
      <c r="M8" s="12">
        <f t="shared" ca="1" si="1"/>
        <v>204</v>
      </c>
      <c r="N8" s="12">
        <f t="shared" ca="1" si="2"/>
        <v>-41</v>
      </c>
      <c r="O8" s="6">
        <v>46477</v>
      </c>
      <c r="P8" s="5" t="s">
        <v>59</v>
      </c>
      <c r="Q8" s="5" t="s">
        <v>69</v>
      </c>
      <c r="R8" s="5" t="s">
        <v>59</v>
      </c>
      <c r="S8" s="5" t="s">
        <v>48</v>
      </c>
      <c r="T8" s="5" t="s">
        <v>70</v>
      </c>
      <c r="U8" s="5" t="s">
        <v>48</v>
      </c>
      <c r="V8" s="5" t="s">
        <v>190</v>
      </c>
      <c r="W8" s="5"/>
      <c r="X8" s="5"/>
      <c r="Y8" s="5" t="s">
        <v>49</v>
      </c>
      <c r="Z8" s="7">
        <v>6392.96</v>
      </c>
      <c r="AA8" s="7">
        <v>0</v>
      </c>
      <c r="AB8" s="7">
        <v>0</v>
      </c>
      <c r="AC8" s="6">
        <v>46121</v>
      </c>
      <c r="AD8" s="7">
        <v>6392.96</v>
      </c>
      <c r="AE8" s="4">
        <v>130</v>
      </c>
      <c r="AF8" s="5" t="s">
        <v>208</v>
      </c>
      <c r="AG8" s="5" t="s">
        <v>229</v>
      </c>
      <c r="AH8" s="5" t="s">
        <v>230</v>
      </c>
      <c r="AI8" s="5"/>
      <c r="AJ8" s="4"/>
      <c r="AK8" s="5" t="s">
        <v>192</v>
      </c>
      <c r="AL8" s="5" t="s">
        <v>231</v>
      </c>
      <c r="AM8" s="6">
        <v>46118</v>
      </c>
      <c r="AN8" s="5" t="s">
        <v>194</v>
      </c>
      <c r="AO8" s="5" t="s">
        <v>232</v>
      </c>
    </row>
    <row r="9" spans="1:41" x14ac:dyDescent="0.25">
      <c r="A9" s="2" t="s">
        <v>64</v>
      </c>
      <c r="B9" s="2" t="s">
        <v>445</v>
      </c>
      <c r="C9" s="3">
        <v>46129</v>
      </c>
      <c r="D9" s="4">
        <v>555728365</v>
      </c>
      <c r="E9" s="5" t="s">
        <v>233</v>
      </c>
      <c r="F9" s="6">
        <v>46092</v>
      </c>
      <c r="G9" s="5" t="s">
        <v>117</v>
      </c>
      <c r="H9" s="5" t="s">
        <v>117</v>
      </c>
      <c r="I9" s="5" t="s">
        <v>43</v>
      </c>
      <c r="J9" s="5" t="s">
        <v>234</v>
      </c>
      <c r="K9" s="3">
        <v>46257</v>
      </c>
      <c r="L9" s="12">
        <f t="shared" ca="1" si="0"/>
        <v>-100</v>
      </c>
      <c r="M9" s="12">
        <f t="shared" ca="1" si="1"/>
        <v>212</v>
      </c>
      <c r="N9" s="12">
        <f ca="1">IF($C9="","",$C9+365-TODAY())</f>
        <v>212</v>
      </c>
      <c r="O9" s="6">
        <v>46182</v>
      </c>
      <c r="P9" s="5" t="s">
        <v>112</v>
      </c>
      <c r="Q9" s="5" t="s">
        <v>118</v>
      </c>
      <c r="R9" s="5" t="s">
        <v>59</v>
      </c>
      <c r="S9" s="5" t="s">
        <v>48</v>
      </c>
      <c r="T9" s="5" t="s">
        <v>59</v>
      </c>
      <c r="U9" s="5" t="s">
        <v>48</v>
      </c>
      <c r="V9" s="5" t="s">
        <v>235</v>
      </c>
      <c r="W9" s="5"/>
      <c r="X9" s="5"/>
      <c r="Y9" s="5" t="s">
        <v>49</v>
      </c>
      <c r="Z9" s="7">
        <v>6392.96</v>
      </c>
      <c r="AA9" s="7">
        <v>0</v>
      </c>
      <c r="AB9" s="7">
        <v>0</v>
      </c>
      <c r="AC9" s="6"/>
      <c r="AD9" s="7">
        <v>6392.96</v>
      </c>
      <c r="AE9" s="4">
        <v>150</v>
      </c>
      <c r="AF9" s="5" t="s">
        <v>199</v>
      </c>
      <c r="AG9" s="5" t="s">
        <v>236</v>
      </c>
      <c r="AH9" s="5"/>
      <c r="AI9" s="5"/>
      <c r="AJ9" s="4"/>
      <c r="AK9" s="5" t="s">
        <v>89</v>
      </c>
      <c r="AL9" s="5" t="s">
        <v>80</v>
      </c>
      <c r="AM9" s="6">
        <v>46125</v>
      </c>
      <c r="AN9" s="5" t="s">
        <v>194</v>
      </c>
      <c r="AO9" s="5" t="s">
        <v>237</v>
      </c>
    </row>
    <row r="10" spans="1:41" x14ac:dyDescent="0.25">
      <c r="A10" s="2" t="s">
        <v>64</v>
      </c>
      <c r="B10" s="2" t="s">
        <v>444</v>
      </c>
      <c r="C10" s="3">
        <v>46227</v>
      </c>
      <c r="D10" s="4">
        <v>552871981</v>
      </c>
      <c r="E10" s="5" t="s">
        <v>238</v>
      </c>
      <c r="F10" s="6">
        <v>46097</v>
      </c>
      <c r="G10" s="5" t="s">
        <v>117</v>
      </c>
      <c r="H10" s="5" t="s">
        <v>117</v>
      </c>
      <c r="I10" s="5" t="s">
        <v>43</v>
      </c>
      <c r="J10" s="5" t="s">
        <v>239</v>
      </c>
      <c r="K10" s="3">
        <v>46245</v>
      </c>
      <c r="L10" s="12">
        <f t="shared" ca="1" si="0"/>
        <v>-95</v>
      </c>
      <c r="M10" s="12">
        <f t="shared" ca="1" si="1"/>
        <v>310</v>
      </c>
      <c r="N10" s="12">
        <f ca="1">IF($C10="","",$C10+365-TODAY())</f>
        <v>310</v>
      </c>
      <c r="O10" s="6">
        <v>46187</v>
      </c>
      <c r="P10" s="5" t="s">
        <v>112</v>
      </c>
      <c r="Q10" s="5" t="s">
        <v>118</v>
      </c>
      <c r="R10" s="5" t="s">
        <v>59</v>
      </c>
      <c r="S10" s="5" t="s">
        <v>48</v>
      </c>
      <c r="T10" s="5" t="s">
        <v>59</v>
      </c>
      <c r="U10" s="5" t="s">
        <v>48</v>
      </c>
      <c r="V10" s="5" t="s">
        <v>220</v>
      </c>
      <c r="W10" s="5"/>
      <c r="X10" s="5"/>
      <c r="Y10" s="5" t="s">
        <v>221</v>
      </c>
      <c r="Z10" s="7">
        <v>5916.4</v>
      </c>
      <c r="AA10" s="7">
        <v>0</v>
      </c>
      <c r="AB10" s="7">
        <v>0</v>
      </c>
      <c r="AC10" s="6"/>
      <c r="AD10" s="7">
        <v>5916.4</v>
      </c>
      <c r="AE10" s="4">
        <v>145</v>
      </c>
      <c r="AF10" s="5" t="s">
        <v>240</v>
      </c>
      <c r="AG10" s="5" t="s">
        <v>241</v>
      </c>
      <c r="AH10" s="5" t="s">
        <v>242</v>
      </c>
      <c r="AI10" s="5"/>
      <c r="AJ10" s="4"/>
      <c r="AK10" s="5" t="s">
        <v>243</v>
      </c>
      <c r="AL10" s="5" t="s">
        <v>80</v>
      </c>
      <c r="AM10" s="6">
        <v>46217</v>
      </c>
      <c r="AN10" s="5" t="s">
        <v>194</v>
      </c>
      <c r="AO10" s="5" t="s">
        <v>244</v>
      </c>
    </row>
    <row r="11" spans="1:41" x14ac:dyDescent="0.25">
      <c r="A11" s="2" t="s">
        <v>64</v>
      </c>
      <c r="B11" s="2"/>
      <c r="C11" s="3">
        <v>46216</v>
      </c>
      <c r="D11" s="4">
        <v>554940052</v>
      </c>
      <c r="E11" s="5" t="s">
        <v>245</v>
      </c>
      <c r="F11" s="6">
        <v>46107</v>
      </c>
      <c r="G11" s="5" t="s">
        <v>246</v>
      </c>
      <c r="H11" s="5" t="s">
        <v>123</v>
      </c>
      <c r="I11" s="5" t="s">
        <v>246</v>
      </c>
      <c r="J11" s="5" t="s">
        <v>234</v>
      </c>
      <c r="K11" s="3"/>
      <c r="L11" s="12">
        <f t="shared" ca="1" si="0"/>
        <v>-85</v>
      </c>
      <c r="M11" s="12">
        <f ca="1">IF($C11="","",$C11+180-TODAY())</f>
        <v>114</v>
      </c>
      <c r="N11" s="12">
        <f ca="1">IF($C11="","",$C11+365-TODAY())</f>
        <v>299</v>
      </c>
      <c r="O11" s="6">
        <v>46197</v>
      </c>
      <c r="P11" s="5" t="s">
        <v>112</v>
      </c>
      <c r="Q11" s="5" t="s">
        <v>124</v>
      </c>
      <c r="R11" s="5" t="s">
        <v>45</v>
      </c>
      <c r="S11" s="5" t="s">
        <v>48</v>
      </c>
      <c r="T11" s="5" t="s">
        <v>59</v>
      </c>
      <c r="U11" s="5" t="s">
        <v>48</v>
      </c>
      <c r="V11" s="5" t="s">
        <v>235</v>
      </c>
      <c r="W11" s="5"/>
      <c r="X11" s="5"/>
      <c r="Y11" s="5" t="s">
        <v>49</v>
      </c>
      <c r="Z11" s="7">
        <v>6392.96</v>
      </c>
      <c r="AA11" s="7">
        <v>5793.21</v>
      </c>
      <c r="AB11" s="7">
        <v>0</v>
      </c>
      <c r="AC11" s="6">
        <v>46216</v>
      </c>
      <c r="AD11" s="7">
        <v>599.75</v>
      </c>
      <c r="AE11" s="4">
        <v>135</v>
      </c>
      <c r="AF11" s="5" t="s">
        <v>199</v>
      </c>
      <c r="AG11" s="5" t="s">
        <v>236</v>
      </c>
      <c r="AH11" s="5" t="s">
        <v>247</v>
      </c>
      <c r="AI11" s="5"/>
      <c r="AJ11" s="4">
        <v>561872992</v>
      </c>
      <c r="AK11" s="5" t="s">
        <v>248</v>
      </c>
      <c r="AL11" s="5" t="s">
        <v>80</v>
      </c>
      <c r="AM11" s="6">
        <v>46118</v>
      </c>
      <c r="AN11" s="5" t="s">
        <v>194</v>
      </c>
      <c r="AO11" s="5" t="s">
        <v>249</v>
      </c>
    </row>
  </sheetData>
  <autoFilter ref="A1:AO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1"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4"/>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250</v>
      </c>
      <c r="B2" s="2" t="s">
        <v>251</v>
      </c>
      <c r="C2" s="3">
        <v>46217</v>
      </c>
      <c r="D2" s="4">
        <v>555067836</v>
      </c>
      <c r="E2" s="5" t="s">
        <v>252</v>
      </c>
      <c r="F2" s="6">
        <v>46083</v>
      </c>
      <c r="G2" s="5" t="s">
        <v>122</v>
      </c>
      <c r="H2" s="5" t="s">
        <v>122</v>
      </c>
      <c r="I2" s="5" t="s">
        <v>122</v>
      </c>
      <c r="J2" s="5" t="s">
        <v>253</v>
      </c>
      <c r="K2" s="3">
        <v>46197</v>
      </c>
      <c r="L2" s="12">
        <f ca="1">IF($O2="","",$O2-TODAY())</f>
        <v>-109</v>
      </c>
      <c r="M2" s="12">
        <f ca="1">IF($C2="","",$C2+180-TODAY())</f>
        <v>115</v>
      </c>
      <c r="N2" s="12">
        <f ca="1">IF($C2="","",$C2+365-TODAY())</f>
        <v>300</v>
      </c>
      <c r="O2" s="6">
        <v>46173</v>
      </c>
      <c r="P2" s="5" t="s">
        <v>112</v>
      </c>
      <c r="Q2" s="5" t="s">
        <v>133</v>
      </c>
      <c r="R2" s="5" t="s">
        <v>45</v>
      </c>
      <c r="S2" s="5" t="s">
        <v>48</v>
      </c>
      <c r="T2" s="5" t="s">
        <v>59</v>
      </c>
      <c r="U2" s="5" t="s">
        <v>48</v>
      </c>
      <c r="V2" s="5" t="s">
        <v>254</v>
      </c>
      <c r="W2" s="5" t="s">
        <v>255</v>
      </c>
      <c r="X2" s="5" t="s">
        <v>256</v>
      </c>
      <c r="Y2" s="5" t="s">
        <v>257</v>
      </c>
      <c r="Z2" s="7">
        <v>10134.879999999999</v>
      </c>
      <c r="AA2" s="7">
        <v>0</v>
      </c>
      <c r="AB2" s="7">
        <v>0</v>
      </c>
      <c r="AC2" s="6">
        <v>46217</v>
      </c>
      <c r="AD2" s="7">
        <v>10134.879999999999</v>
      </c>
      <c r="AE2" s="4">
        <v>159</v>
      </c>
      <c r="AF2" s="5" t="s">
        <v>191</v>
      </c>
      <c r="AG2" s="5" t="s">
        <v>258</v>
      </c>
      <c r="AH2" s="5" t="s">
        <v>259</v>
      </c>
      <c r="AI2" s="5"/>
      <c r="AJ2" s="4"/>
      <c r="AK2" s="5" t="s">
        <v>260</v>
      </c>
      <c r="AL2" s="5" t="s">
        <v>261</v>
      </c>
      <c r="AM2" s="6">
        <v>46119</v>
      </c>
      <c r="AN2" s="5" t="s">
        <v>262</v>
      </c>
      <c r="AO2" s="5" t="s">
        <v>263</v>
      </c>
    </row>
    <row r="3" spans="1:41" x14ac:dyDescent="0.25">
      <c r="A3" s="2" t="s">
        <v>64</v>
      </c>
      <c r="B3" s="2" t="s">
        <v>446</v>
      </c>
      <c r="C3" s="3">
        <v>46132</v>
      </c>
      <c r="D3" s="4">
        <v>555069394</v>
      </c>
      <c r="E3" s="5" t="s">
        <v>264</v>
      </c>
      <c r="F3" s="6">
        <v>46089</v>
      </c>
      <c r="G3" s="5" t="s">
        <v>265</v>
      </c>
      <c r="H3" s="5" t="s">
        <v>75</v>
      </c>
      <c r="I3" s="5" t="s">
        <v>265</v>
      </c>
      <c r="J3" s="5" t="s">
        <v>266</v>
      </c>
      <c r="K3" s="3">
        <v>46278</v>
      </c>
      <c r="L3" s="12">
        <f ca="1">IF($O3="","",$O3-TODAY())</f>
        <v>-103</v>
      </c>
      <c r="M3" s="12">
        <f ca="1">IF($C3="","",$C3+365-TODAY())</f>
        <v>215</v>
      </c>
      <c r="N3" s="12">
        <f ca="1">IF($C3="","",$C3+365-TODAY())</f>
        <v>215</v>
      </c>
      <c r="O3" s="6">
        <v>46179</v>
      </c>
      <c r="P3" s="5" t="s">
        <v>112</v>
      </c>
      <c r="Q3" s="5" t="s">
        <v>113</v>
      </c>
      <c r="R3" s="5" t="s">
        <v>59</v>
      </c>
      <c r="S3" s="5" t="s">
        <v>48</v>
      </c>
      <c r="T3" s="5" t="s">
        <v>59</v>
      </c>
      <c r="U3" s="5" t="s">
        <v>48</v>
      </c>
      <c r="V3" s="5"/>
      <c r="W3" s="5"/>
      <c r="X3" s="5"/>
      <c r="Y3" s="5" t="s">
        <v>49</v>
      </c>
      <c r="Z3" s="7">
        <v>49162.82</v>
      </c>
      <c r="AA3" s="7">
        <v>42467.38</v>
      </c>
      <c r="AB3" s="7">
        <v>2458.9299999999998</v>
      </c>
      <c r="AC3" s="6">
        <v>46132</v>
      </c>
      <c r="AD3" s="7">
        <v>4236.51</v>
      </c>
      <c r="AE3" s="4">
        <v>152</v>
      </c>
      <c r="AF3" s="5" t="s">
        <v>267</v>
      </c>
      <c r="AG3" s="5" t="s">
        <v>258</v>
      </c>
      <c r="AH3" s="5" t="s">
        <v>268</v>
      </c>
      <c r="AI3" s="5"/>
      <c r="AJ3" s="4">
        <v>560554996</v>
      </c>
      <c r="AK3" s="5" t="s">
        <v>260</v>
      </c>
      <c r="AL3" s="5" t="s">
        <v>62</v>
      </c>
      <c r="AM3" s="6">
        <v>46119</v>
      </c>
      <c r="AN3" s="5" t="s">
        <v>262</v>
      </c>
      <c r="AO3" s="5" t="s">
        <v>269</v>
      </c>
    </row>
    <row r="4" spans="1:41" x14ac:dyDescent="0.25">
      <c r="A4" s="2" t="s">
        <v>250</v>
      </c>
      <c r="B4" s="2" t="s">
        <v>485</v>
      </c>
      <c r="C4" s="3">
        <v>46132</v>
      </c>
      <c r="D4" s="4">
        <v>555069563</v>
      </c>
      <c r="E4" s="5" t="s">
        <v>270</v>
      </c>
      <c r="F4" s="6">
        <v>46090</v>
      </c>
      <c r="G4" s="5" t="s">
        <v>271</v>
      </c>
      <c r="H4" s="5" t="s">
        <v>271</v>
      </c>
      <c r="I4" s="5" t="s">
        <v>272</v>
      </c>
      <c r="J4" s="5" t="s">
        <v>273</v>
      </c>
      <c r="K4" s="3">
        <v>46197</v>
      </c>
      <c r="L4" s="12" t="str">
        <f ca="1">IF($O4="","",$O4-TODAY())</f>
        <v/>
      </c>
      <c r="M4" s="12"/>
      <c r="N4" s="12">
        <f ca="1">IF($C4="","",$C4+180-TODAY())</f>
        <v>30</v>
      </c>
      <c r="O4" s="6"/>
      <c r="P4" s="5"/>
      <c r="Q4" s="5" t="s">
        <v>274</v>
      </c>
      <c r="R4" s="5"/>
      <c r="S4" s="5"/>
      <c r="T4" s="5" t="s">
        <v>45</v>
      </c>
      <c r="U4" s="5" t="s">
        <v>48</v>
      </c>
      <c r="V4" s="5" t="s">
        <v>275</v>
      </c>
      <c r="W4" s="5" t="s">
        <v>276</v>
      </c>
      <c r="X4" s="5"/>
      <c r="Y4" s="5" t="s">
        <v>277</v>
      </c>
      <c r="Z4" s="7">
        <v>70557.69</v>
      </c>
      <c r="AA4" s="7">
        <v>0</v>
      </c>
      <c r="AB4" s="7">
        <v>0</v>
      </c>
      <c r="AC4" s="6">
        <v>46132</v>
      </c>
      <c r="AD4" s="7">
        <v>70557.69</v>
      </c>
      <c r="AE4" s="4">
        <v>152</v>
      </c>
      <c r="AF4" s="5" t="s">
        <v>267</v>
      </c>
      <c r="AG4" s="5" t="s">
        <v>258</v>
      </c>
      <c r="AH4" s="5" t="s">
        <v>268</v>
      </c>
      <c r="AI4" s="5"/>
      <c r="AJ4" s="4"/>
      <c r="AK4" s="5" t="s">
        <v>260</v>
      </c>
      <c r="AL4" s="5" t="s">
        <v>62</v>
      </c>
      <c r="AM4" s="6">
        <v>46119</v>
      </c>
      <c r="AN4" s="5" t="s">
        <v>262</v>
      </c>
      <c r="AO4" s="5" t="s">
        <v>278</v>
      </c>
    </row>
  </sheetData>
  <autoFilter ref="A1:AO4" xr:uid="{00000000-0009-0000-0000-000002000000}"/>
  <conditionalFormatting sqref="L2:L4">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4">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4">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4">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4"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6"/>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250</v>
      </c>
      <c r="B2" s="2" t="s">
        <v>486</v>
      </c>
      <c r="C2" s="3">
        <v>46107</v>
      </c>
      <c r="D2" s="4">
        <v>553613990</v>
      </c>
      <c r="E2" s="5" t="s">
        <v>279</v>
      </c>
      <c r="F2" s="6">
        <v>46083</v>
      </c>
      <c r="G2" s="5" t="s">
        <v>67</v>
      </c>
      <c r="H2" s="5" t="s">
        <v>67</v>
      </c>
      <c r="I2" s="5" t="s">
        <v>86</v>
      </c>
      <c r="J2" s="5" t="s">
        <v>280</v>
      </c>
      <c r="K2" s="3">
        <v>46279</v>
      </c>
      <c r="L2" s="12">
        <f t="shared" ref="L2:L16" ca="1" si="0">IF($O2="","",$O2-TODAY())</f>
        <v>166</v>
      </c>
      <c r="M2" s="12">
        <f t="shared" ref="M2:M8" ca="1" si="1">IF($C2="","",$C2+365-TODAY())</f>
        <v>190</v>
      </c>
      <c r="N2" s="12">
        <f t="shared" ref="N2:N8" ca="1" si="2">IF($C2="","",$C2+120-TODAY())</f>
        <v>-55</v>
      </c>
      <c r="O2" s="6">
        <v>46448</v>
      </c>
      <c r="P2" s="5" t="s">
        <v>59</v>
      </c>
      <c r="Q2" s="5" t="s">
        <v>69</v>
      </c>
      <c r="R2" s="5" t="s">
        <v>59</v>
      </c>
      <c r="S2" s="5" t="s">
        <v>48</v>
      </c>
      <c r="T2" s="5" t="s">
        <v>70</v>
      </c>
      <c r="U2" s="5" t="s">
        <v>48</v>
      </c>
      <c r="V2" s="5"/>
      <c r="W2" s="5"/>
      <c r="X2" s="5"/>
      <c r="Y2" s="5" t="s">
        <v>49</v>
      </c>
      <c r="Z2" s="7">
        <v>5784.24</v>
      </c>
      <c r="AA2" s="7">
        <v>0</v>
      </c>
      <c r="AB2" s="7">
        <v>0</v>
      </c>
      <c r="AC2" s="6">
        <v>46107</v>
      </c>
      <c r="AD2" s="7">
        <v>5784.24</v>
      </c>
      <c r="AE2" s="4">
        <v>159</v>
      </c>
      <c r="AF2" s="5" t="s">
        <v>209</v>
      </c>
      <c r="AG2" s="5" t="s">
        <v>199</v>
      </c>
      <c r="AH2" s="5"/>
      <c r="AI2" s="5"/>
      <c r="AJ2" s="4"/>
      <c r="AK2" s="5" t="s">
        <v>281</v>
      </c>
      <c r="AL2" s="5" t="s">
        <v>261</v>
      </c>
      <c r="AM2" s="6">
        <v>46105</v>
      </c>
      <c r="AN2" s="5" t="s">
        <v>282</v>
      </c>
      <c r="AO2" s="5" t="s">
        <v>283</v>
      </c>
    </row>
    <row r="3" spans="1:41" x14ac:dyDescent="0.25">
      <c r="A3" s="2" t="s">
        <v>250</v>
      </c>
      <c r="B3" s="13" t="s">
        <v>488</v>
      </c>
      <c r="C3" s="3">
        <v>46203</v>
      </c>
      <c r="D3" s="4">
        <v>552282896</v>
      </c>
      <c r="E3" s="5" t="s">
        <v>284</v>
      </c>
      <c r="F3" s="6">
        <v>46085</v>
      </c>
      <c r="G3" s="5" t="s">
        <v>67</v>
      </c>
      <c r="H3" s="5" t="s">
        <v>67</v>
      </c>
      <c r="I3" s="5" t="s">
        <v>75</v>
      </c>
      <c r="J3" s="5" t="s">
        <v>285</v>
      </c>
      <c r="K3" s="3">
        <v>46279</v>
      </c>
      <c r="L3" s="12">
        <f t="shared" ca="1" si="0"/>
        <v>168</v>
      </c>
      <c r="M3" s="12">
        <f t="shared" ca="1" si="1"/>
        <v>286</v>
      </c>
      <c r="N3" s="12">
        <f t="shared" ca="1" si="2"/>
        <v>41</v>
      </c>
      <c r="O3" s="6">
        <v>46450</v>
      </c>
      <c r="P3" s="5" t="s">
        <v>59</v>
      </c>
      <c r="Q3" s="5" t="s">
        <v>69</v>
      </c>
      <c r="R3" s="5" t="s">
        <v>59</v>
      </c>
      <c r="S3" s="5" t="s">
        <v>48</v>
      </c>
      <c r="T3" s="5" t="s">
        <v>70</v>
      </c>
      <c r="U3" s="5" t="s">
        <v>48</v>
      </c>
      <c r="V3" s="5"/>
      <c r="W3" s="5"/>
      <c r="X3" s="5"/>
      <c r="Y3" s="5" t="s">
        <v>49</v>
      </c>
      <c r="Z3" s="7">
        <v>9056.39</v>
      </c>
      <c r="AA3" s="7">
        <v>0</v>
      </c>
      <c r="AB3" s="7">
        <v>0</v>
      </c>
      <c r="AC3" s="6">
        <v>46203</v>
      </c>
      <c r="AD3" s="7">
        <v>9056.39</v>
      </c>
      <c r="AE3" s="4">
        <v>157</v>
      </c>
      <c r="AF3" s="5" t="s">
        <v>286</v>
      </c>
      <c r="AG3" s="5" t="s">
        <v>287</v>
      </c>
      <c r="AH3" s="5" t="s">
        <v>288</v>
      </c>
      <c r="AI3" s="5" t="s">
        <v>289</v>
      </c>
      <c r="AJ3" s="4"/>
      <c r="AK3" s="5" t="s">
        <v>290</v>
      </c>
      <c r="AL3" s="5" t="s">
        <v>261</v>
      </c>
      <c r="AM3" s="6">
        <v>46197</v>
      </c>
      <c r="AN3" s="5" t="s">
        <v>282</v>
      </c>
      <c r="AO3" s="5" t="s">
        <v>291</v>
      </c>
    </row>
    <row r="4" spans="1:41" x14ac:dyDescent="0.25">
      <c r="A4" s="2" t="s">
        <v>64</v>
      </c>
      <c r="B4" s="13" t="s">
        <v>446</v>
      </c>
      <c r="C4" s="3">
        <v>46128</v>
      </c>
      <c r="D4" s="4">
        <v>553719866</v>
      </c>
      <c r="E4" s="5" t="s">
        <v>74</v>
      </c>
      <c r="F4" s="6">
        <v>46094</v>
      </c>
      <c r="G4" s="5" t="s">
        <v>75</v>
      </c>
      <c r="H4" s="5" t="s">
        <v>67</v>
      </c>
      <c r="I4" s="5" t="s">
        <v>75</v>
      </c>
      <c r="J4" s="5" t="s">
        <v>292</v>
      </c>
      <c r="K4" s="3">
        <v>46142</v>
      </c>
      <c r="L4" s="12">
        <f t="shared" ca="1" si="0"/>
        <v>177</v>
      </c>
      <c r="M4" s="12">
        <f t="shared" ca="1" si="1"/>
        <v>211</v>
      </c>
      <c r="N4" s="12">
        <f t="shared" ca="1" si="2"/>
        <v>-34</v>
      </c>
      <c r="O4" s="6">
        <v>46459</v>
      </c>
      <c r="P4" s="5" t="s">
        <v>59</v>
      </c>
      <c r="Q4" s="5" t="s">
        <v>69</v>
      </c>
      <c r="R4" s="5" t="s">
        <v>59</v>
      </c>
      <c r="S4" s="5" t="s">
        <v>48</v>
      </c>
      <c r="T4" s="5" t="s">
        <v>70</v>
      </c>
      <c r="U4" s="5" t="s">
        <v>48</v>
      </c>
      <c r="V4" s="5"/>
      <c r="W4" s="5"/>
      <c r="X4" s="5"/>
      <c r="Y4" s="5" t="s">
        <v>49</v>
      </c>
      <c r="Z4" s="7">
        <v>2493.33</v>
      </c>
      <c r="AA4" s="7">
        <v>2340.79</v>
      </c>
      <c r="AB4" s="7">
        <v>121.54</v>
      </c>
      <c r="AC4" s="6">
        <v>46128</v>
      </c>
      <c r="AD4" s="7">
        <v>31</v>
      </c>
      <c r="AE4" s="4">
        <v>148</v>
      </c>
      <c r="AF4" s="5" t="s">
        <v>209</v>
      </c>
      <c r="AG4" s="5" t="s">
        <v>200</v>
      </c>
      <c r="AH4" s="5"/>
      <c r="AI4" s="5"/>
      <c r="AJ4" s="4">
        <v>557765461</v>
      </c>
      <c r="AK4" s="5" t="s">
        <v>79</v>
      </c>
      <c r="AL4" s="5" t="s">
        <v>261</v>
      </c>
      <c r="AM4" s="6">
        <v>46113</v>
      </c>
      <c r="AN4" s="5" t="s">
        <v>282</v>
      </c>
      <c r="AO4" s="5" t="s">
        <v>293</v>
      </c>
    </row>
    <row r="5" spans="1:41" x14ac:dyDescent="0.25">
      <c r="A5" s="2" t="s">
        <v>459</v>
      </c>
      <c r="B5" s="2" t="s">
        <v>487</v>
      </c>
      <c r="C5" s="3">
        <v>46108</v>
      </c>
      <c r="D5" s="4">
        <v>553223068</v>
      </c>
      <c r="E5" s="5" t="s">
        <v>294</v>
      </c>
      <c r="F5" s="6">
        <v>46099</v>
      </c>
      <c r="G5" s="5" t="s">
        <v>67</v>
      </c>
      <c r="H5" s="5" t="s">
        <v>67</v>
      </c>
      <c r="I5" s="5" t="s">
        <v>75</v>
      </c>
      <c r="J5" s="5" t="s">
        <v>292</v>
      </c>
      <c r="K5" s="3">
        <v>46266</v>
      </c>
      <c r="L5" s="12">
        <f t="shared" ca="1" si="0"/>
        <v>182</v>
      </c>
      <c r="M5" s="12">
        <f t="shared" ca="1" si="1"/>
        <v>191</v>
      </c>
      <c r="N5" s="12">
        <f t="shared" ca="1" si="2"/>
        <v>-54</v>
      </c>
      <c r="O5" s="6">
        <v>46464</v>
      </c>
      <c r="P5" s="5" t="s">
        <v>59</v>
      </c>
      <c r="Q5" s="5" t="s">
        <v>69</v>
      </c>
      <c r="R5" s="5" t="s">
        <v>59</v>
      </c>
      <c r="S5" s="5" t="s">
        <v>48</v>
      </c>
      <c r="T5" s="5" t="s">
        <v>70</v>
      </c>
      <c r="U5" s="5" t="s">
        <v>48</v>
      </c>
      <c r="V5" s="5"/>
      <c r="W5" s="5"/>
      <c r="X5" s="5"/>
      <c r="Y5" s="5" t="s">
        <v>49</v>
      </c>
      <c r="Z5" s="7">
        <v>2493.33</v>
      </c>
      <c r="AA5" s="7">
        <v>0</v>
      </c>
      <c r="AB5" s="7">
        <v>0</v>
      </c>
      <c r="AC5" s="6">
        <v>46108</v>
      </c>
      <c r="AD5" s="7">
        <v>2493.33</v>
      </c>
      <c r="AE5" s="4">
        <v>143</v>
      </c>
      <c r="AF5" s="5" t="s">
        <v>295</v>
      </c>
      <c r="AG5" s="5" t="s">
        <v>296</v>
      </c>
      <c r="AH5" s="5"/>
      <c r="AI5" s="5"/>
      <c r="AJ5" s="4"/>
      <c r="AK5" s="5" t="s">
        <v>297</v>
      </c>
      <c r="AL5" s="5" t="s">
        <v>298</v>
      </c>
      <c r="AM5" s="6">
        <v>46101</v>
      </c>
      <c r="AN5" s="5" t="s">
        <v>282</v>
      </c>
      <c r="AO5" s="5" t="s">
        <v>299</v>
      </c>
    </row>
    <row r="6" spans="1:41" x14ac:dyDescent="0.25">
      <c r="A6" s="2" t="s">
        <v>250</v>
      </c>
      <c r="B6" s="2" t="s">
        <v>489</v>
      </c>
      <c r="C6" s="3">
        <v>46203</v>
      </c>
      <c r="D6" s="4">
        <v>555372244</v>
      </c>
      <c r="E6" s="5" t="s">
        <v>300</v>
      </c>
      <c r="F6" s="6">
        <v>46104</v>
      </c>
      <c r="G6" s="5" t="s">
        <v>67</v>
      </c>
      <c r="H6" s="5" t="s">
        <v>67</v>
      </c>
      <c r="I6" s="5" t="s">
        <v>75</v>
      </c>
      <c r="J6" s="5" t="s">
        <v>301</v>
      </c>
      <c r="K6" s="3">
        <v>46279</v>
      </c>
      <c r="L6" s="12">
        <f t="shared" ca="1" si="0"/>
        <v>187</v>
      </c>
      <c r="M6" s="12">
        <f t="shared" ca="1" si="1"/>
        <v>286</v>
      </c>
      <c r="N6" s="12">
        <f t="shared" ca="1" si="2"/>
        <v>41</v>
      </c>
      <c r="O6" s="6">
        <v>46469</v>
      </c>
      <c r="P6" s="5" t="s">
        <v>59</v>
      </c>
      <c r="Q6" s="5" t="s">
        <v>69</v>
      </c>
      <c r="R6" s="5" t="s">
        <v>59</v>
      </c>
      <c r="S6" s="5" t="s">
        <v>48</v>
      </c>
      <c r="T6" s="5" t="s">
        <v>70</v>
      </c>
      <c r="U6" s="5" t="s">
        <v>48</v>
      </c>
      <c r="V6" s="5" t="s">
        <v>302</v>
      </c>
      <c r="W6" s="5"/>
      <c r="X6" s="5"/>
      <c r="Y6" s="5" t="s">
        <v>49</v>
      </c>
      <c r="Z6" s="7">
        <v>19949.23</v>
      </c>
      <c r="AA6" s="7">
        <v>0</v>
      </c>
      <c r="AB6" s="7">
        <v>0</v>
      </c>
      <c r="AC6" s="6">
        <v>46203</v>
      </c>
      <c r="AD6" s="7">
        <v>19949.23</v>
      </c>
      <c r="AE6" s="4">
        <v>138</v>
      </c>
      <c r="AF6" s="5" t="s">
        <v>303</v>
      </c>
      <c r="AG6" s="5" t="s">
        <v>304</v>
      </c>
      <c r="AH6" s="5" t="s">
        <v>149</v>
      </c>
      <c r="AI6" s="5" t="s">
        <v>199</v>
      </c>
      <c r="AJ6" s="4"/>
      <c r="AK6" s="5" t="s">
        <v>290</v>
      </c>
      <c r="AL6" s="5" t="s">
        <v>261</v>
      </c>
      <c r="AM6" s="6">
        <v>46197</v>
      </c>
      <c r="AN6" s="5" t="s">
        <v>282</v>
      </c>
      <c r="AO6" s="5" t="s">
        <v>305</v>
      </c>
    </row>
    <row r="7" spans="1:41" x14ac:dyDescent="0.25">
      <c r="A7" s="2" t="s">
        <v>459</v>
      </c>
      <c r="B7" s="2" t="s">
        <v>490</v>
      </c>
      <c r="C7" s="3">
        <v>46122</v>
      </c>
      <c r="D7" s="4">
        <v>553825634</v>
      </c>
      <c r="E7" s="5" t="s">
        <v>306</v>
      </c>
      <c r="F7" s="6">
        <v>46106</v>
      </c>
      <c r="G7" s="5" t="s">
        <v>97</v>
      </c>
      <c r="H7" s="5" t="s">
        <v>67</v>
      </c>
      <c r="I7" s="5" t="s">
        <v>97</v>
      </c>
      <c r="J7" s="5" t="s">
        <v>292</v>
      </c>
      <c r="K7" s="3">
        <v>46279</v>
      </c>
      <c r="L7" s="12">
        <f t="shared" ca="1" si="0"/>
        <v>189</v>
      </c>
      <c r="M7" s="12">
        <f t="shared" ca="1" si="1"/>
        <v>205</v>
      </c>
      <c r="N7" s="12">
        <f t="shared" ca="1" si="2"/>
        <v>-40</v>
      </c>
      <c r="O7" s="6">
        <v>46471</v>
      </c>
      <c r="P7" s="5" t="s">
        <v>59</v>
      </c>
      <c r="Q7" s="5" t="s">
        <v>69</v>
      </c>
      <c r="R7" s="5" t="s">
        <v>59</v>
      </c>
      <c r="S7" s="5" t="s">
        <v>48</v>
      </c>
      <c r="T7" s="5" t="s">
        <v>70</v>
      </c>
      <c r="U7" s="5" t="s">
        <v>48</v>
      </c>
      <c r="V7" s="5"/>
      <c r="W7" s="5"/>
      <c r="X7" s="5"/>
      <c r="Y7" s="5" t="s">
        <v>49</v>
      </c>
      <c r="Z7" s="7">
        <v>2493.33</v>
      </c>
      <c r="AA7" s="7">
        <v>2351.73</v>
      </c>
      <c r="AB7" s="7">
        <v>110.6</v>
      </c>
      <c r="AC7" s="6">
        <v>46122</v>
      </c>
      <c r="AD7" s="7">
        <v>31</v>
      </c>
      <c r="AE7" s="4">
        <v>136</v>
      </c>
      <c r="AF7" s="5" t="s">
        <v>307</v>
      </c>
      <c r="AG7" s="5"/>
      <c r="AH7" s="5"/>
      <c r="AI7" s="5"/>
      <c r="AJ7" s="4">
        <v>557571095</v>
      </c>
      <c r="AK7" s="5" t="s">
        <v>94</v>
      </c>
      <c r="AL7" s="5" t="s">
        <v>298</v>
      </c>
      <c r="AM7" s="6">
        <v>46107</v>
      </c>
      <c r="AN7" s="5" t="s">
        <v>282</v>
      </c>
      <c r="AO7" s="5" t="s">
        <v>308</v>
      </c>
    </row>
    <row r="8" spans="1:41" x14ac:dyDescent="0.25">
      <c r="A8" s="2" t="s">
        <v>459</v>
      </c>
      <c r="B8" s="2" t="s">
        <v>490</v>
      </c>
      <c r="C8" s="3">
        <v>46126</v>
      </c>
      <c r="D8" s="4">
        <v>554186385</v>
      </c>
      <c r="E8" s="5" t="s">
        <v>309</v>
      </c>
      <c r="F8" s="6">
        <v>46108</v>
      </c>
      <c r="G8" s="5" t="s">
        <v>310</v>
      </c>
      <c r="H8" s="5" t="s">
        <v>67</v>
      </c>
      <c r="I8" s="5" t="s">
        <v>310</v>
      </c>
      <c r="J8" s="5" t="s">
        <v>311</v>
      </c>
      <c r="K8" s="3">
        <v>46279</v>
      </c>
      <c r="L8" s="12">
        <f t="shared" ca="1" si="0"/>
        <v>191</v>
      </c>
      <c r="M8" s="12">
        <f t="shared" ca="1" si="1"/>
        <v>209</v>
      </c>
      <c r="N8" s="12">
        <f t="shared" ca="1" si="2"/>
        <v>-36</v>
      </c>
      <c r="O8" s="6">
        <v>46473</v>
      </c>
      <c r="P8" s="5" t="s">
        <v>59</v>
      </c>
      <c r="Q8" s="5" t="s">
        <v>69</v>
      </c>
      <c r="R8" s="5" t="s">
        <v>59</v>
      </c>
      <c r="S8" s="5" t="s">
        <v>48</v>
      </c>
      <c r="T8" s="5" t="s">
        <v>70</v>
      </c>
      <c r="U8" s="5" t="s">
        <v>48</v>
      </c>
      <c r="V8" s="5" t="s">
        <v>276</v>
      </c>
      <c r="W8" s="5"/>
      <c r="X8" s="5"/>
      <c r="Y8" s="5" t="s">
        <v>49</v>
      </c>
      <c r="Z8" s="7">
        <v>5614.63</v>
      </c>
      <c r="AA8" s="7">
        <v>4889.05</v>
      </c>
      <c r="AB8" s="7">
        <v>578.1</v>
      </c>
      <c r="AC8" s="6">
        <v>46126</v>
      </c>
      <c r="AD8" s="7">
        <v>147.47999999999999</v>
      </c>
      <c r="AE8" s="4">
        <v>134</v>
      </c>
      <c r="AF8" s="5" t="s">
        <v>312</v>
      </c>
      <c r="AG8" s="5"/>
      <c r="AH8" s="5"/>
      <c r="AI8" s="5"/>
      <c r="AJ8" s="4">
        <v>557570916</v>
      </c>
      <c r="AK8" s="5" t="s">
        <v>146</v>
      </c>
      <c r="AL8" s="5" t="s">
        <v>261</v>
      </c>
      <c r="AM8" s="6">
        <v>46112</v>
      </c>
      <c r="AN8" s="5" t="s">
        <v>282</v>
      </c>
      <c r="AO8" s="5" t="s">
        <v>207</v>
      </c>
    </row>
    <row r="9" spans="1:41" x14ac:dyDescent="0.25">
      <c r="A9" s="2" t="s">
        <v>250</v>
      </c>
      <c r="B9" s="2" t="s">
        <v>496</v>
      </c>
      <c r="C9" s="3">
        <v>46204</v>
      </c>
      <c r="D9" s="4">
        <v>552284225</v>
      </c>
      <c r="E9" s="5" t="s">
        <v>313</v>
      </c>
      <c r="F9" s="6">
        <v>46085</v>
      </c>
      <c r="G9" s="5" t="s">
        <v>314</v>
      </c>
      <c r="H9" s="5" t="s">
        <v>314</v>
      </c>
      <c r="I9" s="5" t="s">
        <v>43</v>
      </c>
      <c r="J9" s="5" t="s">
        <v>315</v>
      </c>
      <c r="K9" s="3"/>
      <c r="L9" s="12">
        <f t="shared" ca="1" si="0"/>
        <v>-107</v>
      </c>
      <c r="M9" s="12">
        <f ca="1">IF($F9="","",$F9+90-TODAY())</f>
        <v>-107</v>
      </c>
      <c r="N9" s="12">
        <f ca="1">IF($C9="","",$C9+180-TODAY())</f>
        <v>102</v>
      </c>
      <c r="O9" s="6">
        <v>46175</v>
      </c>
      <c r="P9" s="5" t="s">
        <v>112</v>
      </c>
      <c r="Q9" s="5" t="s">
        <v>316</v>
      </c>
      <c r="R9" s="5" t="s">
        <v>112</v>
      </c>
      <c r="S9" s="5" t="s">
        <v>47</v>
      </c>
      <c r="T9" s="5" t="s">
        <v>45</v>
      </c>
      <c r="U9" s="5" t="s">
        <v>48</v>
      </c>
      <c r="V9" s="5"/>
      <c r="W9" s="5"/>
      <c r="X9" s="5"/>
      <c r="Y9" s="5" t="s">
        <v>49</v>
      </c>
      <c r="Z9" s="7">
        <v>1433.32</v>
      </c>
      <c r="AA9" s="7">
        <v>0</v>
      </c>
      <c r="AB9" s="7">
        <v>0</v>
      </c>
      <c r="AC9" s="6">
        <v>46204</v>
      </c>
      <c r="AD9" s="7">
        <v>1433.32</v>
      </c>
      <c r="AE9" s="4">
        <v>157</v>
      </c>
      <c r="AF9" s="5" t="s">
        <v>286</v>
      </c>
      <c r="AG9" s="5" t="s">
        <v>288</v>
      </c>
      <c r="AH9" s="5" t="s">
        <v>199</v>
      </c>
      <c r="AI9" s="5" t="s">
        <v>317</v>
      </c>
      <c r="AJ9" s="4"/>
      <c r="AK9" s="5" t="s">
        <v>290</v>
      </c>
      <c r="AL9" s="5" t="s">
        <v>261</v>
      </c>
      <c r="AM9" s="6">
        <v>46197</v>
      </c>
      <c r="AN9" s="5" t="s">
        <v>282</v>
      </c>
      <c r="AO9" s="5" t="s">
        <v>318</v>
      </c>
    </row>
    <row r="10" spans="1:41" x14ac:dyDescent="0.25">
      <c r="A10" s="2" t="s">
        <v>250</v>
      </c>
      <c r="B10" s="2" t="s">
        <v>491</v>
      </c>
      <c r="C10" s="3">
        <v>46097</v>
      </c>
      <c r="D10" s="4">
        <v>551964467</v>
      </c>
      <c r="E10" s="5" t="s">
        <v>319</v>
      </c>
      <c r="F10" s="6">
        <v>46087</v>
      </c>
      <c r="G10" s="5" t="s">
        <v>154</v>
      </c>
      <c r="H10" s="5" t="s">
        <v>154</v>
      </c>
      <c r="I10" s="5" t="s">
        <v>43</v>
      </c>
      <c r="J10" s="5" t="s">
        <v>320</v>
      </c>
      <c r="K10" s="3">
        <v>46279</v>
      </c>
      <c r="L10" s="12">
        <f t="shared" ca="1" si="0"/>
        <v>-105</v>
      </c>
      <c r="M10" s="12">
        <f ca="1">IF($F10="","",$F10+90-TODAY())</f>
        <v>-105</v>
      </c>
      <c r="N10" s="12">
        <f ca="1">IF($C10="","",$C10+60-TODAY())</f>
        <v>-125</v>
      </c>
      <c r="O10" s="6">
        <v>46177</v>
      </c>
      <c r="P10" s="5" t="s">
        <v>112</v>
      </c>
      <c r="Q10" s="5" t="s">
        <v>156</v>
      </c>
      <c r="R10" s="5" t="s">
        <v>112</v>
      </c>
      <c r="S10" s="5" t="s">
        <v>47</v>
      </c>
      <c r="T10" s="5" t="s">
        <v>157</v>
      </c>
      <c r="U10" s="5" t="s">
        <v>48</v>
      </c>
      <c r="V10" s="5"/>
      <c r="W10" s="5"/>
      <c r="X10" s="5"/>
      <c r="Y10" s="5" t="s">
        <v>49</v>
      </c>
      <c r="Z10" s="7">
        <v>7623.07</v>
      </c>
      <c r="AA10" s="7">
        <v>0</v>
      </c>
      <c r="AB10" s="7">
        <v>0</v>
      </c>
      <c r="AC10" s="6">
        <v>46097</v>
      </c>
      <c r="AD10" s="7">
        <v>7623.07</v>
      </c>
      <c r="AE10" s="4">
        <v>155</v>
      </c>
      <c r="AF10" s="5" t="s">
        <v>200</v>
      </c>
      <c r="AG10" s="5"/>
      <c r="AH10" s="5"/>
      <c r="AI10" s="5"/>
      <c r="AJ10" s="4"/>
      <c r="AK10" s="5" t="s">
        <v>146</v>
      </c>
      <c r="AL10" s="5" t="s">
        <v>261</v>
      </c>
      <c r="AM10" s="6">
        <v>46091</v>
      </c>
      <c r="AN10" s="5" t="s">
        <v>282</v>
      </c>
      <c r="AO10" s="5" t="s">
        <v>321</v>
      </c>
    </row>
    <row r="11" spans="1:41" x14ac:dyDescent="0.25">
      <c r="A11" s="2" t="s">
        <v>446</v>
      </c>
      <c r="B11" s="2" t="s">
        <v>447</v>
      </c>
      <c r="C11" s="3">
        <v>46203</v>
      </c>
      <c r="D11" s="4">
        <v>553643849</v>
      </c>
      <c r="E11" s="5" t="s">
        <v>322</v>
      </c>
      <c r="F11" s="6">
        <v>46087</v>
      </c>
      <c r="G11" s="5" t="s">
        <v>75</v>
      </c>
      <c r="H11" s="5" t="s">
        <v>75</v>
      </c>
      <c r="I11" s="5" t="s">
        <v>43</v>
      </c>
      <c r="J11" s="5" t="s">
        <v>323</v>
      </c>
      <c r="K11" s="3"/>
      <c r="L11" s="12">
        <f t="shared" ca="1" si="0"/>
        <v>-105</v>
      </c>
      <c r="M11" s="12">
        <f ca="1">IF($C11="","",$C11+365-TODAY())</f>
        <v>286</v>
      </c>
      <c r="N11" s="12">
        <f ca="1">IF($C11="","",$C11+365-TODAY())</f>
        <v>286</v>
      </c>
      <c r="O11" s="6">
        <v>46177</v>
      </c>
      <c r="P11" s="5" t="s">
        <v>112</v>
      </c>
      <c r="Q11" s="5" t="s">
        <v>113</v>
      </c>
      <c r="R11" s="5" t="s">
        <v>59</v>
      </c>
      <c r="S11" s="5" t="s">
        <v>48</v>
      </c>
      <c r="T11" s="5" t="s">
        <v>59</v>
      </c>
      <c r="U11" s="5" t="s">
        <v>48</v>
      </c>
      <c r="V11" s="5" t="s">
        <v>324</v>
      </c>
      <c r="W11" s="5"/>
      <c r="X11" s="5"/>
      <c r="Y11" s="5" t="s">
        <v>49</v>
      </c>
      <c r="Z11" s="7">
        <v>18400.34</v>
      </c>
      <c r="AA11" s="7">
        <v>0</v>
      </c>
      <c r="AB11" s="7">
        <v>0</v>
      </c>
      <c r="AC11" s="6"/>
      <c r="AD11" s="7">
        <v>18400.34</v>
      </c>
      <c r="AE11" s="4">
        <v>155</v>
      </c>
      <c r="AF11" s="5" t="s">
        <v>325</v>
      </c>
      <c r="AG11" s="5" t="s">
        <v>326</v>
      </c>
      <c r="AH11" s="5"/>
      <c r="AI11" s="5"/>
      <c r="AJ11" s="4"/>
      <c r="AK11" s="5" t="s">
        <v>327</v>
      </c>
      <c r="AL11" s="5" t="s">
        <v>328</v>
      </c>
      <c r="AM11" s="6">
        <v>46197</v>
      </c>
      <c r="AN11" s="5" t="s">
        <v>282</v>
      </c>
      <c r="AO11" s="5" t="s">
        <v>329</v>
      </c>
    </row>
    <row r="12" spans="1:41" x14ac:dyDescent="0.25">
      <c r="A12" s="2" t="s">
        <v>250</v>
      </c>
      <c r="B12" s="2" t="s">
        <v>492</v>
      </c>
      <c r="C12" s="3">
        <v>46108</v>
      </c>
      <c r="D12" s="4">
        <v>553652690</v>
      </c>
      <c r="E12" s="5" t="s">
        <v>330</v>
      </c>
      <c r="F12" s="6">
        <v>46093</v>
      </c>
      <c r="G12" s="5" t="s">
        <v>154</v>
      </c>
      <c r="H12" s="5" t="s">
        <v>154</v>
      </c>
      <c r="I12" s="5" t="s">
        <v>43</v>
      </c>
      <c r="J12" s="5" t="s">
        <v>331</v>
      </c>
      <c r="K12" s="3">
        <v>46265</v>
      </c>
      <c r="L12" s="12">
        <f t="shared" ca="1" si="0"/>
        <v>-99</v>
      </c>
      <c r="M12" s="12">
        <f ca="1">IF($F12="","",$F12+90-TODAY())</f>
        <v>-99</v>
      </c>
      <c r="N12" s="12">
        <f ca="1">IF($C12="","",$C12+60-TODAY())</f>
        <v>-114</v>
      </c>
      <c r="O12" s="6">
        <v>46183</v>
      </c>
      <c r="P12" s="5" t="s">
        <v>112</v>
      </c>
      <c r="Q12" s="5" t="s">
        <v>156</v>
      </c>
      <c r="R12" s="5" t="s">
        <v>112</v>
      </c>
      <c r="S12" s="5" t="s">
        <v>47</v>
      </c>
      <c r="T12" s="5" t="s">
        <v>157</v>
      </c>
      <c r="U12" s="5" t="s">
        <v>48</v>
      </c>
      <c r="V12" s="5" t="s">
        <v>324</v>
      </c>
      <c r="W12" s="5"/>
      <c r="X12" s="5"/>
      <c r="Y12" s="5" t="s">
        <v>49</v>
      </c>
      <c r="Z12" s="7">
        <v>18400.34</v>
      </c>
      <c r="AA12" s="7">
        <v>0</v>
      </c>
      <c r="AB12" s="7">
        <v>0</v>
      </c>
      <c r="AC12" s="6">
        <v>46108</v>
      </c>
      <c r="AD12" s="7">
        <v>18400.34</v>
      </c>
      <c r="AE12" s="4">
        <v>149</v>
      </c>
      <c r="AF12" s="5" t="s">
        <v>199</v>
      </c>
      <c r="AG12" s="5" t="s">
        <v>332</v>
      </c>
      <c r="AH12" s="5"/>
      <c r="AI12" s="5"/>
      <c r="AJ12" s="4"/>
      <c r="AK12" s="5" t="s">
        <v>327</v>
      </c>
      <c r="AL12" s="5" t="s">
        <v>328</v>
      </c>
      <c r="AM12" s="6">
        <v>46105</v>
      </c>
      <c r="AN12" s="5" t="s">
        <v>282</v>
      </c>
      <c r="AO12" s="5" t="s">
        <v>333</v>
      </c>
    </row>
    <row r="13" spans="1:41" x14ac:dyDescent="0.25">
      <c r="A13" s="2" t="s">
        <v>250</v>
      </c>
      <c r="B13" s="2" t="s">
        <v>493</v>
      </c>
      <c r="C13" s="3">
        <v>46220</v>
      </c>
      <c r="D13" s="4">
        <v>553656838</v>
      </c>
      <c r="E13" s="5" t="s">
        <v>334</v>
      </c>
      <c r="F13" s="6">
        <v>46093</v>
      </c>
      <c r="G13" s="5" t="s">
        <v>154</v>
      </c>
      <c r="H13" s="5" t="s">
        <v>154</v>
      </c>
      <c r="I13" s="5" t="s">
        <v>43</v>
      </c>
      <c r="J13" s="5" t="s">
        <v>335</v>
      </c>
      <c r="K13" s="3">
        <v>46279</v>
      </c>
      <c r="L13" s="12">
        <f t="shared" ca="1" si="0"/>
        <v>-99</v>
      </c>
      <c r="M13" s="12">
        <f ca="1">IF($F13="","",$F13+90-TODAY())</f>
        <v>-99</v>
      </c>
      <c r="N13" s="12">
        <f ca="1">IF($C13="","",$C13+60-TODAY())</f>
        <v>-2</v>
      </c>
      <c r="O13" s="6">
        <v>46183</v>
      </c>
      <c r="P13" s="5" t="s">
        <v>112</v>
      </c>
      <c r="Q13" s="5" t="s">
        <v>156</v>
      </c>
      <c r="R13" s="5" t="s">
        <v>112</v>
      </c>
      <c r="S13" s="5" t="s">
        <v>47</v>
      </c>
      <c r="T13" s="5" t="s">
        <v>157</v>
      </c>
      <c r="U13" s="5" t="s">
        <v>48</v>
      </c>
      <c r="V13" s="5"/>
      <c r="W13" s="5"/>
      <c r="X13" s="5"/>
      <c r="Y13" s="5" t="s">
        <v>49</v>
      </c>
      <c r="Z13" s="7">
        <v>12650.96</v>
      </c>
      <c r="AA13" s="7">
        <v>0</v>
      </c>
      <c r="AB13" s="7">
        <v>0</v>
      </c>
      <c r="AC13" s="6">
        <v>46220</v>
      </c>
      <c r="AD13" s="7">
        <v>12650.96</v>
      </c>
      <c r="AE13" s="4">
        <v>149</v>
      </c>
      <c r="AF13" s="5" t="s">
        <v>199</v>
      </c>
      <c r="AG13" s="5" t="s">
        <v>336</v>
      </c>
      <c r="AH13" s="5"/>
      <c r="AI13" s="5"/>
      <c r="AJ13" s="4"/>
      <c r="AK13" s="5" t="s">
        <v>327</v>
      </c>
      <c r="AL13" s="5" t="s">
        <v>328</v>
      </c>
      <c r="AM13" s="6">
        <v>46105</v>
      </c>
      <c r="AN13" s="5" t="s">
        <v>282</v>
      </c>
      <c r="AO13" s="5" t="s">
        <v>337</v>
      </c>
    </row>
    <row r="14" spans="1:41" x14ac:dyDescent="0.25">
      <c r="A14" s="2" t="s">
        <v>250</v>
      </c>
      <c r="B14" s="2" t="s">
        <v>494</v>
      </c>
      <c r="C14" s="3">
        <v>46127</v>
      </c>
      <c r="D14" s="4">
        <v>555351211</v>
      </c>
      <c r="E14" s="5" t="s">
        <v>338</v>
      </c>
      <c r="F14" s="6">
        <v>46093</v>
      </c>
      <c r="G14" s="5" t="s">
        <v>122</v>
      </c>
      <c r="H14" s="5" t="s">
        <v>122</v>
      </c>
      <c r="I14" s="5" t="s">
        <v>43</v>
      </c>
      <c r="J14" s="5" t="s">
        <v>339</v>
      </c>
      <c r="K14" s="3">
        <v>46279</v>
      </c>
      <c r="L14" s="12">
        <f t="shared" ca="1" si="0"/>
        <v>-99</v>
      </c>
      <c r="M14" s="12">
        <f ca="1">IF($C14="","",$C14+180-TODAY())</f>
        <v>25</v>
      </c>
      <c r="N14" s="12">
        <f ca="1">IF($C14="","",$C14+365-TODAY())</f>
        <v>210</v>
      </c>
      <c r="O14" s="6">
        <v>46183</v>
      </c>
      <c r="P14" s="5" t="s">
        <v>112</v>
      </c>
      <c r="Q14" s="5" t="s">
        <v>133</v>
      </c>
      <c r="R14" s="5" t="s">
        <v>45</v>
      </c>
      <c r="S14" s="5" t="s">
        <v>48</v>
      </c>
      <c r="T14" s="5" t="s">
        <v>59</v>
      </c>
      <c r="U14" s="5" t="s">
        <v>48</v>
      </c>
      <c r="V14" s="5"/>
      <c r="W14" s="5"/>
      <c r="X14" s="5"/>
      <c r="Y14" s="5" t="s">
        <v>49</v>
      </c>
      <c r="Z14" s="7">
        <v>8277.57</v>
      </c>
      <c r="AA14" s="7">
        <v>0</v>
      </c>
      <c r="AB14" s="7">
        <v>0</v>
      </c>
      <c r="AC14" s="6">
        <v>46127</v>
      </c>
      <c r="AD14" s="7">
        <v>8277.57</v>
      </c>
      <c r="AE14" s="4">
        <v>149</v>
      </c>
      <c r="AF14" s="5" t="s">
        <v>209</v>
      </c>
      <c r="AG14" s="5" t="s">
        <v>199</v>
      </c>
      <c r="AH14" s="5"/>
      <c r="AI14" s="5"/>
      <c r="AJ14" s="4"/>
      <c r="AK14" s="5" t="s">
        <v>281</v>
      </c>
      <c r="AL14" s="5" t="s">
        <v>261</v>
      </c>
      <c r="AM14" s="6">
        <v>46120</v>
      </c>
      <c r="AN14" s="5" t="s">
        <v>282</v>
      </c>
      <c r="AO14" s="5" t="s">
        <v>340</v>
      </c>
    </row>
    <row r="15" spans="1:41" x14ac:dyDescent="0.25">
      <c r="A15" s="2" t="s">
        <v>64</v>
      </c>
      <c r="B15" s="13" t="s">
        <v>446</v>
      </c>
      <c r="C15" s="3">
        <v>46101</v>
      </c>
      <c r="D15" s="4">
        <v>553172544</v>
      </c>
      <c r="E15" s="5" t="s">
        <v>196</v>
      </c>
      <c r="F15" s="6">
        <v>46097</v>
      </c>
      <c r="G15" s="5" t="s">
        <v>197</v>
      </c>
      <c r="H15" s="5" t="s">
        <v>197</v>
      </c>
      <c r="I15" s="5" t="s">
        <v>43</v>
      </c>
      <c r="J15" s="5" t="s">
        <v>341</v>
      </c>
      <c r="K15" s="3">
        <v>46276</v>
      </c>
      <c r="L15" s="12">
        <f t="shared" ca="1" si="0"/>
        <v>-95</v>
      </c>
      <c r="M15" s="12">
        <f ca="1">IF($F15="","",$F15+90-TODAY())</f>
        <v>-95</v>
      </c>
      <c r="N15" s="12">
        <f ca="1">IF($C15="","",$C15+60-TODAY())</f>
        <v>-121</v>
      </c>
      <c r="O15" s="6">
        <v>46187</v>
      </c>
      <c r="P15" s="5" t="s">
        <v>112</v>
      </c>
      <c r="Q15" s="5" t="s">
        <v>342</v>
      </c>
      <c r="R15" s="5" t="s">
        <v>112</v>
      </c>
      <c r="S15" s="5" t="s">
        <v>47</v>
      </c>
      <c r="T15" s="5" t="s">
        <v>157</v>
      </c>
      <c r="U15" s="5" t="s">
        <v>48</v>
      </c>
      <c r="V15" s="5" t="s">
        <v>343</v>
      </c>
      <c r="W15" s="5"/>
      <c r="X15" s="5"/>
      <c r="Y15" s="5" t="s">
        <v>49</v>
      </c>
      <c r="Z15" s="7">
        <v>7892.85</v>
      </c>
      <c r="AA15" s="7">
        <v>0</v>
      </c>
      <c r="AB15" s="7">
        <v>0</v>
      </c>
      <c r="AC15" s="6">
        <v>46101</v>
      </c>
      <c r="AD15" s="7">
        <v>7892.85</v>
      </c>
      <c r="AE15" s="4">
        <v>145</v>
      </c>
      <c r="AF15" s="5" t="s">
        <v>200</v>
      </c>
      <c r="AG15" s="5" t="s">
        <v>199</v>
      </c>
      <c r="AH15" s="5" t="s">
        <v>344</v>
      </c>
      <c r="AI15" s="5" t="s">
        <v>345</v>
      </c>
      <c r="AJ15" s="4"/>
      <c r="AK15" s="5" t="s">
        <v>281</v>
      </c>
      <c r="AL15" s="5" t="s">
        <v>261</v>
      </c>
      <c r="AM15" s="6">
        <v>46100</v>
      </c>
      <c r="AN15" s="5" t="s">
        <v>282</v>
      </c>
      <c r="AO15" s="5" t="s">
        <v>346</v>
      </c>
    </row>
    <row r="16" spans="1:41" x14ac:dyDescent="0.25">
      <c r="A16" s="2" t="s">
        <v>459</v>
      </c>
      <c r="B16" s="2" t="s">
        <v>495</v>
      </c>
      <c r="C16" s="3">
        <v>46163</v>
      </c>
      <c r="D16" s="4">
        <v>553378154</v>
      </c>
      <c r="E16" s="5" t="s">
        <v>347</v>
      </c>
      <c r="F16" s="6">
        <v>46101</v>
      </c>
      <c r="G16" s="5" t="s">
        <v>348</v>
      </c>
      <c r="H16" s="5" t="s">
        <v>348</v>
      </c>
      <c r="I16" s="5" t="s">
        <v>43</v>
      </c>
      <c r="J16" s="5" t="s">
        <v>320</v>
      </c>
      <c r="K16" s="3">
        <v>46268</v>
      </c>
      <c r="L16" s="12">
        <f t="shared" ca="1" si="0"/>
        <v>-61</v>
      </c>
      <c r="M16" s="12">
        <f ca="1">IF($C16="","",$C16+180-TODAY())</f>
        <v>61</v>
      </c>
      <c r="N16" s="12">
        <f ca="1">IF($C16="","",$C16+180-TODAY())</f>
        <v>61</v>
      </c>
      <c r="O16" s="6">
        <v>46221</v>
      </c>
      <c r="P16" s="5" t="s">
        <v>70</v>
      </c>
      <c r="Q16" s="5" t="s">
        <v>349</v>
      </c>
      <c r="R16" s="5" t="s">
        <v>45</v>
      </c>
      <c r="S16" s="5" t="s">
        <v>48</v>
      </c>
      <c r="T16" s="5" t="s">
        <v>45</v>
      </c>
      <c r="U16" s="5" t="s">
        <v>48</v>
      </c>
      <c r="V16" s="5"/>
      <c r="W16" s="5"/>
      <c r="X16" s="5"/>
      <c r="Y16" s="5" t="s">
        <v>49</v>
      </c>
      <c r="Z16" s="7">
        <v>7623.07</v>
      </c>
      <c r="AA16" s="7">
        <v>0</v>
      </c>
      <c r="AB16" s="7">
        <v>0</v>
      </c>
      <c r="AC16" s="6">
        <v>46163</v>
      </c>
      <c r="AD16" s="7">
        <v>7623.07</v>
      </c>
      <c r="AE16" s="4">
        <v>141</v>
      </c>
      <c r="AF16" s="5" t="s">
        <v>200</v>
      </c>
      <c r="AG16" s="5"/>
      <c r="AH16" s="5"/>
      <c r="AI16" s="5"/>
      <c r="AJ16" s="4"/>
      <c r="AK16" s="5" t="s">
        <v>94</v>
      </c>
      <c r="AL16" s="5" t="s">
        <v>298</v>
      </c>
      <c r="AM16" s="6">
        <v>46105</v>
      </c>
      <c r="AN16" s="5" t="s">
        <v>282</v>
      </c>
      <c r="AO16" s="5" t="s">
        <v>350</v>
      </c>
    </row>
  </sheetData>
  <autoFilter ref="A1:AO16" xr:uid="{00000000-0009-0000-0000-000003000000}"/>
  <conditionalFormatting sqref="L2:L16">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6">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6">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6">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6"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15"/>
  <sheetViews>
    <sheetView tabSelected="1"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64</v>
      </c>
      <c r="B2" s="2" t="s">
        <v>446</v>
      </c>
      <c r="C2" s="3">
        <v>46113</v>
      </c>
      <c r="D2" s="4">
        <v>567164585</v>
      </c>
      <c r="E2" s="5" t="s">
        <v>351</v>
      </c>
      <c r="F2" s="6">
        <v>46098</v>
      </c>
      <c r="G2" s="5" t="s">
        <v>352</v>
      </c>
      <c r="H2" s="5" t="s">
        <v>352</v>
      </c>
      <c r="I2" s="5" t="s">
        <v>43</v>
      </c>
      <c r="J2" s="5" t="s">
        <v>353</v>
      </c>
      <c r="K2" s="3">
        <v>46252</v>
      </c>
      <c r="L2" s="12">
        <f t="shared" ref="L2:L15" ca="1" si="0">IF($O2="","",$O2-TODAY())</f>
        <v>-4</v>
      </c>
      <c r="M2" s="12">
        <f ca="1">IF($F2="","",$F2+365-TODAY())</f>
        <v>181</v>
      </c>
      <c r="N2" s="12">
        <f ca="1">IF($F2="","",$F2+365-TODAY())</f>
        <v>181</v>
      </c>
      <c r="O2" s="6">
        <v>46278</v>
      </c>
      <c r="P2" s="5" t="s">
        <v>45</v>
      </c>
      <c r="Q2" s="5" t="s">
        <v>354</v>
      </c>
      <c r="R2" s="5" t="s">
        <v>59</v>
      </c>
      <c r="S2" s="5" t="s">
        <v>47</v>
      </c>
      <c r="T2" s="5" t="s">
        <v>59</v>
      </c>
      <c r="U2" s="5" t="s">
        <v>47</v>
      </c>
      <c r="V2" s="5"/>
      <c r="W2" s="5"/>
      <c r="X2" s="5"/>
      <c r="Y2" s="5" t="s">
        <v>49</v>
      </c>
      <c r="Z2" s="7">
        <v>2528.2600000000002</v>
      </c>
      <c r="AA2" s="7">
        <v>0</v>
      </c>
      <c r="AB2" s="7">
        <v>0</v>
      </c>
      <c r="AC2" s="6">
        <v>46113</v>
      </c>
      <c r="AD2" s="7">
        <v>2528.2600000000002</v>
      </c>
      <c r="AE2" s="4">
        <v>144</v>
      </c>
      <c r="AF2" s="5" t="s">
        <v>149</v>
      </c>
      <c r="AG2" s="5" t="s">
        <v>355</v>
      </c>
      <c r="AH2" s="5"/>
      <c r="AI2" s="5"/>
      <c r="AJ2" s="4"/>
      <c r="AK2" s="5" t="s">
        <v>94</v>
      </c>
      <c r="AL2" s="5" t="s">
        <v>62</v>
      </c>
      <c r="AM2" s="6">
        <v>46106</v>
      </c>
      <c r="AN2" s="5" t="s">
        <v>356</v>
      </c>
      <c r="AO2" s="5" t="s">
        <v>357</v>
      </c>
    </row>
    <row r="3" spans="1:41" x14ac:dyDescent="0.25">
      <c r="A3" s="2" t="s">
        <v>250</v>
      </c>
      <c r="B3" s="2" t="s">
        <v>474</v>
      </c>
      <c r="C3" s="3">
        <v>46113</v>
      </c>
      <c r="D3" s="4">
        <v>571606148</v>
      </c>
      <c r="E3" s="5" t="s">
        <v>358</v>
      </c>
      <c r="F3" s="6">
        <v>46091</v>
      </c>
      <c r="G3" s="5" t="s">
        <v>67</v>
      </c>
      <c r="H3" s="5" t="s">
        <v>67</v>
      </c>
      <c r="I3" s="5" t="s">
        <v>86</v>
      </c>
      <c r="J3" s="5" t="s">
        <v>359</v>
      </c>
      <c r="K3" s="3">
        <v>46278</v>
      </c>
      <c r="L3" s="12">
        <f t="shared" ca="1" si="0"/>
        <v>174</v>
      </c>
      <c r="M3" s="12">
        <f ca="1">IF($C3="","",$C3+365-TODAY())</f>
        <v>196</v>
      </c>
      <c r="N3" s="12">
        <f ca="1">IF($C3="","",$C3+120-TODAY())</f>
        <v>-49</v>
      </c>
      <c r="O3" s="6">
        <v>46456</v>
      </c>
      <c r="P3" s="5" t="s">
        <v>59</v>
      </c>
      <c r="Q3" s="5" t="s">
        <v>69</v>
      </c>
      <c r="R3" s="5" t="s">
        <v>59</v>
      </c>
      <c r="S3" s="5" t="s">
        <v>48</v>
      </c>
      <c r="T3" s="5" t="s">
        <v>70</v>
      </c>
      <c r="U3" s="5" t="s">
        <v>48</v>
      </c>
      <c r="V3" s="5"/>
      <c r="W3" s="5"/>
      <c r="X3" s="5"/>
      <c r="Y3" s="5" t="s">
        <v>49</v>
      </c>
      <c r="Z3" s="7">
        <v>1294.23</v>
      </c>
      <c r="AA3" s="7">
        <v>0</v>
      </c>
      <c r="AB3" s="7">
        <v>0</v>
      </c>
      <c r="AC3" s="6">
        <v>46113</v>
      </c>
      <c r="AD3" s="7">
        <v>1294.23</v>
      </c>
      <c r="AE3" s="4">
        <v>151</v>
      </c>
      <c r="AF3" s="5" t="s">
        <v>360</v>
      </c>
      <c r="AG3" s="5" t="s">
        <v>361</v>
      </c>
      <c r="AH3" s="5" t="s">
        <v>267</v>
      </c>
      <c r="AI3" s="5"/>
      <c r="AJ3" s="4"/>
      <c r="AK3" s="5" t="s">
        <v>94</v>
      </c>
      <c r="AL3" s="5" t="s">
        <v>62</v>
      </c>
      <c r="AM3" s="6">
        <v>46106</v>
      </c>
      <c r="AN3" s="5" t="s">
        <v>356</v>
      </c>
      <c r="AO3" s="5" t="s">
        <v>362</v>
      </c>
    </row>
    <row r="4" spans="1:41" x14ac:dyDescent="0.25">
      <c r="A4" s="2" t="s">
        <v>250</v>
      </c>
      <c r="B4" s="2" t="s">
        <v>474</v>
      </c>
      <c r="C4" s="3">
        <v>46126</v>
      </c>
      <c r="D4" s="4">
        <v>571606263</v>
      </c>
      <c r="E4" s="5" t="s">
        <v>363</v>
      </c>
      <c r="F4" s="6">
        <v>46112</v>
      </c>
      <c r="G4" s="5" t="s">
        <v>67</v>
      </c>
      <c r="H4" s="5" t="s">
        <v>67</v>
      </c>
      <c r="I4" s="5" t="s">
        <v>123</v>
      </c>
      <c r="J4" s="5" t="s">
        <v>364</v>
      </c>
      <c r="K4" s="3">
        <v>46278</v>
      </c>
      <c r="L4" s="12">
        <f t="shared" ca="1" si="0"/>
        <v>195</v>
      </c>
      <c r="M4" s="12">
        <f ca="1">IF($C4="","",$C4+365-TODAY())</f>
        <v>209</v>
      </c>
      <c r="N4" s="12">
        <f ca="1">IF($C4="","",$C4+120-TODAY())</f>
        <v>-36</v>
      </c>
      <c r="O4" s="6">
        <v>46477</v>
      </c>
      <c r="P4" s="5" t="s">
        <v>59</v>
      </c>
      <c r="Q4" s="5" t="s">
        <v>69</v>
      </c>
      <c r="R4" s="5" t="s">
        <v>59</v>
      </c>
      <c r="S4" s="5" t="s">
        <v>48</v>
      </c>
      <c r="T4" s="5" t="s">
        <v>70</v>
      </c>
      <c r="U4" s="5" t="s">
        <v>48</v>
      </c>
      <c r="V4" s="5"/>
      <c r="W4" s="5"/>
      <c r="X4" s="5"/>
      <c r="Y4" s="5" t="s">
        <v>49</v>
      </c>
      <c r="Z4" s="7">
        <v>2173.29</v>
      </c>
      <c r="AA4" s="7">
        <v>0</v>
      </c>
      <c r="AB4" s="7">
        <v>0</v>
      </c>
      <c r="AC4" s="6">
        <v>46126</v>
      </c>
      <c r="AD4" s="7">
        <v>2173.29</v>
      </c>
      <c r="AE4" s="4">
        <v>130</v>
      </c>
      <c r="AF4" s="5" t="s">
        <v>365</v>
      </c>
      <c r="AG4" s="5" t="s">
        <v>366</v>
      </c>
      <c r="AH4" s="5" t="s">
        <v>361</v>
      </c>
      <c r="AI4" s="5"/>
      <c r="AJ4" s="4"/>
      <c r="AK4" s="5" t="s">
        <v>94</v>
      </c>
      <c r="AL4" s="5" t="s">
        <v>62</v>
      </c>
      <c r="AM4" s="6">
        <v>46121</v>
      </c>
      <c r="AN4" s="5" t="s">
        <v>356</v>
      </c>
      <c r="AO4" s="5" t="s">
        <v>367</v>
      </c>
    </row>
    <row r="5" spans="1:41" x14ac:dyDescent="0.25">
      <c r="A5" s="2" t="s">
        <v>64</v>
      </c>
      <c r="B5" s="2" t="s">
        <v>446</v>
      </c>
      <c r="C5" s="3">
        <v>46156</v>
      </c>
      <c r="D5" s="4">
        <v>553770568</v>
      </c>
      <c r="E5" s="5" t="s">
        <v>368</v>
      </c>
      <c r="F5" s="6">
        <v>46084</v>
      </c>
      <c r="G5" s="5" t="s">
        <v>369</v>
      </c>
      <c r="H5" s="5" t="s">
        <v>369</v>
      </c>
      <c r="I5" s="5" t="s">
        <v>43</v>
      </c>
      <c r="J5" s="5" t="s">
        <v>359</v>
      </c>
      <c r="K5" s="3">
        <v>46278</v>
      </c>
      <c r="L5" s="12">
        <f t="shared" ca="1" si="0"/>
        <v>-138</v>
      </c>
      <c r="M5" s="12"/>
      <c r="N5" s="12"/>
      <c r="O5" s="6">
        <v>46144</v>
      </c>
      <c r="P5" s="5" t="s">
        <v>157</v>
      </c>
      <c r="Q5" s="5" t="s">
        <v>370</v>
      </c>
      <c r="R5" s="5"/>
      <c r="S5" s="5"/>
      <c r="T5" s="5"/>
      <c r="U5" s="5"/>
      <c r="V5" s="5"/>
      <c r="W5" s="5"/>
      <c r="X5" s="5"/>
      <c r="Y5" s="5" t="s">
        <v>49</v>
      </c>
      <c r="Z5" s="7">
        <v>1294.23</v>
      </c>
      <c r="AA5" s="7">
        <v>0</v>
      </c>
      <c r="AB5" s="7">
        <v>0</v>
      </c>
      <c r="AC5" s="6">
        <v>46156</v>
      </c>
      <c r="AD5" s="7">
        <v>1294.23</v>
      </c>
      <c r="AE5" s="4">
        <v>158</v>
      </c>
      <c r="AF5" s="5" t="s">
        <v>199</v>
      </c>
      <c r="AG5" s="5" t="s">
        <v>371</v>
      </c>
      <c r="AH5" s="5" t="s">
        <v>372</v>
      </c>
      <c r="AI5" s="5" t="s">
        <v>373</v>
      </c>
      <c r="AJ5" s="4"/>
      <c r="AK5" s="5" t="s">
        <v>94</v>
      </c>
      <c r="AL5" s="5" t="s">
        <v>62</v>
      </c>
      <c r="AM5" s="6">
        <v>46106</v>
      </c>
      <c r="AN5" s="5" t="s">
        <v>356</v>
      </c>
      <c r="AO5" s="5" t="s">
        <v>374</v>
      </c>
    </row>
    <row r="6" spans="1:41" x14ac:dyDescent="0.25">
      <c r="A6" s="2" t="s">
        <v>250</v>
      </c>
      <c r="B6" s="13" t="s">
        <v>475</v>
      </c>
      <c r="C6" s="3">
        <v>46113</v>
      </c>
      <c r="D6" s="4">
        <v>571606836</v>
      </c>
      <c r="E6" s="15" t="s">
        <v>375</v>
      </c>
      <c r="F6" s="6">
        <v>46084</v>
      </c>
      <c r="G6" s="5" t="s">
        <v>376</v>
      </c>
      <c r="H6" s="5" t="s">
        <v>376</v>
      </c>
      <c r="I6" s="5" t="s">
        <v>43</v>
      </c>
      <c r="J6" s="5" t="s">
        <v>364</v>
      </c>
      <c r="K6" s="3">
        <v>46278</v>
      </c>
      <c r="L6" s="12">
        <f t="shared" ca="1" si="0"/>
        <v>-108</v>
      </c>
      <c r="M6" s="12">
        <f ca="1">IF($F6="","",$F6+90-TODAY())</f>
        <v>-108</v>
      </c>
      <c r="N6" s="12">
        <f ca="1">IF($C6="","",$C6+180-TODAY())</f>
        <v>11</v>
      </c>
      <c r="O6" s="6">
        <v>46174</v>
      </c>
      <c r="P6" s="5" t="s">
        <v>112</v>
      </c>
      <c r="Q6" s="5" t="s">
        <v>316</v>
      </c>
      <c r="R6" s="5" t="s">
        <v>112</v>
      </c>
      <c r="S6" s="5" t="s">
        <v>47</v>
      </c>
      <c r="T6" s="5" t="s">
        <v>45</v>
      </c>
      <c r="U6" s="5" t="s">
        <v>48</v>
      </c>
      <c r="V6" s="5"/>
      <c r="W6" s="5"/>
      <c r="X6" s="5"/>
      <c r="Y6" s="5" t="s">
        <v>49</v>
      </c>
      <c r="Z6" s="7">
        <v>2173.29</v>
      </c>
      <c r="AA6" s="7">
        <v>0</v>
      </c>
      <c r="AB6" s="7">
        <v>0</v>
      </c>
      <c r="AC6" s="6">
        <v>46113</v>
      </c>
      <c r="AD6" s="7">
        <v>2173.29</v>
      </c>
      <c r="AE6" s="4">
        <v>158</v>
      </c>
      <c r="AF6" s="5" t="s">
        <v>199</v>
      </c>
      <c r="AG6" s="5" t="s">
        <v>377</v>
      </c>
      <c r="AH6" s="5" t="s">
        <v>378</v>
      </c>
      <c r="AI6" s="5" t="s">
        <v>372</v>
      </c>
      <c r="AJ6" s="4"/>
      <c r="AK6" s="5" t="s">
        <v>94</v>
      </c>
      <c r="AL6" s="5" t="s">
        <v>62</v>
      </c>
      <c r="AM6" s="6">
        <v>46106</v>
      </c>
      <c r="AN6" s="5" t="s">
        <v>356</v>
      </c>
      <c r="AO6" s="5" t="s">
        <v>379</v>
      </c>
    </row>
    <row r="7" spans="1:41" x14ac:dyDescent="0.25">
      <c r="A7" s="2" t="s">
        <v>250</v>
      </c>
      <c r="B7" s="13" t="s">
        <v>477</v>
      </c>
      <c r="C7" s="3">
        <v>46135</v>
      </c>
      <c r="D7" s="4">
        <v>571607238</v>
      </c>
      <c r="E7" s="5" t="s">
        <v>380</v>
      </c>
      <c r="F7" s="6">
        <v>46098</v>
      </c>
      <c r="G7" s="5" t="s">
        <v>123</v>
      </c>
      <c r="H7" s="5" t="s">
        <v>123</v>
      </c>
      <c r="I7" s="5" t="s">
        <v>75</v>
      </c>
      <c r="J7" s="5" t="s">
        <v>359</v>
      </c>
      <c r="K7" s="3">
        <v>46278</v>
      </c>
      <c r="L7" s="12">
        <f t="shared" ca="1" si="0"/>
        <v>-94</v>
      </c>
      <c r="M7" s="12">
        <f ca="1">IF($C7="","",$C7+365-TODAY())</f>
        <v>218</v>
      </c>
      <c r="N7" s="12">
        <f ca="1">IF($C7="","",$C7+365-TODAY())</f>
        <v>218</v>
      </c>
      <c r="O7" s="6">
        <v>46188</v>
      </c>
      <c r="P7" s="5" t="s">
        <v>112</v>
      </c>
      <c r="Q7" s="5" t="s">
        <v>113</v>
      </c>
      <c r="R7" s="5" t="s">
        <v>59</v>
      </c>
      <c r="S7" s="5" t="s">
        <v>48</v>
      </c>
      <c r="T7" s="5" t="s">
        <v>59</v>
      </c>
      <c r="U7" s="5" t="s">
        <v>48</v>
      </c>
      <c r="V7" s="5"/>
      <c r="W7" s="5"/>
      <c r="X7" s="5"/>
      <c r="Y7" s="5" t="s">
        <v>49</v>
      </c>
      <c r="Z7" s="7">
        <v>1294.23</v>
      </c>
      <c r="AA7" s="7">
        <v>0</v>
      </c>
      <c r="AB7" s="7">
        <v>0</v>
      </c>
      <c r="AC7" s="6">
        <v>46135</v>
      </c>
      <c r="AD7" s="7">
        <v>1294.23</v>
      </c>
      <c r="AE7" s="4">
        <v>144</v>
      </c>
      <c r="AF7" s="5" t="s">
        <v>381</v>
      </c>
      <c r="AG7" s="5" t="s">
        <v>382</v>
      </c>
      <c r="AH7" s="5"/>
      <c r="AI7" s="5"/>
      <c r="AJ7" s="4"/>
      <c r="AK7" s="5" t="s">
        <v>94</v>
      </c>
      <c r="AL7" s="5" t="s">
        <v>62</v>
      </c>
      <c r="AM7" s="6">
        <v>46119</v>
      </c>
      <c r="AN7" s="5" t="s">
        <v>356</v>
      </c>
      <c r="AO7" s="5" t="s">
        <v>383</v>
      </c>
    </row>
    <row r="8" spans="1:41" x14ac:dyDescent="0.25">
      <c r="A8" s="2" t="s">
        <v>250</v>
      </c>
      <c r="B8" s="13" t="s">
        <v>478</v>
      </c>
      <c r="C8" s="3">
        <v>46220</v>
      </c>
      <c r="D8" s="4">
        <v>553063753</v>
      </c>
      <c r="E8" s="5" t="s">
        <v>384</v>
      </c>
      <c r="F8" s="6">
        <v>46099</v>
      </c>
      <c r="G8" s="5" t="s">
        <v>154</v>
      </c>
      <c r="H8" s="5" t="s">
        <v>154</v>
      </c>
      <c r="I8" s="5" t="s">
        <v>43</v>
      </c>
      <c r="J8" s="5" t="s">
        <v>385</v>
      </c>
      <c r="K8" s="3"/>
      <c r="L8" s="12">
        <f t="shared" ca="1" si="0"/>
        <v>-93</v>
      </c>
      <c r="M8" s="12">
        <f ca="1">IF($F8="","",$F8+90-TODAY())</f>
        <v>-93</v>
      </c>
      <c r="N8" s="12">
        <f ca="1">IF($C8="","",$C8+60-TODAY())</f>
        <v>-2</v>
      </c>
      <c r="O8" s="6">
        <v>46189</v>
      </c>
      <c r="P8" s="5" t="s">
        <v>112</v>
      </c>
      <c r="Q8" s="5" t="s">
        <v>156</v>
      </c>
      <c r="R8" s="5" t="s">
        <v>112</v>
      </c>
      <c r="S8" s="5" t="s">
        <v>47</v>
      </c>
      <c r="T8" s="5" t="s">
        <v>157</v>
      </c>
      <c r="U8" s="5" t="s">
        <v>48</v>
      </c>
      <c r="V8" s="5"/>
      <c r="W8" s="5"/>
      <c r="X8" s="5"/>
      <c r="Y8" s="5" t="s">
        <v>49</v>
      </c>
      <c r="Z8" s="7">
        <v>3822.49</v>
      </c>
      <c r="AA8" s="7">
        <v>0</v>
      </c>
      <c r="AB8" s="7">
        <v>0</v>
      </c>
      <c r="AC8" s="6">
        <v>46220</v>
      </c>
      <c r="AD8" s="7">
        <v>3822.49</v>
      </c>
      <c r="AE8" s="4">
        <v>143</v>
      </c>
      <c r="AF8" s="5" t="s">
        <v>386</v>
      </c>
      <c r="AG8" s="5" t="s">
        <v>213</v>
      </c>
      <c r="AH8" s="5" t="s">
        <v>150</v>
      </c>
      <c r="AI8" s="5" t="s">
        <v>361</v>
      </c>
      <c r="AJ8" s="4"/>
      <c r="AK8" s="5" t="s">
        <v>248</v>
      </c>
      <c r="AL8" s="5" t="s">
        <v>80</v>
      </c>
      <c r="AM8" s="6">
        <v>46125</v>
      </c>
      <c r="AN8" s="5" t="s">
        <v>356</v>
      </c>
      <c r="AO8" s="5" t="s">
        <v>387</v>
      </c>
    </row>
    <row r="9" spans="1:41" x14ac:dyDescent="0.25">
      <c r="A9" s="13" t="s">
        <v>479</v>
      </c>
      <c r="B9" s="13" t="s">
        <v>480</v>
      </c>
      <c r="C9" s="3">
        <v>46114</v>
      </c>
      <c r="D9" s="4">
        <v>553857983</v>
      </c>
      <c r="E9" s="5" t="s">
        <v>388</v>
      </c>
      <c r="F9" s="6">
        <v>46099</v>
      </c>
      <c r="G9" s="5" t="s">
        <v>389</v>
      </c>
      <c r="H9" s="5" t="s">
        <v>376</v>
      </c>
      <c r="I9" s="5" t="s">
        <v>389</v>
      </c>
      <c r="J9" s="5" t="s">
        <v>390</v>
      </c>
      <c r="K9" s="3">
        <v>46278</v>
      </c>
      <c r="L9" s="12">
        <f t="shared" ca="1" si="0"/>
        <v>-93</v>
      </c>
      <c r="M9" s="12">
        <f ca="1">IF($F9="","",$F9+90-TODAY())</f>
        <v>-93</v>
      </c>
      <c r="N9" s="12">
        <f ca="1">IF($C9="","",$C9+180-TODAY())</f>
        <v>12</v>
      </c>
      <c r="O9" s="6">
        <v>46189</v>
      </c>
      <c r="P9" s="5" t="s">
        <v>112</v>
      </c>
      <c r="Q9" s="5" t="s">
        <v>316</v>
      </c>
      <c r="R9" s="5" t="s">
        <v>112</v>
      </c>
      <c r="S9" s="5" t="s">
        <v>47</v>
      </c>
      <c r="T9" s="5" t="s">
        <v>45</v>
      </c>
      <c r="U9" s="5" t="s">
        <v>48</v>
      </c>
      <c r="V9" s="5"/>
      <c r="W9" s="5"/>
      <c r="X9" s="5"/>
      <c r="Y9" s="5" t="s">
        <v>49</v>
      </c>
      <c r="Z9" s="7">
        <v>1649.2</v>
      </c>
      <c r="AA9" s="7">
        <v>1420.82</v>
      </c>
      <c r="AB9" s="7">
        <v>160.93</v>
      </c>
      <c r="AC9" s="6">
        <v>46114</v>
      </c>
      <c r="AD9" s="7">
        <v>67.45</v>
      </c>
      <c r="AE9" s="4">
        <v>143</v>
      </c>
      <c r="AF9" s="5" t="s">
        <v>391</v>
      </c>
      <c r="AG9" s="5"/>
      <c r="AH9" s="5"/>
      <c r="AI9" s="5"/>
      <c r="AJ9" s="4">
        <v>571607938</v>
      </c>
      <c r="AK9" s="5" t="s">
        <v>103</v>
      </c>
      <c r="AL9" s="5" t="s">
        <v>392</v>
      </c>
      <c r="AM9" s="6">
        <v>46106</v>
      </c>
      <c r="AN9" s="5" t="s">
        <v>356</v>
      </c>
      <c r="AO9" s="5" t="s">
        <v>393</v>
      </c>
    </row>
    <row r="10" spans="1:41" x14ac:dyDescent="0.25">
      <c r="A10" s="2" t="s">
        <v>64</v>
      </c>
      <c r="B10" s="13" t="s">
        <v>476</v>
      </c>
      <c r="C10" s="3">
        <v>46127</v>
      </c>
      <c r="D10" s="4">
        <v>569508762</v>
      </c>
      <c r="E10" s="5" t="s">
        <v>394</v>
      </c>
      <c r="F10" s="6">
        <v>46105</v>
      </c>
      <c r="G10" s="5" t="s">
        <v>376</v>
      </c>
      <c r="H10" s="5" t="s">
        <v>376</v>
      </c>
      <c r="I10" s="5" t="s">
        <v>43</v>
      </c>
      <c r="J10" s="5" t="s">
        <v>359</v>
      </c>
      <c r="K10" s="3">
        <v>46269</v>
      </c>
      <c r="L10" s="12">
        <f t="shared" ca="1" si="0"/>
        <v>-87</v>
      </c>
      <c r="M10" s="12">
        <f ca="1">IF($F10="","",$F10+90-TODAY())</f>
        <v>-87</v>
      </c>
      <c r="N10" s="12">
        <f ca="1">IF($C10="","",$C10+180-TODAY())</f>
        <v>25</v>
      </c>
      <c r="O10" s="6">
        <v>46195</v>
      </c>
      <c r="P10" s="5" t="s">
        <v>112</v>
      </c>
      <c r="Q10" s="5" t="s">
        <v>316</v>
      </c>
      <c r="R10" s="5" t="s">
        <v>112</v>
      </c>
      <c r="S10" s="5" t="s">
        <v>47</v>
      </c>
      <c r="T10" s="5" t="s">
        <v>45</v>
      </c>
      <c r="U10" s="5" t="s">
        <v>48</v>
      </c>
      <c r="V10" s="5"/>
      <c r="W10" s="5"/>
      <c r="X10" s="5"/>
      <c r="Y10" s="5" t="s">
        <v>49</v>
      </c>
      <c r="Z10" s="7">
        <v>1294.23</v>
      </c>
      <c r="AA10" s="7">
        <v>0</v>
      </c>
      <c r="AB10" s="7">
        <v>0</v>
      </c>
      <c r="AC10" s="6"/>
      <c r="AD10" s="7">
        <v>1294.23</v>
      </c>
      <c r="AE10" s="4">
        <v>137</v>
      </c>
      <c r="AF10" s="5" t="s">
        <v>191</v>
      </c>
      <c r="AG10" s="5" t="s">
        <v>361</v>
      </c>
      <c r="AH10" s="5" t="s">
        <v>395</v>
      </c>
      <c r="AI10" s="5"/>
      <c r="AJ10" s="4"/>
      <c r="AK10" s="5" t="s">
        <v>94</v>
      </c>
      <c r="AL10" s="5" t="s">
        <v>62</v>
      </c>
      <c r="AM10" s="6">
        <v>46121</v>
      </c>
      <c r="AN10" s="5" t="s">
        <v>356</v>
      </c>
      <c r="AO10" s="5" t="s">
        <v>396</v>
      </c>
    </row>
    <row r="11" spans="1:41" x14ac:dyDescent="0.25">
      <c r="A11" s="2" t="s">
        <v>250</v>
      </c>
      <c r="B11" s="13" t="s">
        <v>481</v>
      </c>
      <c r="C11" s="3">
        <v>46126</v>
      </c>
      <c r="D11" s="4">
        <v>571608266</v>
      </c>
      <c r="E11" s="5" t="s">
        <v>397</v>
      </c>
      <c r="F11" s="6">
        <v>46105</v>
      </c>
      <c r="G11" s="5" t="s">
        <v>117</v>
      </c>
      <c r="H11" s="5" t="s">
        <v>117</v>
      </c>
      <c r="I11" s="5" t="s">
        <v>43</v>
      </c>
      <c r="J11" s="5" t="s">
        <v>359</v>
      </c>
      <c r="K11" s="3">
        <v>46278</v>
      </c>
      <c r="L11" s="12">
        <f t="shared" ca="1" si="0"/>
        <v>-87</v>
      </c>
      <c r="M11" s="12">
        <f ca="1">IF($C11="","",$C11+365-TODAY())</f>
        <v>209</v>
      </c>
      <c r="N11" s="12">
        <f ca="1">IF($C11="","",$C11+365-TODAY())</f>
        <v>209</v>
      </c>
      <c r="O11" s="6">
        <v>46195</v>
      </c>
      <c r="P11" s="5" t="s">
        <v>112</v>
      </c>
      <c r="Q11" s="5" t="s">
        <v>118</v>
      </c>
      <c r="R11" s="5" t="s">
        <v>59</v>
      </c>
      <c r="S11" s="5" t="s">
        <v>48</v>
      </c>
      <c r="T11" s="5" t="s">
        <v>59</v>
      </c>
      <c r="U11" s="5" t="s">
        <v>48</v>
      </c>
      <c r="V11" s="5"/>
      <c r="W11" s="5"/>
      <c r="X11" s="5"/>
      <c r="Y11" s="5" t="s">
        <v>49</v>
      </c>
      <c r="Z11" s="7">
        <v>1294.23</v>
      </c>
      <c r="AA11" s="7">
        <v>0</v>
      </c>
      <c r="AB11" s="7">
        <v>0</v>
      </c>
      <c r="AC11" s="6">
        <v>46126</v>
      </c>
      <c r="AD11" s="7">
        <v>1294.23</v>
      </c>
      <c r="AE11" s="4">
        <v>137</v>
      </c>
      <c r="AF11" s="5" t="s">
        <v>267</v>
      </c>
      <c r="AG11" s="5" t="s">
        <v>208</v>
      </c>
      <c r="AH11" s="5" t="s">
        <v>371</v>
      </c>
      <c r="AI11" s="5"/>
      <c r="AJ11" s="4"/>
      <c r="AK11" s="5" t="s">
        <v>94</v>
      </c>
      <c r="AL11" s="5" t="s">
        <v>62</v>
      </c>
      <c r="AM11" s="6">
        <v>46121</v>
      </c>
      <c r="AN11" s="5" t="s">
        <v>356</v>
      </c>
      <c r="AO11" s="5" t="s">
        <v>398</v>
      </c>
    </row>
    <row r="12" spans="1:41" x14ac:dyDescent="0.25">
      <c r="A12" s="2" t="s">
        <v>250</v>
      </c>
      <c r="B12" s="2" t="s">
        <v>497</v>
      </c>
      <c r="C12" s="3">
        <v>46113</v>
      </c>
      <c r="D12" s="14">
        <v>553787632</v>
      </c>
      <c r="E12" s="5" t="s">
        <v>399</v>
      </c>
      <c r="F12" s="6">
        <v>46085</v>
      </c>
      <c r="G12" s="5" t="s">
        <v>400</v>
      </c>
      <c r="H12" s="5" t="s">
        <v>400</v>
      </c>
      <c r="I12" s="5" t="s">
        <v>43</v>
      </c>
      <c r="J12" s="15" t="s">
        <v>482</v>
      </c>
      <c r="K12" s="3">
        <v>46282</v>
      </c>
      <c r="L12" s="12">
        <f t="shared" ca="1" si="0"/>
        <v>-77</v>
      </c>
      <c r="M12" s="12">
        <f t="shared" ref="M12:N14" ca="1" si="1">IF($C12="","",$C12+180-TODAY())</f>
        <v>11</v>
      </c>
      <c r="N12" s="12">
        <f t="shared" ca="1" si="1"/>
        <v>11</v>
      </c>
      <c r="O12" s="6">
        <v>46205</v>
      </c>
      <c r="P12" s="5" t="s">
        <v>70</v>
      </c>
      <c r="Q12" s="5" t="s">
        <v>349</v>
      </c>
      <c r="R12" s="5" t="s">
        <v>45</v>
      </c>
      <c r="S12" s="5" t="s">
        <v>48</v>
      </c>
      <c r="T12" s="5" t="s">
        <v>45</v>
      </c>
      <c r="U12" s="5" t="s">
        <v>48</v>
      </c>
      <c r="V12" s="5"/>
      <c r="W12" s="5"/>
      <c r="X12" s="5"/>
      <c r="Y12" s="5" t="s">
        <v>49</v>
      </c>
      <c r="Z12" s="7">
        <v>2943.43</v>
      </c>
      <c r="AA12" s="7">
        <v>0</v>
      </c>
      <c r="AB12" s="7">
        <v>0</v>
      </c>
      <c r="AC12" s="6">
        <v>46113</v>
      </c>
      <c r="AD12" s="7">
        <v>2943.43</v>
      </c>
      <c r="AE12" s="4">
        <v>157</v>
      </c>
      <c r="AF12" s="5" t="s">
        <v>391</v>
      </c>
      <c r="AG12" s="5" t="s">
        <v>373</v>
      </c>
      <c r="AH12" s="5"/>
      <c r="AI12" s="5"/>
      <c r="AJ12" s="4"/>
      <c r="AK12" s="5" t="s">
        <v>103</v>
      </c>
      <c r="AL12" s="5" t="s">
        <v>392</v>
      </c>
      <c r="AM12" s="6">
        <v>46106</v>
      </c>
      <c r="AN12" s="5" t="s">
        <v>356</v>
      </c>
      <c r="AO12" s="5" t="s">
        <v>401</v>
      </c>
    </row>
    <row r="13" spans="1:41" x14ac:dyDescent="0.25">
      <c r="A13" s="2" t="s">
        <v>64</v>
      </c>
      <c r="B13" s="13" t="s">
        <v>483</v>
      </c>
      <c r="C13" s="3">
        <v>46129</v>
      </c>
      <c r="D13" s="4">
        <v>553810379</v>
      </c>
      <c r="E13" s="5" t="s">
        <v>402</v>
      </c>
      <c r="F13" s="6">
        <v>46092</v>
      </c>
      <c r="G13" s="5" t="s">
        <v>403</v>
      </c>
      <c r="H13" s="5" t="s">
        <v>403</v>
      </c>
      <c r="I13" s="5" t="s">
        <v>43</v>
      </c>
      <c r="J13" s="5" t="s">
        <v>404</v>
      </c>
      <c r="K13" s="16">
        <v>46278</v>
      </c>
      <c r="L13" s="12">
        <f t="shared" ca="1" si="0"/>
        <v>-70</v>
      </c>
      <c r="M13" s="12">
        <f t="shared" ca="1" si="1"/>
        <v>27</v>
      </c>
      <c r="N13" s="12">
        <f t="shared" ca="1" si="1"/>
        <v>27</v>
      </c>
      <c r="O13" s="6">
        <v>46212</v>
      </c>
      <c r="P13" s="5" t="s">
        <v>70</v>
      </c>
      <c r="Q13" s="5" t="s">
        <v>166</v>
      </c>
      <c r="R13" s="5" t="s">
        <v>45</v>
      </c>
      <c r="S13" s="5" t="s">
        <v>48</v>
      </c>
      <c r="T13" s="5" t="s">
        <v>45</v>
      </c>
      <c r="U13" s="5" t="s">
        <v>48</v>
      </c>
      <c r="V13" s="5"/>
      <c r="W13" s="5"/>
      <c r="X13" s="5"/>
      <c r="Y13" s="5" t="s">
        <v>49</v>
      </c>
      <c r="Z13" s="7">
        <v>879.06</v>
      </c>
      <c r="AA13" s="7">
        <v>0</v>
      </c>
      <c r="AB13" s="7">
        <v>0</v>
      </c>
      <c r="AC13" s="6">
        <v>46129</v>
      </c>
      <c r="AD13" s="7">
        <v>879.06</v>
      </c>
      <c r="AE13" s="4">
        <v>150</v>
      </c>
      <c r="AF13" s="5" t="s">
        <v>391</v>
      </c>
      <c r="AG13" s="5" t="s">
        <v>373</v>
      </c>
      <c r="AH13" s="5"/>
      <c r="AI13" s="5"/>
      <c r="AJ13" s="4"/>
      <c r="AK13" s="5" t="s">
        <v>103</v>
      </c>
      <c r="AL13" s="5" t="s">
        <v>392</v>
      </c>
      <c r="AM13" s="6">
        <v>46106</v>
      </c>
      <c r="AN13" s="5" t="s">
        <v>356</v>
      </c>
      <c r="AO13" s="5" t="s">
        <v>405</v>
      </c>
    </row>
    <row r="14" spans="1:41" x14ac:dyDescent="0.25">
      <c r="A14" s="2" t="s">
        <v>64</v>
      </c>
      <c r="B14" s="13" t="s">
        <v>483</v>
      </c>
      <c r="C14" s="3">
        <v>46127</v>
      </c>
      <c r="D14" s="4">
        <v>555438747</v>
      </c>
      <c r="E14" s="5" t="s">
        <v>406</v>
      </c>
      <c r="F14" s="6">
        <v>46112</v>
      </c>
      <c r="G14" s="5" t="s">
        <v>400</v>
      </c>
      <c r="H14" s="5" t="s">
        <v>400</v>
      </c>
      <c r="I14" s="5" t="s">
        <v>43</v>
      </c>
      <c r="J14" s="5" t="s">
        <v>404</v>
      </c>
      <c r="K14" s="16">
        <v>46278</v>
      </c>
      <c r="L14" s="12">
        <f t="shared" ca="1" si="0"/>
        <v>-50</v>
      </c>
      <c r="M14" s="12">
        <f t="shared" ca="1" si="1"/>
        <v>25</v>
      </c>
      <c r="N14" s="12">
        <f t="shared" ca="1" si="1"/>
        <v>25</v>
      </c>
      <c r="O14" s="6">
        <v>46232</v>
      </c>
      <c r="P14" s="5" t="s">
        <v>70</v>
      </c>
      <c r="Q14" s="5" t="s">
        <v>349</v>
      </c>
      <c r="R14" s="5" t="s">
        <v>45</v>
      </c>
      <c r="S14" s="5" t="s">
        <v>48</v>
      </c>
      <c r="T14" s="5" t="s">
        <v>45</v>
      </c>
      <c r="U14" s="5" t="s">
        <v>48</v>
      </c>
      <c r="V14" s="5"/>
      <c r="W14" s="5"/>
      <c r="X14" s="5"/>
      <c r="Y14" s="5" t="s">
        <v>49</v>
      </c>
      <c r="Z14" s="7">
        <v>879.06</v>
      </c>
      <c r="AA14" s="7">
        <v>0</v>
      </c>
      <c r="AB14" s="7">
        <v>0</v>
      </c>
      <c r="AC14" s="6">
        <v>46127</v>
      </c>
      <c r="AD14" s="7">
        <v>879.06</v>
      </c>
      <c r="AE14" s="4">
        <v>130</v>
      </c>
      <c r="AF14" s="5" t="s">
        <v>373</v>
      </c>
      <c r="AG14" s="5" t="s">
        <v>361</v>
      </c>
      <c r="AH14" s="5"/>
      <c r="AI14" s="5"/>
      <c r="AJ14" s="4"/>
      <c r="AK14" s="5" t="s">
        <v>94</v>
      </c>
      <c r="AL14" s="5" t="s">
        <v>62</v>
      </c>
      <c r="AM14" s="6">
        <v>46121</v>
      </c>
      <c r="AN14" s="5" t="s">
        <v>356</v>
      </c>
      <c r="AO14" s="5" t="s">
        <v>407</v>
      </c>
    </row>
    <row r="15" spans="1:41" x14ac:dyDescent="0.25">
      <c r="A15" s="2" t="s">
        <v>250</v>
      </c>
      <c r="B15" s="2" t="s">
        <v>484</v>
      </c>
      <c r="C15" s="3">
        <v>46146</v>
      </c>
      <c r="D15" s="4">
        <v>571612561</v>
      </c>
      <c r="E15" s="5" t="s">
        <v>408</v>
      </c>
      <c r="F15" s="6">
        <v>46098</v>
      </c>
      <c r="G15" s="5" t="s">
        <v>409</v>
      </c>
      <c r="H15" s="5" t="s">
        <v>409</v>
      </c>
      <c r="I15" s="5" t="s">
        <v>43</v>
      </c>
      <c r="J15" s="5" t="s">
        <v>385</v>
      </c>
      <c r="K15" s="16">
        <v>46278</v>
      </c>
      <c r="L15" s="12" t="str">
        <f t="shared" ca="1" si="0"/>
        <v/>
      </c>
      <c r="M15" s="12">
        <f ca="1">IF($C15="","",$C15+180-TODAY())</f>
        <v>44</v>
      </c>
      <c r="N15" s="12">
        <f ca="1">IF($C15="","",$C15+365-TODAY())</f>
        <v>229</v>
      </c>
      <c r="O15" s="6"/>
      <c r="P15" s="5"/>
      <c r="Q15" s="5" t="s">
        <v>410</v>
      </c>
      <c r="R15" s="5" t="s">
        <v>45</v>
      </c>
      <c r="S15" s="5" t="s">
        <v>48</v>
      </c>
      <c r="T15" s="5" t="s">
        <v>59</v>
      </c>
      <c r="U15" s="5" t="s">
        <v>48</v>
      </c>
      <c r="V15" s="5"/>
      <c r="W15" s="5"/>
      <c r="X15" s="5"/>
      <c r="Y15" s="5" t="s">
        <v>49</v>
      </c>
      <c r="Z15" s="7">
        <v>3822.49</v>
      </c>
      <c r="AA15" s="7">
        <v>0</v>
      </c>
      <c r="AB15" s="7">
        <v>0</v>
      </c>
      <c r="AC15" s="6">
        <v>46146</v>
      </c>
      <c r="AD15" s="7">
        <v>3822.49</v>
      </c>
      <c r="AE15" s="4">
        <v>144</v>
      </c>
      <c r="AF15" s="5" t="s">
        <v>411</v>
      </c>
      <c r="AG15" s="5" t="s">
        <v>412</v>
      </c>
      <c r="AH15" s="5" t="s">
        <v>377</v>
      </c>
      <c r="AI15" s="5"/>
      <c r="AJ15" s="4"/>
      <c r="AK15" s="5" t="s">
        <v>94</v>
      </c>
      <c r="AL15" s="5" t="s">
        <v>62</v>
      </c>
      <c r="AM15" s="6">
        <v>46106</v>
      </c>
      <c r="AN15" s="5" t="s">
        <v>356</v>
      </c>
      <c r="AO15" s="5" t="s">
        <v>413</v>
      </c>
    </row>
  </sheetData>
  <autoFilter ref="A1:AO15" xr:uid="{00000000-0009-0000-0000-000004000000}"/>
  <conditionalFormatting sqref="L2:L15">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5">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5">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5">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5"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414</v>
      </c>
    </row>
    <row r="2" spans="1:1" x14ac:dyDescent="0.25">
      <c r="A2" s="9"/>
    </row>
    <row r="3" spans="1:1" x14ac:dyDescent="0.25">
      <c r="A3" s="9" t="s">
        <v>415</v>
      </c>
    </row>
    <row r="4" spans="1:1" x14ac:dyDescent="0.25">
      <c r="A4" s="9"/>
    </row>
    <row r="5" spans="1:1" x14ac:dyDescent="0.25">
      <c r="A5" s="10" t="s">
        <v>416</v>
      </c>
    </row>
    <row r="6" spans="1:1" ht="45" x14ac:dyDescent="0.25">
      <c r="A6" s="9" t="s">
        <v>417</v>
      </c>
    </row>
    <row r="7" spans="1:1" x14ac:dyDescent="0.25">
      <c r="A7" s="9" t="s">
        <v>418</v>
      </c>
    </row>
    <row r="8" spans="1:1" x14ac:dyDescent="0.25">
      <c r="A8" s="9" t="s">
        <v>419</v>
      </c>
    </row>
    <row r="9" spans="1:1" x14ac:dyDescent="0.25">
      <c r="A9" s="9" t="s">
        <v>420</v>
      </c>
    </row>
    <row r="10" spans="1:1" x14ac:dyDescent="0.25">
      <c r="A10" s="9" t="s">
        <v>421</v>
      </c>
    </row>
    <row r="11" spans="1:1" x14ac:dyDescent="0.25">
      <c r="A11" s="9" t="s">
        <v>422</v>
      </c>
    </row>
    <row r="12" spans="1:1" x14ac:dyDescent="0.25">
      <c r="A12" s="9" t="s">
        <v>423</v>
      </c>
    </row>
    <row r="13" spans="1:1" x14ac:dyDescent="0.25">
      <c r="A13" s="9"/>
    </row>
    <row r="14" spans="1:1" ht="30" x14ac:dyDescent="0.25">
      <c r="A14" s="9" t="s">
        <v>424</v>
      </c>
    </row>
    <row r="15" spans="1:1" ht="45" x14ac:dyDescent="0.25">
      <c r="A15" s="9" t="s">
        <v>425</v>
      </c>
    </row>
    <row r="16" spans="1:1" ht="30" x14ac:dyDescent="0.25">
      <c r="A16" s="9" t="s">
        <v>426</v>
      </c>
    </row>
    <row r="17" spans="1:1" ht="30" x14ac:dyDescent="0.25">
      <c r="A17" s="9" t="s">
        <v>427</v>
      </c>
    </row>
    <row r="18" spans="1:1" x14ac:dyDescent="0.25">
      <c r="A18" s="9"/>
    </row>
    <row r="19" spans="1:1" x14ac:dyDescent="0.25">
      <c r="A19" s="10" t="s">
        <v>428</v>
      </c>
    </row>
    <row r="20" spans="1:1" ht="45" x14ac:dyDescent="0.25">
      <c r="A20" s="9" t="s">
        <v>429</v>
      </c>
    </row>
    <row r="21" spans="1:1" x14ac:dyDescent="0.25">
      <c r="A21" s="9" t="s">
        <v>430</v>
      </c>
    </row>
    <row r="22" spans="1:1" ht="30" x14ac:dyDescent="0.25">
      <c r="A22" s="9" t="s">
        <v>431</v>
      </c>
    </row>
    <row r="23" spans="1:1" x14ac:dyDescent="0.25">
      <c r="A23" s="9"/>
    </row>
    <row r="24" spans="1:1" x14ac:dyDescent="0.25">
      <c r="A24" s="10" t="s">
        <v>432</v>
      </c>
    </row>
    <row r="25" spans="1:1" ht="30" x14ac:dyDescent="0.25">
      <c r="A25" s="9" t="s">
        <v>433</v>
      </c>
    </row>
    <row r="26" spans="1:1" ht="45" x14ac:dyDescent="0.25">
      <c r="A26" s="9" t="s">
        <v>434</v>
      </c>
    </row>
    <row r="27" spans="1:1" x14ac:dyDescent="0.25">
      <c r="A27" s="9"/>
    </row>
    <row r="28" spans="1:1" x14ac:dyDescent="0.25">
      <c r="A28" s="10" t="s">
        <v>435</v>
      </c>
    </row>
    <row r="29" spans="1:1" ht="45" x14ac:dyDescent="0.25">
      <c r="A29" s="9" t="s">
        <v>436</v>
      </c>
    </row>
    <row r="30" spans="1:1" ht="45" x14ac:dyDescent="0.25">
      <c r="A30" s="9" t="s">
        <v>437</v>
      </c>
    </row>
    <row r="31" spans="1:1" ht="30" x14ac:dyDescent="0.25">
      <c r="A31" s="9" t="s">
        <v>438</v>
      </c>
    </row>
    <row r="32" spans="1:1" x14ac:dyDescent="0.25">
      <c r="A32" s="9"/>
    </row>
    <row r="33" spans="1:1" x14ac:dyDescent="0.25">
      <c r="A33" s="10" t="s">
        <v>439</v>
      </c>
    </row>
    <row r="34" spans="1:1" ht="45" x14ac:dyDescent="0.25">
      <c r="A34" s="9" t="s">
        <v>440</v>
      </c>
    </row>
    <row r="35" spans="1:1" ht="30" x14ac:dyDescent="0.25">
      <c r="A35" s="9" t="s">
        <v>441</v>
      </c>
    </row>
    <row r="36" spans="1:1" x14ac:dyDescent="0.25">
      <c r="A36" s="9"/>
    </row>
    <row r="37" spans="1:1" x14ac:dyDescent="0.25">
      <c r="A37" s="9" t="s">
        <v>442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2026-09-18T00:51:16Z</dcterms:modified>
  <cp:category/>
  <cp:contentStatus/>
</cp:coreProperties>
</file>