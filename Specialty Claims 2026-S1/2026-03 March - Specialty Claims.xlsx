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'BH'!$A$1:$AH$60</definedName>
    <definedName name="_xlnm._FilterDatabase" localSheetId="1" hidden="1">'DME'!$A$1:$AH$11</definedName>
    <definedName name="_xlnm._FilterDatabase" localSheetId="2" hidden="1">'GAE'!$A$1:$AH$12</definedName>
    <definedName name="_xlnm._FilterDatabase" localSheetId="3" hidden="1">'ORTHO'!$A$1:$AH$26</definedName>
    <definedName name="_xlnm._FilterDatabase" localSheetId="4" hidden="1">'US'!$A$1:$AH$23</definedName>
  </definedNames>
  <calcPr calcId="124519" fullCalcOnLoad="1"/>
</workbook>
</file>

<file path=xl/styles.xml><?xml version="1.0" encoding="utf-8"?>
<styleSheet xmlns="http://schemas.openxmlformats.org/spreadsheetml/2006/main">
  <numFmts count="2">
    <numFmt numFmtId="164" formatCode="yyyy-mm-dd"/>
    <numFmt numFmtId="165" formatCode="MM/DD/YYYY"/>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 fontId="2" fillId="0" borderId="1" applyAlignment="1" pivotButton="0" quotePrefix="0" xfId="0">
      <alignment vertical="top"/>
    </xf>
    <xf numFmtId="0" fontId="2" fillId="0" borderId="1" applyAlignment="1" pivotButton="0" quotePrefix="0" xfId="0">
      <alignment vertical="top"/>
    </xf>
    <xf numFmtId="165"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J1" authorId="0" shapeId="0">
      <text>
        <t>Live formula: Filing Deadline minus TODAY(). Negative means the filing window has already closed; blank means no limit is on file. Rows were sorted on 12 August 2026 - sort ascending on this column to bring the order back up to date.</t>
      </text>
    </comment>
    <comment ref="K1" authorId="0" shapeId="0">
      <text>
        <t>Date of Service plus the primary payer's timely filing limit, from Carrier_Timely_Filing_Reference.xlsx. Blank means no limit is on file for that payer.</t>
      </text>
    </comment>
    <comment ref="L1" authorId="0" shapeId="0">
      <text>
        <t>The limit applied to this row, as days or calendar months.</t>
      </text>
    </comment>
    <comment ref="M1" authorId="0" shapeId="0">
      <text>
        <t>The carrier row in Carrier_Timely_Filing_Reference.xlsx that the primary payer was matched to.</t>
      </text>
    </comment>
    <comment ref="AG1" authorId="0" shapeId="0">
      <text>
        <t>Why this deadline may need checking - split limits, limits stated in months, contract-specific limits, or no limit on file.</t>
      </text>
    </comment>
    <comment ref="AH1" authorId="0" shapeId="0">
      <text>
        <t>Line ID is the stable key for this claim line (its row number in the original 'Merged' sheet). The master workbook uses it to pull Claim Status and Notes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H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555140726</v>
      </c>
      <c r="D2" s="5" t="inlineStr">
        <is>
          <t>HF522230488</t>
        </is>
      </c>
      <c r="E2" s="5" t="inlineStr">
        <is>
          <t>03/17/2026</t>
        </is>
      </c>
      <c r="F2" s="5" t="inlineStr">
        <is>
          <t>Oscar Health</t>
        </is>
      </c>
      <c r="G2" s="5" t="inlineStr">
        <is>
          <t>Oscar Health</t>
        </is>
      </c>
      <c r="H2" s="5" t="inlineStr">
        <is>
          <t>No Payer</t>
        </is>
      </c>
      <c r="I2" s="5" t="inlineStr">
        <is>
          <t>99493</t>
        </is>
      </c>
      <c r="J2" s="4">
        <f>IF($K2="","",$K2-TODAY())</f>
        <v/>
      </c>
      <c r="K2" s="6" t="n">
        <v>46278</v>
      </c>
      <c r="L2" s="5" t="inlineStr">
        <is>
          <t>180 days</t>
        </is>
      </c>
      <c r="M2" s="5" t="inlineStr">
        <is>
          <t>OSCAR HEALTH</t>
        </is>
      </c>
      <c r="N2" s="5" t="n"/>
      <c r="O2" s="5" t="n"/>
      <c r="P2" s="5" t="n"/>
      <c r="Q2" s="4" t="n">
        <v>1</v>
      </c>
      <c r="R2" s="7" t="n">
        <v>976.64</v>
      </c>
      <c r="S2" s="7" t="n">
        <v>0</v>
      </c>
      <c r="T2" s="7" t="n">
        <v>0</v>
      </c>
      <c r="U2" s="5" t="inlineStr">
        <is>
          <t>04/14/2026</t>
        </is>
      </c>
      <c r="V2" s="7" t="n">
        <v>976.64</v>
      </c>
      <c r="W2" s="4" t="n">
        <v>144</v>
      </c>
      <c r="X2" s="5" t="inlineStr">
        <is>
          <t>F4323</t>
        </is>
      </c>
      <c r="Y2" s="5" t="n"/>
      <c r="Z2" s="5" t="n"/>
      <c r="AA2" s="5" t="n"/>
      <c r="AB2" s="4" t="n"/>
      <c r="AC2" s="5" t="inlineStr">
        <is>
          <t>HUERTA, KARLA</t>
        </is>
      </c>
      <c r="AD2" s="5" t="inlineStr">
        <is>
          <t>ASAP Peoria</t>
        </is>
      </c>
      <c r="AE2" s="5" t="inlineStr">
        <is>
          <t>04/07/2026</t>
        </is>
      </c>
      <c r="AF2" s="5" t="inlineStr">
        <is>
          <t>BH</t>
        </is>
      </c>
      <c r="AG2" s="8" t="n"/>
      <c r="AH2" s="4" t="n">
        <v>391</v>
      </c>
    </row>
    <row r="3">
      <c r="A3" s="2" t="n"/>
      <c r="B3" s="3" t="n"/>
      <c r="C3" s="4" t="n">
        <v>555140726</v>
      </c>
      <c r="D3" s="5" t="inlineStr">
        <is>
          <t>HF522230488</t>
        </is>
      </c>
      <c r="E3" s="5" t="inlineStr">
        <is>
          <t>03/17/2026</t>
        </is>
      </c>
      <c r="F3" s="5" t="inlineStr">
        <is>
          <t>Oscar Health</t>
        </is>
      </c>
      <c r="G3" s="5" t="inlineStr">
        <is>
          <t>Oscar Health</t>
        </is>
      </c>
      <c r="H3" s="5" t="inlineStr">
        <is>
          <t>No Payer</t>
        </is>
      </c>
      <c r="I3" s="5" t="inlineStr">
        <is>
          <t>99494</t>
        </is>
      </c>
      <c r="J3" s="4">
        <f>IF($K3="","",$K3-TODAY())</f>
        <v/>
      </c>
      <c r="K3" s="6" t="n">
        <v>46278</v>
      </c>
      <c r="L3" s="5" t="inlineStr">
        <is>
          <t>180 days</t>
        </is>
      </c>
      <c r="M3" s="5" t="inlineStr">
        <is>
          <t>OSCAR HEALTH</t>
        </is>
      </c>
      <c r="N3" s="5" t="n"/>
      <c r="O3" s="5" t="n"/>
      <c r="P3" s="5" t="n"/>
      <c r="Q3" s="4" t="n">
        <v>1</v>
      </c>
      <c r="R3" s="7" t="n">
        <v>396.27</v>
      </c>
      <c r="S3" s="7" t="n">
        <v>0</v>
      </c>
      <c r="T3" s="7" t="n">
        <v>0</v>
      </c>
      <c r="U3" s="5" t="inlineStr">
        <is>
          <t>04/14/2026</t>
        </is>
      </c>
      <c r="V3" s="7" t="n">
        <v>396.27</v>
      </c>
      <c r="W3" s="4" t="n">
        <v>144</v>
      </c>
      <c r="X3" s="5" t="inlineStr">
        <is>
          <t>F4323</t>
        </is>
      </c>
      <c r="Y3" s="5" t="n"/>
      <c r="Z3" s="5" t="n"/>
      <c r="AA3" s="5" t="n"/>
      <c r="AB3" s="4" t="n"/>
      <c r="AC3" s="5" t="inlineStr">
        <is>
          <t>HUERTA, KARLA</t>
        </is>
      </c>
      <c r="AD3" s="5" t="inlineStr">
        <is>
          <t>ASAP Peoria</t>
        </is>
      </c>
      <c r="AE3" s="5" t="inlineStr">
        <is>
          <t>04/07/2026</t>
        </is>
      </c>
      <c r="AF3" s="5" t="inlineStr">
        <is>
          <t>BH</t>
        </is>
      </c>
      <c r="AG3" s="8" t="n"/>
      <c r="AH3" s="4" t="n">
        <v>427</v>
      </c>
    </row>
    <row r="4">
      <c r="A4" s="2" t="n"/>
      <c r="B4" s="3" t="n"/>
      <c r="C4" s="4" t="n">
        <v>554404221</v>
      </c>
      <c r="D4" s="5" t="inlineStr">
        <is>
          <t>HF525117988</t>
        </is>
      </c>
      <c r="E4" s="5" t="inlineStr">
        <is>
          <t>03/31/2026</t>
        </is>
      </c>
      <c r="F4" s="5" t="inlineStr">
        <is>
          <t>TRIWEST VA CCN CLAIMS</t>
        </is>
      </c>
      <c r="G4" s="5" t="inlineStr">
        <is>
          <t>TRIWEST VA CCN CLAIMS</t>
        </is>
      </c>
      <c r="H4" s="5" t="inlineStr">
        <is>
          <t>No Payer</t>
        </is>
      </c>
      <c r="I4" s="5" t="inlineStr">
        <is>
          <t>99493</t>
        </is>
      </c>
      <c r="J4" s="4">
        <f>IF($K4="","",$K4-TODAY())</f>
        <v/>
      </c>
      <c r="K4" s="6" t="n">
        <v>46292</v>
      </c>
      <c r="L4" s="5" t="inlineStr">
        <is>
          <t>180 days</t>
        </is>
      </c>
      <c r="M4" s="5" t="inlineStr">
        <is>
          <t>VETERANS ADMIN (VA CCN)</t>
        </is>
      </c>
      <c r="N4" s="5" t="n"/>
      <c r="O4" s="5" t="n"/>
      <c r="P4" s="5" t="n"/>
      <c r="Q4" s="4" t="n">
        <v>1</v>
      </c>
      <c r="R4" s="7" t="n">
        <v>976.64</v>
      </c>
      <c r="S4" s="7" t="n">
        <v>0</v>
      </c>
      <c r="T4" s="7" t="n">
        <v>0</v>
      </c>
      <c r="U4" s="5" t="inlineStr">
        <is>
          <t>04/16/2026</t>
        </is>
      </c>
      <c r="V4" s="7" t="n">
        <v>976.64</v>
      </c>
      <c r="W4" s="4" t="n">
        <v>130</v>
      </c>
      <c r="X4" s="5" t="inlineStr">
        <is>
          <t>F4320</t>
        </is>
      </c>
      <c r="Y4" s="5" t="n"/>
      <c r="Z4" s="5" t="n"/>
      <c r="AA4" s="5" t="n"/>
      <c r="AB4" s="4" t="n"/>
      <c r="AC4" s="5" t="inlineStr">
        <is>
          <t>LEATHEM, JARRETT</t>
        </is>
      </c>
      <c r="AD4" s="5" t="inlineStr">
        <is>
          <t>ASAP Peoria</t>
        </is>
      </c>
      <c r="AE4" s="5" t="inlineStr">
        <is>
          <t>04/07/2026</t>
        </is>
      </c>
      <c r="AF4" s="5" t="inlineStr">
        <is>
          <t>BH</t>
        </is>
      </c>
      <c r="AG4" s="8" t="n"/>
      <c r="AH4" s="4" t="n">
        <v>105</v>
      </c>
    </row>
    <row r="5">
      <c r="A5" s="2" t="inlineStr">
        <is>
          <t>Finalized</t>
        </is>
      </c>
      <c r="B5" s="3" t="n"/>
      <c r="C5" s="4" t="n">
        <v>551389428</v>
      </c>
      <c r="D5" s="5" t="inlineStr">
        <is>
          <t>HF549983763</t>
        </is>
      </c>
      <c r="E5" s="5" t="inlineStr">
        <is>
          <t>03/02/2026</t>
        </is>
      </c>
      <c r="F5" s="5" t="inlineStr">
        <is>
          <t>Mutual of Omaha Insurance Company</t>
        </is>
      </c>
      <c r="G5" s="5" t="inlineStr">
        <is>
          <t>Medicare Part B Arizona *</t>
        </is>
      </c>
      <c r="H5" s="5" t="inlineStr">
        <is>
          <t>Mutual of Omaha Insurance Company</t>
        </is>
      </c>
      <c r="I5" s="5" t="inlineStr">
        <is>
          <t>99494</t>
        </is>
      </c>
      <c r="J5" s="4">
        <f>IF($K5="","",$K5-TODAY())</f>
        <v/>
      </c>
      <c r="K5" s="6" t="n">
        <v>46448</v>
      </c>
      <c r="L5" s="5" t="inlineStr">
        <is>
          <t>365 days</t>
        </is>
      </c>
      <c r="M5" s="5" t="inlineStr">
        <is>
          <t>MEDICARE</t>
        </is>
      </c>
      <c r="N5" s="5" t="n"/>
      <c r="O5" s="5" t="n"/>
      <c r="P5" s="5" t="n"/>
      <c r="Q5" s="4" t="n">
        <v>1</v>
      </c>
      <c r="R5" s="7" t="n">
        <v>396.27</v>
      </c>
      <c r="S5" s="7" t="n">
        <v>329.26</v>
      </c>
      <c r="T5" s="7" t="n">
        <v>54.97</v>
      </c>
      <c r="U5" s="5" t="inlineStr">
        <is>
          <t>04/29/2026</t>
        </is>
      </c>
      <c r="V5" s="7" t="n">
        <v>12.04</v>
      </c>
      <c r="W5" s="4" t="n">
        <v>159</v>
      </c>
      <c r="X5" s="5" t="inlineStr">
        <is>
          <t>F4320</t>
        </is>
      </c>
      <c r="Y5" s="5" t="n"/>
      <c r="Z5" s="5" t="n"/>
      <c r="AA5" s="5" t="n"/>
      <c r="AB5" s="4" t="n">
        <v>559119307</v>
      </c>
      <c r="AC5" s="5" t="inlineStr">
        <is>
          <t>TURLEY, TODD</t>
        </is>
      </c>
      <c r="AD5" s="5" t="inlineStr">
        <is>
          <t>ASAP Peoria</t>
        </is>
      </c>
      <c r="AE5" s="5" t="inlineStr">
        <is>
          <t>04/07/2026</t>
        </is>
      </c>
      <c r="AF5" s="5" t="inlineStr">
        <is>
          <t>BH</t>
        </is>
      </c>
      <c r="AG5" s="8" t="n"/>
      <c r="AH5" s="4" t="n">
        <v>279</v>
      </c>
    </row>
    <row r="6">
      <c r="A6" s="2" t="inlineStr">
        <is>
          <t>Finalized</t>
        </is>
      </c>
      <c r="B6" s="3" t="n"/>
      <c r="C6" s="4" t="n">
        <v>551389428</v>
      </c>
      <c r="D6" s="5" t="inlineStr">
        <is>
          <t>HF549983763</t>
        </is>
      </c>
      <c r="E6" s="5" t="inlineStr">
        <is>
          <t>03/02/2026</t>
        </is>
      </c>
      <c r="F6" s="5" t="inlineStr">
        <is>
          <t>Mutual of Omaha Insurance Company</t>
        </is>
      </c>
      <c r="G6" s="5" t="inlineStr">
        <is>
          <t>Medicare Part B Arizona *</t>
        </is>
      </c>
      <c r="H6" s="5" t="inlineStr">
        <is>
          <t>Mutual of Omaha Insurance Company</t>
        </is>
      </c>
      <c r="I6" s="5" t="inlineStr">
        <is>
          <t>99492</t>
        </is>
      </c>
      <c r="J6" s="4">
        <f>IF($K6="","",$K6-TODAY())</f>
        <v/>
      </c>
      <c r="K6" s="6" t="n">
        <v>46448</v>
      </c>
      <c r="L6" s="5" t="inlineStr">
        <is>
          <t>365 days</t>
        </is>
      </c>
      <c r="M6" s="5" t="inlineStr">
        <is>
          <t>MEDICARE</t>
        </is>
      </c>
      <c r="N6" s="5" t="n"/>
      <c r="O6" s="5" t="n"/>
      <c r="P6" s="5" t="n"/>
      <c r="Q6" s="4" t="n">
        <v>1</v>
      </c>
      <c r="R6" s="7" t="n">
        <v>1029.98</v>
      </c>
      <c r="S6" s="7" t="n">
        <v>855.4299999999999</v>
      </c>
      <c r="T6" s="7" t="n">
        <v>143.2</v>
      </c>
      <c r="U6" s="5" t="inlineStr">
        <is>
          <t>04/29/2026</t>
        </is>
      </c>
      <c r="V6" s="7" t="n">
        <v>31.35</v>
      </c>
      <c r="W6" s="4" t="n">
        <v>159</v>
      </c>
      <c r="X6" s="5" t="inlineStr">
        <is>
          <t>F4320</t>
        </is>
      </c>
      <c r="Y6" s="5" t="n"/>
      <c r="Z6" s="5" t="n"/>
      <c r="AA6" s="5" t="n"/>
      <c r="AB6" s="4" t="n">
        <v>559119307</v>
      </c>
      <c r="AC6" s="5" t="inlineStr">
        <is>
          <t>TURLEY, TODD</t>
        </is>
      </c>
      <c r="AD6" s="5" t="inlineStr">
        <is>
          <t>ASAP Peoria</t>
        </is>
      </c>
      <c r="AE6" s="5" t="inlineStr">
        <is>
          <t>04/07/2026</t>
        </is>
      </c>
      <c r="AF6" s="5" t="inlineStr">
        <is>
          <t>BH</t>
        </is>
      </c>
      <c r="AG6" s="8" t="n"/>
      <c r="AH6" s="4" t="n">
        <v>280</v>
      </c>
    </row>
    <row r="7">
      <c r="A7" s="2" t="inlineStr">
        <is>
          <t>Finalized</t>
        </is>
      </c>
      <c r="B7" s="3" t="n"/>
      <c r="C7" s="4" t="n">
        <v>551962197</v>
      </c>
      <c r="D7" s="5" t="inlineStr">
        <is>
          <t>HF470696196</t>
        </is>
      </c>
      <c r="E7" s="5" t="inlineStr">
        <is>
          <t>03/06/2026</t>
        </is>
      </c>
      <c r="F7" s="5" t="inlineStr">
        <is>
          <t>Blue Cross Blue Shield of Arizona (BCBS AZ)</t>
        </is>
      </c>
      <c r="G7" s="5" t="inlineStr">
        <is>
          <t>Medicare Part B Arizona *</t>
        </is>
      </c>
      <c r="H7" s="5" t="inlineStr">
        <is>
          <t>Blue Cross Blue Shield of Arizona (BCBS AZ)</t>
        </is>
      </c>
      <c r="I7" s="5" t="inlineStr">
        <is>
          <t>99493</t>
        </is>
      </c>
      <c r="J7" s="4">
        <f>IF($K7="","",$K7-TODAY())</f>
        <v/>
      </c>
      <c r="K7" s="6" t="n">
        <v>46452</v>
      </c>
      <c r="L7" s="5" t="inlineStr">
        <is>
          <t>365 days</t>
        </is>
      </c>
      <c r="M7" s="5" t="inlineStr">
        <is>
          <t>MEDICARE</t>
        </is>
      </c>
      <c r="N7" s="5" t="n"/>
      <c r="O7" s="5" t="n"/>
      <c r="P7" s="5" t="n"/>
      <c r="Q7" s="4" t="n">
        <v>1</v>
      </c>
      <c r="R7" s="7" t="n">
        <v>976.64</v>
      </c>
      <c r="S7" s="7" t="n">
        <v>836.85</v>
      </c>
      <c r="T7" s="7" t="n">
        <v>111.38</v>
      </c>
      <c r="U7" s="5" t="inlineStr">
        <is>
          <t>04/22/2026</t>
        </is>
      </c>
      <c r="V7" s="7" t="n">
        <v>28.41</v>
      </c>
      <c r="W7" s="4" t="n">
        <v>155</v>
      </c>
      <c r="X7" s="5" t="inlineStr">
        <is>
          <t>F4321</t>
        </is>
      </c>
      <c r="Y7" s="5" t="n"/>
      <c r="Z7" s="5" t="n"/>
      <c r="AA7" s="5" t="n"/>
      <c r="AB7" s="4" t="n">
        <v>559120111</v>
      </c>
      <c r="AC7" s="5" t="inlineStr">
        <is>
          <t>SARKAR, AWNIK</t>
        </is>
      </c>
      <c r="AD7" s="5" t="inlineStr">
        <is>
          <t>ASAP - DEER VALLEY</t>
        </is>
      </c>
      <c r="AE7" s="5" t="inlineStr">
        <is>
          <t>04/07/2026</t>
        </is>
      </c>
      <c r="AF7" s="5" t="inlineStr">
        <is>
          <t>BH</t>
        </is>
      </c>
      <c r="AG7" s="8" t="n"/>
      <c r="AH7" s="4" t="n">
        <v>7</v>
      </c>
    </row>
    <row r="8">
      <c r="A8" s="2" t="inlineStr">
        <is>
          <t>Finalized</t>
        </is>
      </c>
      <c r="B8" s="3" t="n"/>
      <c r="C8" s="4" t="n">
        <v>551962197</v>
      </c>
      <c r="D8" s="5" t="inlineStr">
        <is>
          <t>HF470696196</t>
        </is>
      </c>
      <c r="E8" s="5" t="inlineStr">
        <is>
          <t>03/06/2026</t>
        </is>
      </c>
      <c r="F8" s="5" t="inlineStr">
        <is>
          <t>Blue Cross Blue Shield of Arizona (BCBS AZ)</t>
        </is>
      </c>
      <c r="G8" s="5" t="inlineStr">
        <is>
          <t>Medicare Part B Arizona *</t>
        </is>
      </c>
      <c r="H8" s="5" t="inlineStr">
        <is>
          <t>Blue Cross Blue Shield of Arizona (BCBS AZ)</t>
        </is>
      </c>
      <c r="I8" s="5" t="inlineStr">
        <is>
          <t>99494</t>
        </is>
      </c>
      <c r="J8" s="4">
        <f>IF($K8="","",$K8-TODAY())</f>
        <v/>
      </c>
      <c r="K8" s="6" t="n">
        <v>46452</v>
      </c>
      <c r="L8" s="5" t="inlineStr">
        <is>
          <t>365 days</t>
        </is>
      </c>
      <c r="M8" s="5" t="inlineStr">
        <is>
          <t>MEDICARE</t>
        </is>
      </c>
      <c r="N8" s="5" t="n"/>
      <c r="O8" s="5" t="n"/>
      <c r="P8" s="5" t="n"/>
      <c r="Q8" s="4" t="n">
        <v>2</v>
      </c>
      <c r="R8" s="7" t="n">
        <v>792.54</v>
      </c>
      <c r="S8" s="7" t="n">
        <v>674.11</v>
      </c>
      <c r="T8" s="7" t="n">
        <v>94.36</v>
      </c>
      <c r="U8" s="5" t="inlineStr">
        <is>
          <t>04/22/2026</t>
        </is>
      </c>
      <c r="V8" s="7" t="n">
        <v>24.07</v>
      </c>
      <c r="W8" s="4" t="n">
        <v>155</v>
      </c>
      <c r="X8" s="5" t="inlineStr">
        <is>
          <t>F4321</t>
        </is>
      </c>
      <c r="Y8" s="5" t="n"/>
      <c r="Z8" s="5" t="n"/>
      <c r="AA8" s="5" t="n"/>
      <c r="AB8" s="4" t="n">
        <v>559120111</v>
      </c>
      <c r="AC8" s="5" t="inlineStr">
        <is>
          <t>SARKAR, AWNIK</t>
        </is>
      </c>
      <c r="AD8" s="5" t="inlineStr">
        <is>
          <t>ASAP - DEER VALLEY</t>
        </is>
      </c>
      <c r="AE8" s="5" t="inlineStr">
        <is>
          <t>04/07/2026</t>
        </is>
      </c>
      <c r="AF8" s="5" t="inlineStr">
        <is>
          <t>BH</t>
        </is>
      </c>
      <c r="AG8" s="8" t="n"/>
      <c r="AH8" s="4" t="n">
        <v>8</v>
      </c>
    </row>
    <row r="9">
      <c r="A9" s="2" t="inlineStr">
        <is>
          <t>Finalized</t>
        </is>
      </c>
      <c r="B9" s="3" t="n"/>
      <c r="C9" s="4" t="n">
        <v>552404210</v>
      </c>
      <c r="D9" s="5" t="inlineStr">
        <is>
          <t>HF364689537</t>
        </is>
      </c>
      <c r="E9" s="5" t="inlineStr">
        <is>
          <t>03/11/2026</t>
        </is>
      </c>
      <c r="F9" s="5" t="inlineStr">
        <is>
          <t>Blue Cross Blue Shield of Arizona (BCBS AZ)</t>
        </is>
      </c>
      <c r="G9" s="5" t="inlineStr">
        <is>
          <t>Medicare Part B Arizona *</t>
        </is>
      </c>
      <c r="H9" s="5" t="inlineStr">
        <is>
          <t>Blue Cross Blue Shield of Arizona (BCBS AZ)</t>
        </is>
      </c>
      <c r="I9" s="5" t="inlineStr">
        <is>
          <t>99493</t>
        </is>
      </c>
      <c r="J9" s="4">
        <f>IF($K9="","",$K9-TODAY())</f>
        <v/>
      </c>
      <c r="K9" s="6" t="n">
        <v>46457</v>
      </c>
      <c r="L9" s="5" t="inlineStr">
        <is>
          <t>365 days</t>
        </is>
      </c>
      <c r="M9" s="5" t="inlineStr">
        <is>
          <t>MEDICARE</t>
        </is>
      </c>
      <c r="N9" s="5" t="n"/>
      <c r="O9" s="5" t="n"/>
      <c r="P9" s="5" t="n"/>
      <c r="Q9" s="4" t="n">
        <v>1</v>
      </c>
      <c r="R9" s="7" t="n">
        <v>976.64</v>
      </c>
      <c r="S9" s="7" t="n">
        <v>818.47</v>
      </c>
      <c r="T9" s="7" t="n">
        <v>129.76</v>
      </c>
      <c r="U9" s="5" t="inlineStr">
        <is>
          <t>04/29/2026</t>
        </is>
      </c>
      <c r="V9" s="7" t="n">
        <v>28.41</v>
      </c>
      <c r="W9" s="4" t="n">
        <v>150</v>
      </c>
      <c r="X9" s="5" t="inlineStr">
        <is>
          <t>F330</t>
        </is>
      </c>
      <c r="Y9" s="5" t="n"/>
      <c r="Z9" s="5" t="n"/>
      <c r="AA9" s="5" t="n"/>
      <c r="AB9" s="4" t="n">
        <v>559120113</v>
      </c>
      <c r="AC9" s="5" t="inlineStr">
        <is>
          <t>TURLEY, TODD</t>
        </is>
      </c>
      <c r="AD9" s="5" t="inlineStr">
        <is>
          <t>ASAP - DEER VALLEY</t>
        </is>
      </c>
      <c r="AE9" s="5" t="inlineStr">
        <is>
          <t>04/07/2026</t>
        </is>
      </c>
      <c r="AF9" s="5" t="inlineStr">
        <is>
          <t>BH</t>
        </is>
      </c>
      <c r="AG9" s="8" t="n"/>
      <c r="AH9" s="4" t="n">
        <v>4</v>
      </c>
    </row>
    <row r="10">
      <c r="A10" s="2" t="inlineStr">
        <is>
          <t>Finalized</t>
        </is>
      </c>
      <c r="B10" s="3" t="n"/>
      <c r="C10" s="4" t="n">
        <v>552404210</v>
      </c>
      <c r="D10" s="5" t="inlineStr">
        <is>
          <t>HF364689537</t>
        </is>
      </c>
      <c r="E10" s="5" t="inlineStr">
        <is>
          <t>03/11/2026</t>
        </is>
      </c>
      <c r="F10" s="5" t="inlineStr">
        <is>
          <t>Blue Cross Blue Shield of Arizona (BCBS AZ)</t>
        </is>
      </c>
      <c r="G10" s="5" t="inlineStr">
        <is>
          <t>Medicare Part B Arizona *</t>
        </is>
      </c>
      <c r="H10" s="5" t="inlineStr">
        <is>
          <t>Blue Cross Blue Shield of Arizona (BCBS AZ)</t>
        </is>
      </c>
      <c r="I10" s="5" t="inlineStr">
        <is>
          <t>99494</t>
        </is>
      </c>
      <c r="J10" s="4">
        <f>IF($K10="","",$K10-TODAY())</f>
        <v/>
      </c>
      <c r="K10" s="6" t="n">
        <v>46457</v>
      </c>
      <c r="L10" s="5" t="inlineStr">
        <is>
          <t>365 days</t>
        </is>
      </c>
      <c r="M10" s="5" t="inlineStr">
        <is>
          <t>MEDICARE</t>
        </is>
      </c>
      <c r="N10" s="5" t="n"/>
      <c r="O10" s="5" t="n"/>
      <c r="P10" s="5" t="n"/>
      <c r="Q10" s="4" t="n">
        <v>1</v>
      </c>
      <c r="R10" s="7" t="n">
        <v>396.27</v>
      </c>
      <c r="S10" s="7" t="n">
        <v>329.26</v>
      </c>
      <c r="T10" s="7" t="n">
        <v>54.97</v>
      </c>
      <c r="U10" s="5" t="inlineStr">
        <is>
          <t>04/29/2026</t>
        </is>
      </c>
      <c r="V10" s="7" t="n">
        <v>12.04</v>
      </c>
      <c r="W10" s="4" t="n">
        <v>150</v>
      </c>
      <c r="X10" s="5" t="inlineStr">
        <is>
          <t>F330</t>
        </is>
      </c>
      <c r="Y10" s="5" t="n"/>
      <c r="Z10" s="5" t="n"/>
      <c r="AA10" s="5" t="n"/>
      <c r="AB10" s="4" t="n">
        <v>559120113</v>
      </c>
      <c r="AC10" s="5" t="inlineStr">
        <is>
          <t>TURLEY, TODD</t>
        </is>
      </c>
      <c r="AD10" s="5" t="inlineStr">
        <is>
          <t>ASAP - DEER VALLEY</t>
        </is>
      </c>
      <c r="AE10" s="5" t="inlineStr">
        <is>
          <t>04/07/2026</t>
        </is>
      </c>
      <c r="AF10" s="5" t="inlineStr">
        <is>
          <t>BH</t>
        </is>
      </c>
      <c r="AG10" s="8" t="n"/>
      <c r="AH10" s="4" t="n">
        <v>5</v>
      </c>
    </row>
    <row r="11">
      <c r="A11" s="2" t="n"/>
      <c r="B11" s="3" t="n"/>
      <c r="C11" s="4" t="n">
        <v>552644739</v>
      </c>
      <c r="D11" s="5" t="inlineStr">
        <is>
          <t>HF550420682</t>
        </is>
      </c>
      <c r="E11" s="5" t="inlineStr">
        <is>
          <t>03/12/2026</t>
        </is>
      </c>
      <c r="F11" s="5" t="inlineStr">
        <is>
          <t>Medicare Part B Arizona *</t>
        </is>
      </c>
      <c r="G11" s="5" t="inlineStr">
        <is>
          <t>Medicare Part B Arizona *</t>
        </is>
      </c>
      <c r="H11" s="5" t="inlineStr">
        <is>
          <t>AARP United Healthcare</t>
        </is>
      </c>
      <c r="I11" s="5" t="inlineStr">
        <is>
          <t>99492</t>
        </is>
      </c>
      <c r="J11" s="4">
        <f>IF($K11="","",$K11-TODAY())</f>
        <v/>
      </c>
      <c r="K11" s="6" t="n">
        <v>46458</v>
      </c>
      <c r="L11" s="5" t="inlineStr">
        <is>
          <t>365 days</t>
        </is>
      </c>
      <c r="M11" s="5" t="inlineStr">
        <is>
          <t>MEDICARE</t>
        </is>
      </c>
      <c r="N11" s="5" t="n"/>
      <c r="O11" s="5" t="n"/>
      <c r="P11" s="5" t="n"/>
      <c r="Q11" s="4" t="n">
        <v>1</v>
      </c>
      <c r="R11" s="7" t="n">
        <v>1029.98</v>
      </c>
      <c r="S11" s="7" t="n">
        <v>0</v>
      </c>
      <c r="T11" s="7" t="n">
        <v>0</v>
      </c>
      <c r="U11" s="5" t="n"/>
      <c r="V11" s="7" t="n">
        <v>1029.98</v>
      </c>
      <c r="W11" s="4" t="n">
        <v>149</v>
      </c>
      <c r="X11" s="5" t="inlineStr">
        <is>
          <t>F1190</t>
        </is>
      </c>
      <c r="Y11" s="5" t="n"/>
      <c r="Z11" s="5" t="n"/>
      <c r="AA11" s="5" t="n"/>
      <c r="AB11" s="4" t="n"/>
      <c r="AC11" s="5" t="inlineStr">
        <is>
          <t>KRAUSE, JEFFREY</t>
        </is>
      </c>
      <c r="AD11" s="5" t="inlineStr">
        <is>
          <t>ASAP - DEER VALLEY</t>
        </is>
      </c>
      <c r="AE11" s="5" t="inlineStr">
        <is>
          <t>04/07/2026</t>
        </is>
      </c>
      <c r="AF11" s="5" t="inlineStr">
        <is>
          <t>BH</t>
        </is>
      </c>
      <c r="AG11" s="8" t="n"/>
      <c r="AH11" s="4" t="n">
        <v>467</v>
      </c>
    </row>
    <row r="12">
      <c r="A12" s="2" t="n"/>
      <c r="B12" s="3" t="n"/>
      <c r="C12" s="4" t="n">
        <v>552644739</v>
      </c>
      <c r="D12" s="5" t="inlineStr">
        <is>
          <t>HF550420682</t>
        </is>
      </c>
      <c r="E12" s="5" t="inlineStr">
        <is>
          <t>03/12/2026</t>
        </is>
      </c>
      <c r="F12" s="5" t="inlineStr">
        <is>
          <t>Medicare Part B Arizona *</t>
        </is>
      </c>
      <c r="G12" s="5" t="inlineStr">
        <is>
          <t>Medicare Part B Arizona *</t>
        </is>
      </c>
      <c r="H12" s="5" t="inlineStr">
        <is>
          <t>AARP United Healthcare</t>
        </is>
      </c>
      <c r="I12" s="5" t="inlineStr">
        <is>
          <t>99494</t>
        </is>
      </c>
      <c r="J12" s="4">
        <f>IF($K12="","",$K12-TODAY())</f>
        <v/>
      </c>
      <c r="K12" s="6" t="n">
        <v>46458</v>
      </c>
      <c r="L12" s="5" t="inlineStr">
        <is>
          <t>365 days</t>
        </is>
      </c>
      <c r="M12" s="5" t="inlineStr">
        <is>
          <t>MEDICARE</t>
        </is>
      </c>
      <c r="N12" s="5" t="n"/>
      <c r="O12" s="5" t="n"/>
      <c r="P12" s="5" t="n"/>
      <c r="Q12" s="4" t="n">
        <v>1</v>
      </c>
      <c r="R12" s="7" t="n">
        <v>396.27</v>
      </c>
      <c r="S12" s="7" t="n">
        <v>0</v>
      </c>
      <c r="T12" s="7" t="n">
        <v>0</v>
      </c>
      <c r="U12" s="5" t="n"/>
      <c r="V12" s="7" t="n">
        <v>396.27</v>
      </c>
      <c r="W12" s="4" t="n">
        <v>149</v>
      </c>
      <c r="X12" s="5" t="inlineStr">
        <is>
          <t>F1190</t>
        </is>
      </c>
      <c r="Y12" s="5" t="n"/>
      <c r="Z12" s="5" t="n"/>
      <c r="AA12" s="5" t="n"/>
      <c r="AB12" s="4" t="n"/>
      <c r="AC12" s="5" t="inlineStr">
        <is>
          <t>KRAUSE, JEFFREY</t>
        </is>
      </c>
      <c r="AD12" s="5" t="inlineStr">
        <is>
          <t>ASAP - DEER VALLEY</t>
        </is>
      </c>
      <c r="AE12" s="5" t="inlineStr">
        <is>
          <t>04/07/2026</t>
        </is>
      </c>
      <c r="AF12" s="5" t="inlineStr">
        <is>
          <t>BH</t>
        </is>
      </c>
      <c r="AG12" s="8" t="n"/>
      <c r="AH12" s="4" t="n">
        <v>468</v>
      </c>
    </row>
    <row r="13">
      <c r="A13" s="2" t="inlineStr">
        <is>
          <t>Finalized</t>
        </is>
      </c>
      <c r="B13" s="3" t="n"/>
      <c r="C13" s="4" t="n">
        <v>552606577</v>
      </c>
      <c r="D13" s="5" t="inlineStr">
        <is>
          <t>HF544007270</t>
        </is>
      </c>
      <c r="E13" s="5" t="inlineStr">
        <is>
          <t>03/13/2026</t>
        </is>
      </c>
      <c r="F13" s="5" t="inlineStr">
        <is>
          <t>Bankers Life Colonial Penn Life</t>
        </is>
      </c>
      <c r="G13" s="5" t="inlineStr">
        <is>
          <t>Medicare Part B Arizona *</t>
        </is>
      </c>
      <c r="H13" s="5" t="inlineStr">
        <is>
          <t>Bankers Life Colonial Penn Life</t>
        </is>
      </c>
      <c r="I13" s="5" t="inlineStr">
        <is>
          <t>99494</t>
        </is>
      </c>
      <c r="J13" s="4">
        <f>IF($K13="","",$K13-TODAY())</f>
        <v/>
      </c>
      <c r="K13" s="6" t="n">
        <v>46459</v>
      </c>
      <c r="L13" s="5" t="inlineStr">
        <is>
          <t>365 days</t>
        </is>
      </c>
      <c r="M13" s="5" t="inlineStr">
        <is>
          <t>MEDICARE</t>
        </is>
      </c>
      <c r="N13" s="5" t="n"/>
      <c r="O13" s="5" t="n"/>
      <c r="P13" s="5" t="n"/>
      <c r="Q13" s="4" t="n">
        <v>1</v>
      </c>
      <c r="R13" s="7" t="n">
        <v>396.27</v>
      </c>
      <c r="S13" s="7" t="n">
        <v>329.26</v>
      </c>
      <c r="T13" s="7" t="n">
        <v>54.97</v>
      </c>
      <c r="U13" s="5" t="inlineStr">
        <is>
          <t>04/29/2026</t>
        </is>
      </c>
      <c r="V13" s="7" t="n">
        <v>12.04</v>
      </c>
      <c r="W13" s="4" t="n">
        <v>148</v>
      </c>
      <c r="X13" s="5" t="inlineStr">
        <is>
          <t>F39</t>
        </is>
      </c>
      <c r="Y13" s="5" t="n"/>
      <c r="Z13" s="5" t="n"/>
      <c r="AA13" s="5" t="n"/>
      <c r="AB13" s="4" t="n">
        <v>559120100</v>
      </c>
      <c r="AC13" s="5" t="inlineStr">
        <is>
          <t>LEATHEM, JARRETT</t>
        </is>
      </c>
      <c r="AD13" s="5" t="inlineStr">
        <is>
          <t>ASAP - Gilbert</t>
        </is>
      </c>
      <c r="AE13" s="5" t="inlineStr">
        <is>
          <t>04/07/2026</t>
        </is>
      </c>
      <c r="AF13" s="5" t="inlineStr">
        <is>
          <t>BH</t>
        </is>
      </c>
      <c r="AG13" s="8" t="n"/>
      <c r="AH13" s="4" t="n">
        <v>178</v>
      </c>
    </row>
    <row r="14">
      <c r="A14" s="2" t="inlineStr">
        <is>
          <t>Finalized</t>
        </is>
      </c>
      <c r="B14" s="3" t="n"/>
      <c r="C14" s="4" t="n">
        <v>552606577</v>
      </c>
      <c r="D14" s="5" t="inlineStr">
        <is>
          <t>HF544007270</t>
        </is>
      </c>
      <c r="E14" s="5" t="inlineStr">
        <is>
          <t>03/13/2026</t>
        </is>
      </c>
      <c r="F14" s="5" t="inlineStr">
        <is>
          <t>Bankers Life Colonial Penn Life</t>
        </is>
      </c>
      <c r="G14" s="5" t="inlineStr">
        <is>
          <t>Medicare Part B Arizona *</t>
        </is>
      </c>
      <c r="H14" s="5" t="inlineStr">
        <is>
          <t>Bankers Life Colonial Penn Life</t>
        </is>
      </c>
      <c r="I14" s="5" t="inlineStr">
        <is>
          <t>99492</t>
        </is>
      </c>
      <c r="J14" s="4">
        <f>IF($K14="","",$K14-TODAY())</f>
        <v/>
      </c>
      <c r="K14" s="6" t="n">
        <v>46459</v>
      </c>
      <c r="L14" s="5" t="inlineStr">
        <is>
          <t>365 days</t>
        </is>
      </c>
      <c r="M14" s="5" t="inlineStr">
        <is>
          <t>MEDICARE</t>
        </is>
      </c>
      <c r="N14" s="5" t="n"/>
      <c r="O14" s="5" t="n"/>
      <c r="P14" s="5" t="n"/>
      <c r="Q14" s="4" t="n">
        <v>1</v>
      </c>
      <c r="R14" s="7" t="n">
        <v>1029.98</v>
      </c>
      <c r="S14" s="7" t="n">
        <v>855.4299999999999</v>
      </c>
      <c r="T14" s="7" t="n">
        <v>143.2</v>
      </c>
      <c r="U14" s="5" t="inlineStr">
        <is>
          <t>04/29/2026</t>
        </is>
      </c>
      <c r="V14" s="7" t="n">
        <v>31.35</v>
      </c>
      <c r="W14" s="4" t="n">
        <v>148</v>
      </c>
      <c r="X14" s="5" t="inlineStr">
        <is>
          <t>F39</t>
        </is>
      </c>
      <c r="Y14" s="5" t="n"/>
      <c r="Z14" s="5" t="n"/>
      <c r="AA14" s="5" t="n"/>
      <c r="AB14" s="4" t="n">
        <v>559120100</v>
      </c>
      <c r="AC14" s="5" t="inlineStr">
        <is>
          <t>LEATHEM, JARRETT</t>
        </is>
      </c>
      <c r="AD14" s="5" t="inlineStr">
        <is>
          <t>ASAP - Gilbert</t>
        </is>
      </c>
      <c r="AE14" s="5" t="inlineStr">
        <is>
          <t>04/07/2026</t>
        </is>
      </c>
      <c r="AF14" s="5" t="inlineStr">
        <is>
          <t>BH</t>
        </is>
      </c>
      <c r="AG14" s="8" t="n"/>
      <c r="AH14" s="4" t="n">
        <v>179</v>
      </c>
    </row>
    <row r="15">
      <c r="A15" s="2" t="inlineStr">
        <is>
          <t>Finalized</t>
        </is>
      </c>
      <c r="B15" s="3" t="n"/>
      <c r="C15" s="4" t="n">
        <v>552857208</v>
      </c>
      <c r="D15" s="5" t="inlineStr">
        <is>
          <t>HF419012518</t>
        </is>
      </c>
      <c r="E15" s="5" t="inlineStr">
        <is>
          <t>03/13/2026</t>
        </is>
      </c>
      <c r="F15" s="5" t="inlineStr">
        <is>
          <t>ChampVA - HAC</t>
        </is>
      </c>
      <c r="G15" s="5" t="inlineStr">
        <is>
          <t>Medicare Part B Arizona *</t>
        </is>
      </c>
      <c r="H15" s="5" t="inlineStr">
        <is>
          <t>ChampVA - HAC</t>
        </is>
      </c>
      <c r="I15" s="5" t="inlineStr">
        <is>
          <t>99492</t>
        </is>
      </c>
      <c r="J15" s="4">
        <f>IF($K15="","",$K15-TODAY())</f>
        <v/>
      </c>
      <c r="K15" s="6" t="n">
        <v>46459</v>
      </c>
      <c r="L15" s="5" t="inlineStr">
        <is>
          <t>365 days</t>
        </is>
      </c>
      <c r="M15" s="5" t="inlineStr">
        <is>
          <t>MEDICARE</t>
        </is>
      </c>
      <c r="N15" s="5" t="n"/>
      <c r="O15" s="5" t="n"/>
      <c r="P15" s="5" t="n"/>
      <c r="Q15" s="4" t="n">
        <v>1</v>
      </c>
      <c r="R15" s="7" t="n">
        <v>1029.98</v>
      </c>
      <c r="S15" s="7" t="n">
        <v>883.59</v>
      </c>
      <c r="T15" s="7" t="n">
        <v>115.04</v>
      </c>
      <c r="U15" s="5" t="inlineStr">
        <is>
          <t>07/07/2026</t>
        </is>
      </c>
      <c r="V15" s="7" t="n">
        <v>31.35</v>
      </c>
      <c r="W15" s="4" t="n">
        <v>148</v>
      </c>
      <c r="X15" s="5" t="inlineStr">
        <is>
          <t>F4320</t>
        </is>
      </c>
      <c r="Y15" s="5" t="n"/>
      <c r="Z15" s="5" t="n"/>
      <c r="AA15" s="5" t="n"/>
      <c r="AB15" s="4" t="n">
        <v>559120090</v>
      </c>
      <c r="AC15" s="5" t="inlineStr">
        <is>
          <t>O'NEIL, ROY</t>
        </is>
      </c>
      <c r="AD15" s="5" t="inlineStr">
        <is>
          <t>ASAP - DEER VALLEY</t>
        </is>
      </c>
      <c r="AE15" s="5" t="inlineStr">
        <is>
          <t>04/07/2026</t>
        </is>
      </c>
      <c r="AF15" s="5" t="inlineStr">
        <is>
          <t>BH</t>
        </is>
      </c>
      <c r="AG15" s="8" t="n"/>
      <c r="AH15" s="4" t="n">
        <v>77</v>
      </c>
    </row>
    <row r="16">
      <c r="A16" s="2" t="inlineStr">
        <is>
          <t>Finalized</t>
        </is>
      </c>
      <c r="B16" s="3" t="n"/>
      <c r="C16" s="4" t="n">
        <v>552857208</v>
      </c>
      <c r="D16" s="5" t="inlineStr">
        <is>
          <t>HF419012518</t>
        </is>
      </c>
      <c r="E16" s="5" t="inlineStr">
        <is>
          <t>03/13/2026</t>
        </is>
      </c>
      <c r="F16" s="5" t="inlineStr">
        <is>
          <t>ChampVA - HAC</t>
        </is>
      </c>
      <c r="G16" s="5" t="inlineStr">
        <is>
          <t>Medicare Part B Arizona *</t>
        </is>
      </c>
      <c r="H16" s="5" t="inlineStr">
        <is>
          <t>ChampVA - HAC</t>
        </is>
      </c>
      <c r="I16" s="5" t="inlineStr">
        <is>
          <t>99494</t>
        </is>
      </c>
      <c r="J16" s="4">
        <f>IF($K16="","",$K16-TODAY())</f>
        <v/>
      </c>
      <c r="K16" s="6" t="n">
        <v>46459</v>
      </c>
      <c r="L16" s="5" t="inlineStr">
        <is>
          <t>365 days</t>
        </is>
      </c>
      <c r="M16" s="5" t="inlineStr">
        <is>
          <t>MEDICARE</t>
        </is>
      </c>
      <c r="N16" s="5" t="n"/>
      <c r="O16" s="5" t="n"/>
      <c r="P16" s="5" t="n"/>
      <c r="Q16" s="4" t="n">
        <v>1</v>
      </c>
      <c r="R16" s="7" t="n">
        <v>396.27</v>
      </c>
      <c r="S16" s="7" t="n">
        <v>340.07</v>
      </c>
      <c r="T16" s="7" t="n">
        <v>44.16</v>
      </c>
      <c r="U16" s="5" t="inlineStr">
        <is>
          <t>07/07/2026</t>
        </is>
      </c>
      <c r="V16" s="7" t="n">
        <v>12.04</v>
      </c>
      <c r="W16" s="4" t="n">
        <v>148</v>
      </c>
      <c r="X16" s="5" t="inlineStr">
        <is>
          <t>F4320</t>
        </is>
      </c>
      <c r="Y16" s="5" t="n"/>
      <c r="Z16" s="5" t="n"/>
      <c r="AA16" s="5" t="n"/>
      <c r="AB16" s="4" t="n">
        <v>559120090</v>
      </c>
      <c r="AC16" s="5" t="inlineStr">
        <is>
          <t>O'NEIL, ROY</t>
        </is>
      </c>
      <c r="AD16" s="5" t="inlineStr">
        <is>
          <t>ASAP - DEER VALLEY</t>
        </is>
      </c>
      <c r="AE16" s="5" t="inlineStr">
        <is>
          <t>04/07/2026</t>
        </is>
      </c>
      <c r="AF16" s="5" t="inlineStr">
        <is>
          <t>BH</t>
        </is>
      </c>
      <c r="AG16" s="8" t="n"/>
      <c r="AH16" s="4" t="n">
        <v>78</v>
      </c>
    </row>
    <row r="17">
      <c r="A17" s="2" t="inlineStr">
        <is>
          <t>Finalized</t>
        </is>
      </c>
      <c r="B17" s="3" t="n"/>
      <c r="C17" s="4" t="n">
        <v>554160609</v>
      </c>
      <c r="D17" s="5" t="inlineStr">
        <is>
          <t>HF329719904</t>
        </is>
      </c>
      <c r="E17" s="5" t="inlineStr">
        <is>
          <t>03/27/2026</t>
        </is>
      </c>
      <c r="F17" s="5" t="inlineStr">
        <is>
          <t>Mercy Care Health Plan Advantage (AHCCCS)</t>
        </is>
      </c>
      <c r="G17" s="5" t="inlineStr">
        <is>
          <t>Medicare Part B Arizona *</t>
        </is>
      </c>
      <c r="H17" s="5" t="inlineStr">
        <is>
          <t>Mercy Care Health Plan Advantage (AHCCCS)</t>
        </is>
      </c>
      <c r="I17" s="5" t="inlineStr">
        <is>
          <t>99494</t>
        </is>
      </c>
      <c r="J17" s="4">
        <f>IF($K17="","",$K17-TODAY())</f>
        <v/>
      </c>
      <c r="K17" s="6" t="n">
        <v>46473</v>
      </c>
      <c r="L17" s="5" t="inlineStr">
        <is>
          <t>365 days</t>
        </is>
      </c>
      <c r="M17" s="5" t="inlineStr">
        <is>
          <t>MEDICARE</t>
        </is>
      </c>
      <c r="N17" s="5" t="n"/>
      <c r="O17" s="5" t="n"/>
      <c r="P17" s="5" t="n"/>
      <c r="Q17" s="4" t="n">
        <v>1</v>
      </c>
      <c r="R17" s="7" t="n">
        <v>396.27</v>
      </c>
      <c r="S17" s="7" t="n">
        <v>340.19</v>
      </c>
      <c r="T17" s="7" t="n">
        <v>44.04</v>
      </c>
      <c r="U17" s="5" t="inlineStr">
        <is>
          <t>04/22/2026</t>
        </is>
      </c>
      <c r="V17" s="7" t="n">
        <v>12.04</v>
      </c>
      <c r="W17" s="4" t="n">
        <v>134</v>
      </c>
      <c r="X17" s="5" t="inlineStr">
        <is>
          <t>F32A</t>
        </is>
      </c>
      <c r="Y17" s="5" t="n"/>
      <c r="Z17" s="5" t="n"/>
      <c r="AA17" s="5" t="n"/>
      <c r="AB17" s="4" t="n">
        <v>559120425</v>
      </c>
      <c r="AC17" s="5" t="inlineStr">
        <is>
          <t>BURGHER, ABRAM</t>
        </is>
      </c>
      <c r="AD17" s="5" t="inlineStr">
        <is>
          <t>ASAP - DEER VALLEY</t>
        </is>
      </c>
      <c r="AE17" s="5" t="inlineStr">
        <is>
          <t>04/07/2026</t>
        </is>
      </c>
      <c r="AF17" s="5" t="inlineStr">
        <is>
          <t>BH</t>
        </is>
      </c>
      <c r="AG17" s="8" t="n"/>
      <c r="AH17" s="4" t="n">
        <v>79</v>
      </c>
    </row>
    <row r="18">
      <c r="A18" s="2" t="inlineStr">
        <is>
          <t>Finalized</t>
        </is>
      </c>
      <c r="B18" s="3" t="n"/>
      <c r="C18" s="4" t="n">
        <v>554160609</v>
      </c>
      <c r="D18" s="5" t="inlineStr">
        <is>
          <t>HF329719904</t>
        </is>
      </c>
      <c r="E18" s="5" t="inlineStr">
        <is>
          <t>03/27/2026</t>
        </is>
      </c>
      <c r="F18" s="5" t="inlineStr">
        <is>
          <t>Mercy Care Health Plan Advantage (AHCCCS)</t>
        </is>
      </c>
      <c r="G18" s="5" t="inlineStr">
        <is>
          <t>Medicare Part B Arizona *</t>
        </is>
      </c>
      <c r="H18" s="5" t="inlineStr">
        <is>
          <t>Mercy Care Health Plan Advantage (AHCCCS)</t>
        </is>
      </c>
      <c r="I18" s="5" t="inlineStr">
        <is>
          <t>99493</t>
        </is>
      </c>
      <c r="J18" s="4">
        <f>IF($K18="","",$K18-TODAY())</f>
        <v/>
      </c>
      <c r="K18" s="6" t="n">
        <v>46473</v>
      </c>
      <c r="L18" s="5" t="inlineStr">
        <is>
          <t>365 days</t>
        </is>
      </c>
      <c r="M18" s="5" t="inlineStr">
        <is>
          <t>MEDICARE</t>
        </is>
      </c>
      <c r="N18" s="5" t="n"/>
      <c r="O18" s="5" t="n"/>
      <c r="P18" s="5" t="n"/>
      <c r="Q18" s="4" t="n">
        <v>1</v>
      </c>
      <c r="R18" s="7" t="n">
        <v>976.64</v>
      </c>
      <c r="S18" s="7" t="n">
        <v>844.25</v>
      </c>
      <c r="T18" s="7" t="n">
        <v>103.98</v>
      </c>
      <c r="U18" s="5" t="inlineStr">
        <is>
          <t>04/22/2026</t>
        </is>
      </c>
      <c r="V18" s="7" t="n">
        <v>28.41</v>
      </c>
      <c r="W18" s="4" t="n">
        <v>134</v>
      </c>
      <c r="X18" s="5" t="inlineStr">
        <is>
          <t>F32A</t>
        </is>
      </c>
      <c r="Y18" s="5" t="n"/>
      <c r="Z18" s="5" t="n"/>
      <c r="AA18" s="5" t="n"/>
      <c r="AB18" s="4" t="n">
        <v>559120425</v>
      </c>
      <c r="AC18" s="5" t="inlineStr">
        <is>
          <t>BURGHER, ABRAM</t>
        </is>
      </c>
      <c r="AD18" s="5" t="inlineStr">
        <is>
          <t>ASAP - DEER VALLEY</t>
        </is>
      </c>
      <c r="AE18" s="5" t="inlineStr">
        <is>
          <t>04/07/2026</t>
        </is>
      </c>
      <c r="AF18" s="5" t="inlineStr">
        <is>
          <t>BH</t>
        </is>
      </c>
      <c r="AG18" s="8" t="n"/>
      <c r="AH18" s="4" t="n">
        <v>80</v>
      </c>
    </row>
    <row r="19">
      <c r="A19" s="2" t="n"/>
      <c r="B19" s="3" t="n"/>
      <c r="C19" s="4" t="n">
        <v>555138984</v>
      </c>
      <c r="D19" s="5" t="inlineStr">
        <is>
          <t>HF444976688</t>
        </is>
      </c>
      <c r="E19" s="5" t="inlineStr">
        <is>
          <t>03/27/2026</t>
        </is>
      </c>
      <c r="F19" s="5" t="inlineStr">
        <is>
          <t>Medicare Part B Arizona *</t>
        </is>
      </c>
      <c r="G19" s="5" t="inlineStr">
        <is>
          <t>Medicare Part B Arizona *</t>
        </is>
      </c>
      <c r="H19" s="5" t="inlineStr">
        <is>
          <t>Blue Cross Blue Shield of Arizona (BCBS AZ)</t>
        </is>
      </c>
      <c r="I19" s="5" t="inlineStr">
        <is>
          <t>99494</t>
        </is>
      </c>
      <c r="J19" s="4">
        <f>IF($K19="","",$K19-TODAY())</f>
        <v/>
      </c>
      <c r="K19" s="6" t="n">
        <v>46473</v>
      </c>
      <c r="L19" s="5" t="inlineStr">
        <is>
          <t>365 days</t>
        </is>
      </c>
      <c r="M19" s="5" t="inlineStr">
        <is>
          <t>MEDICARE</t>
        </is>
      </c>
      <c r="N19" s="5" t="n"/>
      <c r="O19" s="5" t="n"/>
      <c r="P19" s="5" t="n"/>
      <c r="Q19" s="4" t="n">
        <v>1</v>
      </c>
      <c r="R19" s="7" t="n">
        <v>396.27</v>
      </c>
      <c r="S19" s="7" t="n">
        <v>0</v>
      </c>
      <c r="T19" s="7" t="n">
        <v>0</v>
      </c>
      <c r="U19" s="5" t="n"/>
      <c r="V19" s="7" t="n">
        <v>396.27</v>
      </c>
      <c r="W19" s="4" t="n">
        <v>134</v>
      </c>
      <c r="X19" s="5" t="inlineStr">
        <is>
          <t>F4320</t>
        </is>
      </c>
      <c r="Y19" s="5" t="n"/>
      <c r="Z19" s="5" t="n"/>
      <c r="AA19" s="5" t="n"/>
      <c r="AB19" s="4" t="n"/>
      <c r="AC19" s="5" t="inlineStr">
        <is>
          <t>HUERTA, KARLA</t>
        </is>
      </c>
      <c r="AD19" s="5" t="inlineStr">
        <is>
          <t>ASAP - DEER VALLEY</t>
        </is>
      </c>
      <c r="AE19" s="5" t="inlineStr">
        <is>
          <t>04/07/2026</t>
        </is>
      </c>
      <c r="AF19" s="5" t="inlineStr">
        <is>
          <t>BH</t>
        </is>
      </c>
      <c r="AG19" s="8" t="n"/>
      <c r="AH19" s="4" t="n">
        <v>886</v>
      </c>
    </row>
    <row r="20">
      <c r="A20" s="2" t="n"/>
      <c r="B20" s="3" t="n"/>
      <c r="C20" s="4" t="n">
        <v>555138984</v>
      </c>
      <c r="D20" s="5" t="inlineStr">
        <is>
          <t>HF444976688</t>
        </is>
      </c>
      <c r="E20" s="5" t="inlineStr">
        <is>
          <t>03/27/2026</t>
        </is>
      </c>
      <c r="F20" s="5" t="inlineStr">
        <is>
          <t>Medicare Part B Arizona *</t>
        </is>
      </c>
      <c r="G20" s="5" t="inlineStr">
        <is>
          <t>Medicare Part B Arizona *</t>
        </is>
      </c>
      <c r="H20" s="5" t="inlineStr">
        <is>
          <t>Blue Cross Blue Shield of Arizona (BCBS AZ)</t>
        </is>
      </c>
      <c r="I20" s="5" t="inlineStr">
        <is>
          <t>99493</t>
        </is>
      </c>
      <c r="J20" s="4">
        <f>IF($K20="","",$K20-TODAY())</f>
        <v/>
      </c>
      <c r="K20" s="6" t="n">
        <v>46473</v>
      </c>
      <c r="L20" s="5" t="inlineStr">
        <is>
          <t>365 days</t>
        </is>
      </c>
      <c r="M20" s="5" t="inlineStr">
        <is>
          <t>MEDICARE</t>
        </is>
      </c>
      <c r="N20" s="5" t="n"/>
      <c r="O20" s="5" t="n"/>
      <c r="P20" s="5" t="n"/>
      <c r="Q20" s="4" t="n">
        <v>1</v>
      </c>
      <c r="R20" s="7" t="n">
        <v>976.64</v>
      </c>
      <c r="S20" s="7" t="n">
        <v>0</v>
      </c>
      <c r="T20" s="7" t="n">
        <v>0</v>
      </c>
      <c r="U20" s="5" t="n"/>
      <c r="V20" s="7" t="n">
        <v>976.64</v>
      </c>
      <c r="W20" s="4" t="n">
        <v>134</v>
      </c>
      <c r="X20" s="5" t="inlineStr">
        <is>
          <t>F4320</t>
        </is>
      </c>
      <c r="Y20" s="5" t="n"/>
      <c r="Z20" s="5" t="n"/>
      <c r="AA20" s="5" t="n"/>
      <c r="AB20" s="4" t="n"/>
      <c r="AC20" s="5" t="inlineStr">
        <is>
          <t>HUERTA, KARLA</t>
        </is>
      </c>
      <c r="AD20" s="5" t="inlineStr">
        <is>
          <t>ASAP - DEER VALLEY</t>
        </is>
      </c>
      <c r="AE20" s="5" t="inlineStr">
        <is>
          <t>04/07/2026</t>
        </is>
      </c>
      <c r="AF20" s="5" t="inlineStr">
        <is>
          <t>BH</t>
        </is>
      </c>
      <c r="AG20" s="8" t="n"/>
      <c r="AH20" s="4" t="n">
        <v>887</v>
      </c>
    </row>
    <row r="21">
      <c r="A21" s="2" t="n"/>
      <c r="B21" s="3" t="n"/>
      <c r="C21" s="4" t="n">
        <v>554403926</v>
      </c>
      <c r="D21" s="5" t="inlineStr">
        <is>
          <t>HF550289743</t>
        </is>
      </c>
      <c r="E21" s="5" t="inlineStr">
        <is>
          <t>03/30/2026</t>
        </is>
      </c>
      <c r="F21" s="5" t="inlineStr">
        <is>
          <t>Medicare Part B Arizona *</t>
        </is>
      </c>
      <c r="G21" s="5" t="inlineStr">
        <is>
          <t>Medicare Part B Arizona *</t>
        </is>
      </c>
      <c r="H21" s="5" t="inlineStr">
        <is>
          <t>Banner Medicare Advantage Prime HMO (BMAH)</t>
        </is>
      </c>
      <c r="I21" s="5" t="inlineStr">
        <is>
          <t>99492</t>
        </is>
      </c>
      <c r="J21" s="4">
        <f>IF($K21="","",$K21-TODAY())</f>
        <v/>
      </c>
      <c r="K21" s="6" t="n">
        <v>46476</v>
      </c>
      <c r="L21" s="5" t="inlineStr">
        <is>
          <t>365 days</t>
        </is>
      </c>
      <c r="M21" s="5" t="inlineStr">
        <is>
          <t>MEDICARE</t>
        </is>
      </c>
      <c r="N21" s="5" t="n"/>
      <c r="O21" s="5" t="n"/>
      <c r="P21" s="5" t="n"/>
      <c r="Q21" s="4" t="n">
        <v>1</v>
      </c>
      <c r="R21" s="7" t="n">
        <v>1029.98</v>
      </c>
      <c r="S21" s="7" t="n">
        <v>0</v>
      </c>
      <c r="T21" s="7" t="n">
        <v>0</v>
      </c>
      <c r="U21" s="5" t="inlineStr">
        <is>
          <t>04/13/2026</t>
        </is>
      </c>
      <c r="V21" s="7" t="n">
        <v>1029.98</v>
      </c>
      <c r="W21" s="4" t="n">
        <v>131</v>
      </c>
      <c r="X21" s="5" t="inlineStr">
        <is>
          <t>F1190</t>
        </is>
      </c>
      <c r="Y21" s="5" t="n"/>
      <c r="Z21" s="5" t="n"/>
      <c r="AA21" s="5" t="n"/>
      <c r="AB21" s="4" t="n"/>
      <c r="AC21" s="5" t="inlineStr">
        <is>
          <t>KALLGREN, MARK</t>
        </is>
      </c>
      <c r="AD21" s="5" t="inlineStr">
        <is>
          <t>ASAP Peoria</t>
        </is>
      </c>
      <c r="AE21" s="5" t="inlineStr">
        <is>
          <t>04/07/2026</t>
        </is>
      </c>
      <c r="AF21" s="5" t="inlineStr">
        <is>
          <t>BH</t>
        </is>
      </c>
      <c r="AG21" s="8" t="n"/>
      <c r="AH21" s="4" t="n">
        <v>257</v>
      </c>
    </row>
    <row r="22">
      <c r="A22" s="2" t="n"/>
      <c r="B22" s="3" t="n"/>
      <c r="C22" s="4" t="n">
        <v>554403926</v>
      </c>
      <c r="D22" s="5" t="inlineStr">
        <is>
          <t>HF550289743</t>
        </is>
      </c>
      <c r="E22" s="5" t="inlineStr">
        <is>
          <t>03/30/2026</t>
        </is>
      </c>
      <c r="F22" s="5" t="inlineStr">
        <is>
          <t>Medicare Part B Arizona *</t>
        </is>
      </c>
      <c r="G22" s="5" t="inlineStr">
        <is>
          <t>Medicare Part B Arizona *</t>
        </is>
      </c>
      <c r="H22" s="5" t="inlineStr">
        <is>
          <t>Banner Medicare Advantage Prime HMO (BMAH)</t>
        </is>
      </c>
      <c r="I22" s="5" t="inlineStr">
        <is>
          <t>99494</t>
        </is>
      </c>
      <c r="J22" s="4">
        <f>IF($K22="","",$K22-TODAY())</f>
        <v/>
      </c>
      <c r="K22" s="6" t="n">
        <v>46476</v>
      </c>
      <c r="L22" s="5" t="inlineStr">
        <is>
          <t>365 days</t>
        </is>
      </c>
      <c r="M22" s="5" t="inlineStr">
        <is>
          <t>MEDICARE</t>
        </is>
      </c>
      <c r="N22" s="5" t="n"/>
      <c r="O22" s="5" t="n"/>
      <c r="P22" s="5" t="n"/>
      <c r="Q22" s="4" t="n">
        <v>1</v>
      </c>
      <c r="R22" s="7" t="n">
        <v>396.27</v>
      </c>
      <c r="S22" s="7" t="n">
        <v>0</v>
      </c>
      <c r="T22" s="7" t="n">
        <v>0</v>
      </c>
      <c r="U22" s="5" t="inlineStr">
        <is>
          <t>04/13/2026</t>
        </is>
      </c>
      <c r="V22" s="7" t="n">
        <v>396.27</v>
      </c>
      <c r="W22" s="4" t="n">
        <v>131</v>
      </c>
      <c r="X22" s="5" t="inlineStr">
        <is>
          <t>F1190</t>
        </is>
      </c>
      <c r="Y22" s="5" t="n"/>
      <c r="Z22" s="5" t="n"/>
      <c r="AA22" s="5" t="n"/>
      <c r="AB22" s="4" t="n"/>
      <c r="AC22" s="5" t="inlineStr">
        <is>
          <t>KALLGREN, MARK</t>
        </is>
      </c>
      <c r="AD22" s="5" t="inlineStr">
        <is>
          <t>ASAP Peoria</t>
        </is>
      </c>
      <c r="AE22" s="5" t="inlineStr">
        <is>
          <t>04/07/2026</t>
        </is>
      </c>
      <c r="AF22" s="5" t="inlineStr">
        <is>
          <t>BH</t>
        </is>
      </c>
      <c r="AG22" s="8" t="n"/>
      <c r="AH22" s="4" t="n">
        <v>264</v>
      </c>
    </row>
    <row r="23">
      <c r="A23" s="2" t="n"/>
      <c r="B23" s="3" t="n"/>
      <c r="C23" s="4" t="n">
        <v>566722180</v>
      </c>
      <c r="D23" s="5" t="inlineStr">
        <is>
          <t>HF537685966</t>
        </is>
      </c>
      <c r="E23" s="5" t="inlineStr">
        <is>
          <t>03/04/2026</t>
        </is>
      </c>
      <c r="F23" s="5" t="inlineStr">
        <is>
          <t>Blue Cross Blue Shield of Arizona (BCBS AZ)</t>
        </is>
      </c>
      <c r="G23" s="5" t="inlineStr">
        <is>
          <t>Blue Cross Blue Shield of Arizona (BCBS AZ)</t>
        </is>
      </c>
      <c r="H23" s="5" t="inlineStr">
        <is>
          <t>Medicare Part B Arizona *</t>
        </is>
      </c>
      <c r="I23" s="5" t="inlineStr">
        <is>
          <t>99493</t>
        </is>
      </c>
      <c r="J23" s="4">
        <f>IF($K23="","",$K23-TODAY())</f>
        <v/>
      </c>
      <c r="K23" s="6" t="n">
        <v>46175</v>
      </c>
      <c r="L23" s="5" t="inlineStr">
        <is>
          <t>90 days</t>
        </is>
      </c>
      <c r="M23" s="5" t="inlineStr">
        <is>
          <t>BCBS</t>
        </is>
      </c>
      <c r="N23" s="5" t="n"/>
      <c r="O23" s="5" t="n"/>
      <c r="P23" s="5" t="n"/>
      <c r="Q23" s="4" t="n">
        <v>1</v>
      </c>
      <c r="R23" s="7" t="n">
        <v>976.64</v>
      </c>
      <c r="S23" s="7" t="n">
        <v>0</v>
      </c>
      <c r="T23" s="7" t="n">
        <v>0</v>
      </c>
      <c r="U23" s="5" t="inlineStr">
        <is>
          <t>04/22/2026</t>
        </is>
      </c>
      <c r="V23" s="7" t="n">
        <v>976.64</v>
      </c>
      <c r="W23" s="4" t="n">
        <v>157</v>
      </c>
      <c r="X23" s="5" t="inlineStr">
        <is>
          <t>F330</t>
        </is>
      </c>
      <c r="Y23" s="5" t="n"/>
      <c r="Z23" s="5" t="n"/>
      <c r="AA23" s="5" t="n"/>
      <c r="AB23" s="4" t="n"/>
      <c r="AC23" s="5" t="inlineStr">
        <is>
          <t>BAUGHER, TIMOTHY</t>
        </is>
      </c>
      <c r="AD23" s="5" t="inlineStr">
        <is>
          <t>ASAP - Gilbert</t>
        </is>
      </c>
      <c r="AE23" s="5" t="inlineStr">
        <is>
          <t>04/07/2026</t>
        </is>
      </c>
      <c r="AF23" s="5" t="inlineStr">
        <is>
          <t>BH</t>
        </is>
      </c>
      <c r="AG23" s="8" t="inlineStr">
        <is>
          <t>BCBS AZ dropped from 365 to 90 days on 01/01/2026. All dates of service here are 2026, so 90 days applies.</t>
        </is>
      </c>
      <c r="AH23" s="4" t="n">
        <v>909</v>
      </c>
    </row>
    <row r="24">
      <c r="A24" s="2" t="n"/>
      <c r="B24" s="3" t="n"/>
      <c r="C24" s="4" t="n">
        <v>566722180</v>
      </c>
      <c r="D24" s="5" t="inlineStr">
        <is>
          <t>HF537685966</t>
        </is>
      </c>
      <c r="E24" s="5" t="inlineStr">
        <is>
          <t>03/04/2026</t>
        </is>
      </c>
      <c r="F24" s="5" t="inlineStr">
        <is>
          <t>Blue Cross Blue Shield of Arizona (BCBS AZ)</t>
        </is>
      </c>
      <c r="G24" s="5" t="inlineStr">
        <is>
          <t>Blue Cross Blue Shield of Arizona (BCBS AZ)</t>
        </is>
      </c>
      <c r="H24" s="5" t="inlineStr">
        <is>
          <t>Medicare Part B Arizona *</t>
        </is>
      </c>
      <c r="I24" s="5" t="inlineStr">
        <is>
          <t>99494</t>
        </is>
      </c>
      <c r="J24" s="4">
        <f>IF($K24="","",$K24-TODAY())</f>
        <v/>
      </c>
      <c r="K24" s="6" t="n">
        <v>46175</v>
      </c>
      <c r="L24" s="5" t="inlineStr">
        <is>
          <t>90 days</t>
        </is>
      </c>
      <c r="M24" s="5" t="inlineStr">
        <is>
          <t>BCBS</t>
        </is>
      </c>
      <c r="N24" s="5" t="n"/>
      <c r="O24" s="5" t="n"/>
      <c r="P24" s="5" t="n"/>
      <c r="Q24" s="4" t="n">
        <v>2</v>
      </c>
      <c r="R24" s="7" t="n">
        <v>792.54</v>
      </c>
      <c r="S24" s="7" t="n">
        <v>0</v>
      </c>
      <c r="T24" s="7" t="n">
        <v>0</v>
      </c>
      <c r="U24" s="5" t="inlineStr">
        <is>
          <t>04/22/2026</t>
        </is>
      </c>
      <c r="V24" s="7" t="n">
        <v>792.54</v>
      </c>
      <c r="W24" s="4" t="n">
        <v>157</v>
      </c>
      <c r="X24" s="5" t="inlineStr">
        <is>
          <t>F330</t>
        </is>
      </c>
      <c r="Y24" s="5" t="n"/>
      <c r="Z24" s="5" t="n"/>
      <c r="AA24" s="5" t="n"/>
      <c r="AB24" s="4" t="n"/>
      <c r="AC24" s="5" t="inlineStr">
        <is>
          <t>BAUGHER, TIMOTHY</t>
        </is>
      </c>
      <c r="AD24" s="5" t="inlineStr">
        <is>
          <t>ASAP - Gilbert</t>
        </is>
      </c>
      <c r="AE24" s="5" t="inlineStr">
        <is>
          <t>04/07/2026</t>
        </is>
      </c>
      <c r="AF24" s="5" t="inlineStr">
        <is>
          <t>BH</t>
        </is>
      </c>
      <c r="AG24" s="8" t="inlineStr">
        <is>
          <t>BCBS AZ dropped from 365 to 90 days on 01/01/2026. All dates of service here are 2026, so 90 days applies.</t>
        </is>
      </c>
      <c r="AH24" s="4" t="n">
        <v>910</v>
      </c>
    </row>
    <row r="25">
      <c r="A25" s="2" t="n"/>
      <c r="B25" s="3" t="n"/>
      <c r="C25" s="4" t="n">
        <v>551769931</v>
      </c>
      <c r="D25" s="5" t="inlineStr">
        <is>
          <t>HF372010397</t>
        </is>
      </c>
      <c r="E25" s="5" t="inlineStr">
        <is>
          <t>03/05/2026</t>
        </is>
      </c>
      <c r="F25" s="5" t="inlineStr">
        <is>
          <t>Optum Care Medical Network of Arizona, Utah, &amp; Washington (LifePrint)</t>
        </is>
      </c>
      <c r="G25" s="5" t="inlineStr">
        <is>
          <t>Optum Care Medical Network of Arizona, Utah, &amp; Washington (LifePrint)</t>
        </is>
      </c>
      <c r="H25" s="5" t="inlineStr">
        <is>
          <t>No Payer</t>
        </is>
      </c>
      <c r="I25" s="5" t="inlineStr">
        <is>
          <t>99493</t>
        </is>
      </c>
      <c r="J25" s="4">
        <f>IF($K25="","",$K25-TODAY())</f>
        <v/>
      </c>
      <c r="K25" s="6" t="n">
        <v>46176</v>
      </c>
      <c r="L25" s="5" t="inlineStr">
        <is>
          <t>90 days</t>
        </is>
      </c>
      <c r="M25" s="5" t="inlineStr">
        <is>
          <t>OPTUM</t>
        </is>
      </c>
      <c r="N25" s="5" t="n"/>
      <c r="O25" s="5" t="n"/>
      <c r="P25" s="5" t="n"/>
      <c r="Q25" s="4" t="n">
        <v>1</v>
      </c>
      <c r="R25" s="7" t="n">
        <v>976.64</v>
      </c>
      <c r="S25" s="7" t="n">
        <v>0</v>
      </c>
      <c r="T25" s="7" t="n">
        <v>0</v>
      </c>
      <c r="U25" s="5" t="inlineStr">
        <is>
          <t>04/29/2026</t>
        </is>
      </c>
      <c r="V25" s="7" t="n">
        <v>976.64</v>
      </c>
      <c r="W25" s="4" t="n">
        <v>156</v>
      </c>
      <c r="X25" s="5" t="inlineStr">
        <is>
          <t>F1190</t>
        </is>
      </c>
      <c r="Y25" s="5" t="n"/>
      <c r="Z25" s="5" t="n"/>
      <c r="AA25" s="5" t="n"/>
      <c r="AB25" s="4" t="n"/>
      <c r="AC25" s="5" t="inlineStr">
        <is>
          <t>LEATHEM, JARRETT</t>
        </is>
      </c>
      <c r="AD25" s="5" t="inlineStr">
        <is>
          <t>ASAP - DEER VALLEY</t>
        </is>
      </c>
      <c r="AE25" s="5" t="inlineStr">
        <is>
          <t>04/07/2026</t>
        </is>
      </c>
      <c r="AF25" s="5" t="inlineStr">
        <is>
          <t>BH</t>
        </is>
      </c>
      <c r="AG25" s="8" t="n"/>
      <c r="AH25" s="4" t="n">
        <v>757</v>
      </c>
    </row>
    <row r="26">
      <c r="A26" s="2" t="n"/>
      <c r="B26" s="3" t="n"/>
      <c r="C26" s="4" t="n">
        <v>551769931</v>
      </c>
      <c r="D26" s="5" t="inlineStr">
        <is>
          <t>HF372010397</t>
        </is>
      </c>
      <c r="E26" s="5" t="inlineStr">
        <is>
          <t>03/05/2026</t>
        </is>
      </c>
      <c r="F26" s="5" t="inlineStr">
        <is>
          <t>Optum Care Medical Network of Arizona, Utah, &amp; Washington (LifePrint)</t>
        </is>
      </c>
      <c r="G26" s="5" t="inlineStr">
        <is>
          <t>Optum Care Medical Network of Arizona, Utah, &amp; Washington (LifePrint)</t>
        </is>
      </c>
      <c r="H26" s="5" t="inlineStr">
        <is>
          <t>No Payer</t>
        </is>
      </c>
      <c r="I26" s="5" t="inlineStr">
        <is>
          <t>99494</t>
        </is>
      </c>
      <c r="J26" s="4">
        <f>IF($K26="","",$K26-TODAY())</f>
        <v/>
      </c>
      <c r="K26" s="6" t="n">
        <v>46176</v>
      </c>
      <c r="L26" s="5" t="inlineStr">
        <is>
          <t>90 days</t>
        </is>
      </c>
      <c r="M26" s="5" t="inlineStr">
        <is>
          <t>OPTUM</t>
        </is>
      </c>
      <c r="N26" s="5" t="n"/>
      <c r="O26" s="5" t="n"/>
      <c r="P26" s="5" t="n"/>
      <c r="Q26" s="4" t="n">
        <v>1</v>
      </c>
      <c r="R26" s="7" t="n">
        <v>396.27</v>
      </c>
      <c r="S26" s="7" t="n">
        <v>0</v>
      </c>
      <c r="T26" s="7" t="n">
        <v>0</v>
      </c>
      <c r="U26" s="5" t="inlineStr">
        <is>
          <t>04/29/2026</t>
        </is>
      </c>
      <c r="V26" s="7" t="n">
        <v>396.27</v>
      </c>
      <c r="W26" s="4" t="n">
        <v>156</v>
      </c>
      <c r="X26" s="5" t="inlineStr">
        <is>
          <t>F1190</t>
        </is>
      </c>
      <c r="Y26" s="5" t="n"/>
      <c r="Z26" s="5" t="n"/>
      <c r="AA26" s="5" t="n"/>
      <c r="AB26" s="4" t="n"/>
      <c r="AC26" s="5" t="inlineStr">
        <is>
          <t>LEATHEM, JARRETT</t>
        </is>
      </c>
      <c r="AD26" s="5" t="inlineStr">
        <is>
          <t>ASAP - DEER VALLEY</t>
        </is>
      </c>
      <c r="AE26" s="5" t="inlineStr">
        <is>
          <t>04/07/2026</t>
        </is>
      </c>
      <c r="AF26" s="5" t="inlineStr">
        <is>
          <t>BH</t>
        </is>
      </c>
      <c r="AG26" s="8" t="n"/>
      <c r="AH26" s="4" t="n">
        <v>758</v>
      </c>
    </row>
    <row r="27">
      <c r="A27" s="2" t="inlineStr">
        <is>
          <t>Received</t>
        </is>
      </c>
      <c r="B27" s="3" t="n"/>
      <c r="C27" s="4" t="n">
        <v>551830492</v>
      </c>
      <c r="D27" s="5" t="inlineStr">
        <is>
          <t>HF417864409</t>
        </is>
      </c>
      <c r="E27" s="5" t="inlineStr">
        <is>
          <t>03/06/2026</t>
        </is>
      </c>
      <c r="F27" s="5" t="inlineStr">
        <is>
          <t>UnitedHealthcare Community Plan / Arizona Long Term Care</t>
        </is>
      </c>
      <c r="G27" s="5" t="inlineStr">
        <is>
          <t>United Healthcare</t>
        </is>
      </c>
      <c r="H27" s="5" t="inlineStr">
        <is>
          <t>UnitedHealthcare Community Plan / Arizona Long Term Care</t>
        </is>
      </c>
      <c r="I27" s="5" t="inlineStr">
        <is>
          <t>99492</t>
        </is>
      </c>
      <c r="J27" s="4">
        <f>IF($K27="","",$K27-TODAY())</f>
        <v/>
      </c>
      <c r="K27" s="6" t="n">
        <v>46177</v>
      </c>
      <c r="L27" s="5" t="inlineStr">
        <is>
          <t>90 days</t>
        </is>
      </c>
      <c r="M27" s="5" t="inlineStr">
        <is>
          <t>UHC COMMERCIAL</t>
        </is>
      </c>
      <c r="N27" s="5" t="n"/>
      <c r="O27" s="5" t="n"/>
      <c r="P27" s="5" t="n"/>
      <c r="Q27" s="4" t="n">
        <v>1</v>
      </c>
      <c r="R27" s="7" t="n">
        <v>1029.98</v>
      </c>
      <c r="S27" s="7" t="n">
        <v>886.62</v>
      </c>
      <c r="T27" s="7" t="n">
        <v>250.79</v>
      </c>
      <c r="U27" s="5" t="inlineStr">
        <is>
          <t>06/23/2026</t>
        </is>
      </c>
      <c r="V27" s="7" t="n">
        <v>-107.43</v>
      </c>
      <c r="W27" s="4" t="n">
        <v>155</v>
      </c>
      <c r="X27" s="5" t="inlineStr">
        <is>
          <t>F39</t>
        </is>
      </c>
      <c r="Y27" s="5" t="n"/>
      <c r="Z27" s="5" t="n"/>
      <c r="AA27" s="5" t="n"/>
      <c r="AB27" s="4" t="n">
        <v>560056768</v>
      </c>
      <c r="AC27" s="5" t="inlineStr">
        <is>
          <t>LEATHEM, JARRETT</t>
        </is>
      </c>
      <c r="AD27" s="5" t="inlineStr">
        <is>
          <t>ASAP - Gilbert</t>
        </is>
      </c>
      <c r="AE27" s="5" t="inlineStr">
        <is>
          <t>04/07/2026</t>
        </is>
      </c>
      <c r="AF27" s="5" t="inlineStr">
        <is>
          <t>BH</t>
        </is>
      </c>
      <c r="AG27" s="8" t="n"/>
      <c r="AH27" s="4" t="n">
        <v>261</v>
      </c>
    </row>
    <row r="28">
      <c r="A28" s="2" t="inlineStr">
        <is>
          <t>Received</t>
        </is>
      </c>
      <c r="B28" s="3" t="n"/>
      <c r="C28" s="4" t="n">
        <v>551830492</v>
      </c>
      <c r="D28" s="5" t="inlineStr">
        <is>
          <t>HF417864409</t>
        </is>
      </c>
      <c r="E28" s="5" t="inlineStr">
        <is>
          <t>03/06/2026</t>
        </is>
      </c>
      <c r="F28" s="5" t="inlineStr">
        <is>
          <t>UnitedHealthcare Community Plan / Arizona Long Term Care</t>
        </is>
      </c>
      <c r="G28" s="5" t="inlineStr">
        <is>
          <t>United Healthcare</t>
        </is>
      </c>
      <c r="H28" s="5" t="inlineStr">
        <is>
          <t>UnitedHealthcare Community Plan / Arizona Long Term Care</t>
        </is>
      </c>
      <c r="I28" s="5" t="inlineStr">
        <is>
          <t>99494</t>
        </is>
      </c>
      <c r="J28" s="4">
        <f>IF($K28="","",$K28-TODAY())</f>
        <v/>
      </c>
      <c r="K28" s="6" t="n">
        <v>46177</v>
      </c>
      <c r="L28" s="5" t="inlineStr">
        <is>
          <t>90 days</t>
        </is>
      </c>
      <c r="M28" s="5" t="inlineStr">
        <is>
          <t>UHC COMMERCIAL</t>
        </is>
      </c>
      <c r="N28" s="5" t="n"/>
      <c r="O28" s="5" t="n"/>
      <c r="P28" s="5" t="n"/>
      <c r="Q28" s="4" t="n">
        <v>1</v>
      </c>
      <c r="R28" s="7" t="n">
        <v>396.27</v>
      </c>
      <c r="S28" s="7" t="n">
        <v>337.07</v>
      </c>
      <c r="T28" s="7" t="n">
        <v>104.01</v>
      </c>
      <c r="U28" s="5" t="inlineStr">
        <is>
          <t>06/23/2026</t>
        </is>
      </c>
      <c r="V28" s="7" t="n">
        <v>-44.81</v>
      </c>
      <c r="W28" s="4" t="n">
        <v>155</v>
      </c>
      <c r="X28" s="5" t="inlineStr">
        <is>
          <t>F39</t>
        </is>
      </c>
      <c r="Y28" s="5" t="n"/>
      <c r="Z28" s="5" t="n"/>
      <c r="AA28" s="5" t="n"/>
      <c r="AB28" s="4" t="n">
        <v>560056768</v>
      </c>
      <c r="AC28" s="5" t="inlineStr">
        <is>
          <t>LEATHEM, JARRETT</t>
        </is>
      </c>
      <c r="AD28" s="5" t="inlineStr">
        <is>
          <t>ASAP - Gilbert</t>
        </is>
      </c>
      <c r="AE28" s="5" t="inlineStr">
        <is>
          <t>04/07/2026</t>
        </is>
      </c>
      <c r="AF28" s="5" t="inlineStr">
        <is>
          <t>BH</t>
        </is>
      </c>
      <c r="AG28" s="8" t="n"/>
      <c r="AH28" s="4" t="n">
        <v>262</v>
      </c>
    </row>
    <row r="29">
      <c r="A29" s="2" t="n"/>
      <c r="B29" s="3" t="n"/>
      <c r="C29" s="4" t="n">
        <v>551874008</v>
      </c>
      <c r="D29" s="5" t="inlineStr">
        <is>
          <t>HF515864933</t>
        </is>
      </c>
      <c r="E29" s="5" t="inlineStr">
        <is>
          <t>03/06/2026</t>
        </is>
      </c>
      <c r="F29" s="5" t="inlineStr">
        <is>
          <t>Optum Care Medical Network of Arizona, Utah, &amp; Washington (LifePrint)</t>
        </is>
      </c>
      <c r="G29" s="5" t="inlineStr">
        <is>
          <t>Optum Care Medical Network of Arizona, Utah, &amp; Washington (LifePrint)</t>
        </is>
      </c>
      <c r="H29" s="5" t="inlineStr">
        <is>
          <t>No Payer</t>
        </is>
      </c>
      <c r="I29" s="5" t="inlineStr">
        <is>
          <t>99494</t>
        </is>
      </c>
      <c r="J29" s="4">
        <f>IF($K29="","",$K29-TODAY())</f>
        <v/>
      </c>
      <c r="K29" s="6" t="n">
        <v>46177</v>
      </c>
      <c r="L29" s="5" t="inlineStr">
        <is>
          <t>90 days</t>
        </is>
      </c>
      <c r="M29" s="5" t="inlineStr">
        <is>
          <t>OPTUM</t>
        </is>
      </c>
      <c r="N29" s="5" t="n"/>
      <c r="O29" s="5" t="n"/>
      <c r="P29" s="5" t="n"/>
      <c r="Q29" s="4" t="n">
        <v>1</v>
      </c>
      <c r="R29" s="7" t="n">
        <v>396.27</v>
      </c>
      <c r="S29" s="7" t="n">
        <v>0</v>
      </c>
      <c r="T29" s="7" t="n">
        <v>0</v>
      </c>
      <c r="U29" s="5" t="inlineStr">
        <is>
          <t>04/09/2026</t>
        </is>
      </c>
      <c r="V29" s="7" t="n">
        <v>396.27</v>
      </c>
      <c r="W29" s="4" t="n">
        <v>155</v>
      </c>
      <c r="X29" s="5" t="inlineStr">
        <is>
          <t>F4320</t>
        </is>
      </c>
      <c r="Y29" s="5" t="n"/>
      <c r="Z29" s="5" t="n"/>
      <c r="AA29" s="5" t="n"/>
      <c r="AB29" s="4" t="n"/>
      <c r="AC29" s="5" t="inlineStr">
        <is>
          <t>KRAUSE, JEFFREY</t>
        </is>
      </c>
      <c r="AD29" s="5" t="inlineStr">
        <is>
          <t>ASAP - DEER VALLEY</t>
        </is>
      </c>
      <c r="AE29" s="5" t="inlineStr">
        <is>
          <t>04/07/2026</t>
        </is>
      </c>
      <c r="AF29" s="5" t="inlineStr">
        <is>
          <t>BH</t>
        </is>
      </c>
      <c r="AG29" s="8" t="n"/>
      <c r="AH29" s="4" t="n">
        <v>450</v>
      </c>
    </row>
    <row r="30">
      <c r="A30" s="2" t="n"/>
      <c r="B30" s="3" t="n"/>
      <c r="C30" s="4" t="n">
        <v>551874008</v>
      </c>
      <c r="D30" s="5" t="inlineStr">
        <is>
          <t>HF515864933</t>
        </is>
      </c>
      <c r="E30" s="5" t="inlineStr">
        <is>
          <t>03/06/2026</t>
        </is>
      </c>
      <c r="F30" s="5" t="inlineStr">
        <is>
          <t>Optum Care Medical Network of Arizona, Utah, &amp; Washington (LifePrint)</t>
        </is>
      </c>
      <c r="G30" s="5" t="inlineStr">
        <is>
          <t>Optum Care Medical Network of Arizona, Utah, &amp; Washington (LifePrint)</t>
        </is>
      </c>
      <c r="H30" s="5" t="inlineStr">
        <is>
          <t>No Payer</t>
        </is>
      </c>
      <c r="I30" s="5" t="inlineStr">
        <is>
          <t>99492</t>
        </is>
      </c>
      <c r="J30" s="4">
        <f>IF($K30="","",$K30-TODAY())</f>
        <v/>
      </c>
      <c r="K30" s="6" t="n">
        <v>46177</v>
      </c>
      <c r="L30" s="5" t="inlineStr">
        <is>
          <t>90 days</t>
        </is>
      </c>
      <c r="M30" s="5" t="inlineStr">
        <is>
          <t>OPTUM</t>
        </is>
      </c>
      <c r="N30" s="5" t="n"/>
      <c r="O30" s="5" t="n"/>
      <c r="P30" s="5" t="n"/>
      <c r="Q30" s="4" t="n">
        <v>1</v>
      </c>
      <c r="R30" s="7" t="n">
        <v>1029.98</v>
      </c>
      <c r="S30" s="7" t="n">
        <v>0</v>
      </c>
      <c r="T30" s="7" t="n">
        <v>0</v>
      </c>
      <c r="U30" s="5" t="inlineStr">
        <is>
          <t>04/09/2026</t>
        </is>
      </c>
      <c r="V30" s="7" t="n">
        <v>1029.98</v>
      </c>
      <c r="W30" s="4" t="n">
        <v>155</v>
      </c>
      <c r="X30" s="5" t="inlineStr">
        <is>
          <t>F4320</t>
        </is>
      </c>
      <c r="Y30" s="5" t="n"/>
      <c r="Z30" s="5" t="n"/>
      <c r="AA30" s="5" t="n"/>
      <c r="AB30" s="4" t="n"/>
      <c r="AC30" s="5" t="inlineStr">
        <is>
          <t>KRAUSE, JEFFREY</t>
        </is>
      </c>
      <c r="AD30" s="5" t="inlineStr">
        <is>
          <t>ASAP - DEER VALLEY</t>
        </is>
      </c>
      <c r="AE30" s="5" t="inlineStr">
        <is>
          <t>04/07/2026</t>
        </is>
      </c>
      <c r="AF30" s="5" t="inlineStr">
        <is>
          <t>BH</t>
        </is>
      </c>
      <c r="AG30" s="8" t="n"/>
      <c r="AH30" s="4" t="n">
        <v>451</v>
      </c>
    </row>
    <row r="31">
      <c r="A31" s="2" t="n"/>
      <c r="B31" s="3" t="n"/>
      <c r="C31" s="4" t="n">
        <v>552405449</v>
      </c>
      <c r="D31" s="5" t="inlineStr">
        <is>
          <t>HF509386349</t>
        </is>
      </c>
      <c r="E31" s="5" t="inlineStr">
        <is>
          <t>03/11/2026</t>
        </is>
      </c>
      <c r="F31" s="5" t="inlineStr">
        <is>
          <t>Optum Care Medical Network of Arizona, Utah, &amp; Washington (LifePrint)</t>
        </is>
      </c>
      <c r="G31" s="5" t="inlineStr">
        <is>
          <t>Optum Care Medical Network of Arizona, Utah, &amp; Washington (LifePrint)</t>
        </is>
      </c>
      <c r="H31" s="5" t="inlineStr">
        <is>
          <t>No Payer</t>
        </is>
      </c>
      <c r="I31" s="5" t="inlineStr">
        <is>
          <t>99492</t>
        </is>
      </c>
      <c r="J31" s="4">
        <f>IF($K31="","",$K31-TODAY())</f>
        <v/>
      </c>
      <c r="K31" s="6" t="n">
        <v>46182</v>
      </c>
      <c r="L31" s="5" t="inlineStr">
        <is>
          <t>90 days</t>
        </is>
      </c>
      <c r="M31" s="5" t="inlineStr">
        <is>
          <t>OPTUM</t>
        </is>
      </c>
      <c r="N31" s="5" t="n"/>
      <c r="O31" s="5" t="n"/>
      <c r="P31" s="5" t="n"/>
      <c r="Q31" s="4" t="n">
        <v>1</v>
      </c>
      <c r="R31" s="7" t="n">
        <v>1029.98</v>
      </c>
      <c r="S31" s="7" t="n">
        <v>0</v>
      </c>
      <c r="T31" s="7" t="n">
        <v>0</v>
      </c>
      <c r="U31" s="5" t="inlineStr">
        <is>
          <t>04/09/2026</t>
        </is>
      </c>
      <c r="V31" s="7" t="n">
        <v>1029.98</v>
      </c>
      <c r="W31" s="4" t="n">
        <v>150</v>
      </c>
      <c r="X31" s="5" t="inlineStr">
        <is>
          <t>F1190</t>
        </is>
      </c>
      <c r="Y31" s="5" t="n"/>
      <c r="Z31" s="5" t="n"/>
      <c r="AA31" s="5" t="n"/>
      <c r="AB31" s="4" t="n"/>
      <c r="AC31" s="5" t="inlineStr">
        <is>
          <t>O'NEIL, ROY</t>
        </is>
      </c>
      <c r="AD31" s="5" t="inlineStr">
        <is>
          <t>ASAP - DEER VALLEY</t>
        </is>
      </c>
      <c r="AE31" s="5" t="inlineStr">
        <is>
          <t>04/07/2026</t>
        </is>
      </c>
      <c r="AF31" s="5" t="inlineStr">
        <is>
          <t>BH</t>
        </is>
      </c>
      <c r="AG31" s="8" t="n"/>
      <c r="AH31" s="4" t="n">
        <v>89</v>
      </c>
    </row>
    <row r="32">
      <c r="A32" s="2" t="n"/>
      <c r="B32" s="3" t="n"/>
      <c r="C32" s="4" t="n">
        <v>552405449</v>
      </c>
      <c r="D32" s="5" t="inlineStr">
        <is>
          <t>HF509386349</t>
        </is>
      </c>
      <c r="E32" s="5" t="inlineStr">
        <is>
          <t>03/11/2026</t>
        </is>
      </c>
      <c r="F32" s="5" t="inlineStr">
        <is>
          <t>Optum Care Medical Network of Arizona, Utah, &amp; Washington (LifePrint)</t>
        </is>
      </c>
      <c r="G32" s="5" t="inlineStr">
        <is>
          <t>Optum Care Medical Network of Arizona, Utah, &amp; Washington (LifePrint)</t>
        </is>
      </c>
      <c r="H32" s="5" t="inlineStr">
        <is>
          <t>No Payer</t>
        </is>
      </c>
      <c r="I32" s="5" t="inlineStr">
        <is>
          <t>99494</t>
        </is>
      </c>
      <c r="J32" s="4">
        <f>IF($K32="","",$K32-TODAY())</f>
        <v/>
      </c>
      <c r="K32" s="6" t="n">
        <v>46182</v>
      </c>
      <c r="L32" s="5" t="inlineStr">
        <is>
          <t>90 days</t>
        </is>
      </c>
      <c r="M32" s="5" t="inlineStr">
        <is>
          <t>OPTUM</t>
        </is>
      </c>
      <c r="N32" s="5" t="n"/>
      <c r="O32" s="5" t="n"/>
      <c r="P32" s="5" t="n"/>
      <c r="Q32" s="4" t="n">
        <v>1</v>
      </c>
      <c r="R32" s="7" t="n">
        <v>396.27</v>
      </c>
      <c r="S32" s="7" t="n">
        <v>0</v>
      </c>
      <c r="T32" s="7" t="n">
        <v>0</v>
      </c>
      <c r="U32" s="5" t="inlineStr">
        <is>
          <t>04/09/2026</t>
        </is>
      </c>
      <c r="V32" s="7" t="n">
        <v>396.27</v>
      </c>
      <c r="W32" s="4" t="n">
        <v>150</v>
      </c>
      <c r="X32" s="5" t="inlineStr">
        <is>
          <t>F1190</t>
        </is>
      </c>
      <c r="Y32" s="5" t="n"/>
      <c r="Z32" s="5" t="n"/>
      <c r="AA32" s="5" t="n"/>
      <c r="AB32" s="4" t="n"/>
      <c r="AC32" s="5" t="inlineStr">
        <is>
          <t>O'NEIL, ROY</t>
        </is>
      </c>
      <c r="AD32" s="5" t="inlineStr">
        <is>
          <t>ASAP - DEER VALLEY</t>
        </is>
      </c>
      <c r="AE32" s="5" t="inlineStr">
        <is>
          <t>04/07/2026</t>
        </is>
      </c>
      <c r="AF32" s="5" t="inlineStr">
        <is>
          <t>BH</t>
        </is>
      </c>
      <c r="AG32" s="8" t="n"/>
      <c r="AH32" s="4" t="n">
        <v>90</v>
      </c>
    </row>
    <row r="33">
      <c r="A33" s="2" t="n"/>
      <c r="B33" s="3" t="n"/>
      <c r="C33" s="4" t="n">
        <v>563362999</v>
      </c>
      <c r="D33" s="5" t="inlineStr">
        <is>
          <t>HF499452983</t>
        </is>
      </c>
      <c r="E33" s="5" t="inlineStr">
        <is>
          <t>03/13/2026</t>
        </is>
      </c>
      <c r="F33" s="5" t="inlineStr">
        <is>
          <t>UnitedHealthcare Community Plan / Arizona Long Term Care</t>
        </is>
      </c>
      <c r="G33" s="5" t="inlineStr">
        <is>
          <t>UnitedHealthcare Community Plan / Arizona Long Term Care</t>
        </is>
      </c>
      <c r="H33" s="5" t="inlineStr">
        <is>
          <t>No Payer</t>
        </is>
      </c>
      <c r="I33" s="5" t="inlineStr">
        <is>
          <t>99492</t>
        </is>
      </c>
      <c r="J33" s="4">
        <f>IF($K33="","",$K33-TODAY())</f>
        <v/>
      </c>
      <c r="K33" s="6" t="n">
        <v>46184</v>
      </c>
      <c r="L33" s="5" t="inlineStr">
        <is>
          <t>90 days</t>
        </is>
      </c>
      <c r="M33" s="5" t="inlineStr">
        <is>
          <t>UHC COMMUNITY</t>
        </is>
      </c>
      <c r="N33" s="5" t="inlineStr">
        <is>
          <t>79</t>
        </is>
      </c>
      <c r="O33" s="5" t="n"/>
      <c r="P33" s="5" t="n"/>
      <c r="Q33" s="4" t="n">
        <v>1</v>
      </c>
      <c r="R33" s="7" t="n">
        <v>1029.98</v>
      </c>
      <c r="S33" s="7" t="n">
        <v>0</v>
      </c>
      <c r="T33" s="7" t="n">
        <v>0</v>
      </c>
      <c r="U33" s="5" t="inlineStr">
        <is>
          <t>07/20/2026</t>
        </is>
      </c>
      <c r="V33" s="7" t="n">
        <v>1029.98</v>
      </c>
      <c r="W33" s="4" t="n">
        <v>148</v>
      </c>
      <c r="X33" s="5" t="inlineStr">
        <is>
          <t>F39</t>
        </is>
      </c>
      <c r="Y33" s="5" t="n"/>
      <c r="Z33" s="5" t="n"/>
      <c r="AA33" s="5" t="n"/>
      <c r="AB33" s="4" t="n"/>
      <c r="AC33" s="5" t="inlineStr">
        <is>
          <t>KALLGREN, MARK</t>
        </is>
      </c>
      <c r="AD33" s="5" t="inlineStr">
        <is>
          <t>ASAP - Gilbert</t>
        </is>
      </c>
      <c r="AE33" s="5" t="inlineStr">
        <is>
          <t>04/07/2026</t>
        </is>
      </c>
      <c r="AF33" s="5" t="inlineStr">
        <is>
          <t>BH</t>
        </is>
      </c>
      <c r="AG33" s="8" t="n"/>
      <c r="AH33" s="4" t="n">
        <v>411</v>
      </c>
    </row>
    <row r="34">
      <c r="A34" s="2" t="n"/>
      <c r="B34" s="3" t="n"/>
      <c r="C34" s="4" t="n">
        <v>563362999</v>
      </c>
      <c r="D34" s="5" t="inlineStr">
        <is>
          <t>HF499452983</t>
        </is>
      </c>
      <c r="E34" s="5" t="inlineStr">
        <is>
          <t>03/13/2026</t>
        </is>
      </c>
      <c r="F34" s="5" t="inlineStr">
        <is>
          <t>UnitedHealthcare Community Plan / Arizona Long Term Care</t>
        </is>
      </c>
      <c r="G34" s="5" t="inlineStr">
        <is>
          <t>UnitedHealthcare Community Plan / Arizona Long Term Care</t>
        </is>
      </c>
      <c r="H34" s="5" t="inlineStr">
        <is>
          <t>No Payer</t>
        </is>
      </c>
      <c r="I34" s="5" t="inlineStr">
        <is>
          <t>99494</t>
        </is>
      </c>
      <c r="J34" s="4">
        <f>IF($K34="","",$K34-TODAY())</f>
        <v/>
      </c>
      <c r="K34" s="6" t="n">
        <v>46184</v>
      </c>
      <c r="L34" s="5" t="inlineStr">
        <is>
          <t>90 days</t>
        </is>
      </c>
      <c r="M34" s="5" t="inlineStr">
        <is>
          <t>UHC COMMUNITY</t>
        </is>
      </c>
      <c r="N34" s="5" t="n"/>
      <c r="O34" s="5" t="n"/>
      <c r="P34" s="5" t="n"/>
      <c r="Q34" s="4" t="n">
        <v>1</v>
      </c>
      <c r="R34" s="7" t="n">
        <v>396.27</v>
      </c>
      <c r="S34" s="7" t="n">
        <v>0</v>
      </c>
      <c r="T34" s="7" t="n">
        <v>0</v>
      </c>
      <c r="U34" s="5" t="inlineStr">
        <is>
          <t>07/20/2026</t>
        </is>
      </c>
      <c r="V34" s="7" t="n">
        <v>396.27</v>
      </c>
      <c r="W34" s="4" t="n">
        <v>148</v>
      </c>
      <c r="X34" s="5" t="inlineStr">
        <is>
          <t>F39</t>
        </is>
      </c>
      <c r="Y34" s="5" t="n"/>
      <c r="Z34" s="5" t="n"/>
      <c r="AA34" s="5" t="n"/>
      <c r="AB34" s="4" t="n"/>
      <c r="AC34" s="5" t="inlineStr">
        <is>
          <t>KALLGREN, MARK</t>
        </is>
      </c>
      <c r="AD34" s="5" t="inlineStr">
        <is>
          <t>ASAP - Gilbert</t>
        </is>
      </c>
      <c r="AE34" s="5" t="inlineStr">
        <is>
          <t>04/07/2026</t>
        </is>
      </c>
      <c r="AF34" s="5" t="inlineStr">
        <is>
          <t>BH</t>
        </is>
      </c>
      <c r="AG34" s="8" t="n"/>
      <c r="AH34" s="4" t="n">
        <v>412</v>
      </c>
    </row>
    <row r="35">
      <c r="A35" s="2" t="n"/>
      <c r="B35" s="3" t="n"/>
      <c r="C35" s="4" t="n">
        <v>552859864</v>
      </c>
      <c r="D35" s="5" t="inlineStr">
        <is>
          <t>HF492208813</t>
        </is>
      </c>
      <c r="E35" s="5" t="inlineStr">
        <is>
          <t>03/16/2026</t>
        </is>
      </c>
      <c r="F35" s="5" t="inlineStr">
        <is>
          <t>Blue Cross Blue Shield of Arizona (BCBS AZ)</t>
        </is>
      </c>
      <c r="G35" s="5" t="inlineStr">
        <is>
          <t>Blue Cross Blue Shield of Arizona (BCBS AZ)</t>
        </is>
      </c>
      <c r="H35" s="5" t="inlineStr">
        <is>
          <t>Blue Cross Blue Shield of Arizona (BCBS AZ)</t>
        </is>
      </c>
      <c r="I35" s="5" t="inlineStr">
        <is>
          <t>99494</t>
        </is>
      </c>
      <c r="J35" s="4">
        <f>IF($K35="","",$K35-TODAY())</f>
        <v/>
      </c>
      <c r="K35" s="6" t="n">
        <v>46187</v>
      </c>
      <c r="L35" s="5" t="inlineStr">
        <is>
          <t>90 days</t>
        </is>
      </c>
      <c r="M35" s="5" t="inlineStr">
        <is>
          <t>BCBS</t>
        </is>
      </c>
      <c r="N35" s="5" t="n"/>
      <c r="O35" s="5" t="n"/>
      <c r="P35" s="5" t="n"/>
      <c r="Q35" s="4" t="n">
        <v>1</v>
      </c>
      <c r="R35" s="7" t="n">
        <v>396.27</v>
      </c>
      <c r="S35" s="7" t="n">
        <v>0</v>
      </c>
      <c r="T35" s="7" t="n">
        <v>0</v>
      </c>
      <c r="U35" s="5" t="inlineStr">
        <is>
          <t>04/23/2026</t>
        </is>
      </c>
      <c r="V35" s="7" t="n">
        <v>396.27</v>
      </c>
      <c r="W35" s="4" t="n">
        <v>145</v>
      </c>
      <c r="X35" s="5" t="inlineStr">
        <is>
          <t>F1190</t>
        </is>
      </c>
      <c r="Y35" s="5" t="inlineStr">
        <is>
          <t>F411</t>
        </is>
      </c>
      <c r="Z35" s="5" t="n"/>
      <c r="AA35" s="5" t="n"/>
      <c r="AB35" s="4" t="n"/>
      <c r="AC35" s="5" t="inlineStr">
        <is>
          <t>MEARS, CHAD</t>
        </is>
      </c>
      <c r="AD35" s="5" t="inlineStr">
        <is>
          <t>ASAP Peoria</t>
        </is>
      </c>
      <c r="AE35" s="5" t="inlineStr">
        <is>
          <t>04/07/2026</t>
        </is>
      </c>
      <c r="AF35" s="5" t="inlineStr">
        <is>
          <t>BH</t>
        </is>
      </c>
      <c r="AG35" s="8" t="inlineStr">
        <is>
          <t>BCBS AZ dropped from 365 to 90 days on 01/01/2026. All dates of service here are 2026, so 90 days applies.</t>
        </is>
      </c>
      <c r="AH35" s="4" t="n">
        <v>760</v>
      </c>
    </row>
    <row r="36">
      <c r="A36" s="2" t="n"/>
      <c r="B36" s="3" t="n"/>
      <c r="C36" s="4" t="n">
        <v>552859864</v>
      </c>
      <c r="D36" s="5" t="inlineStr">
        <is>
          <t>HF492208813</t>
        </is>
      </c>
      <c r="E36" s="5" t="inlineStr">
        <is>
          <t>03/16/2026</t>
        </is>
      </c>
      <c r="F36" s="5" t="inlineStr">
        <is>
          <t>Blue Cross Blue Shield of Arizona (BCBS AZ)</t>
        </is>
      </c>
      <c r="G36" s="5" t="inlineStr">
        <is>
          <t>Blue Cross Blue Shield of Arizona (BCBS AZ)</t>
        </is>
      </c>
      <c r="H36" s="5" t="inlineStr">
        <is>
          <t>Blue Cross Blue Shield of Arizona (BCBS AZ)</t>
        </is>
      </c>
      <c r="I36" s="5" t="inlineStr">
        <is>
          <t>99492</t>
        </is>
      </c>
      <c r="J36" s="4">
        <f>IF($K36="","",$K36-TODAY())</f>
        <v/>
      </c>
      <c r="K36" s="6" t="n">
        <v>46187</v>
      </c>
      <c r="L36" s="5" t="inlineStr">
        <is>
          <t>90 days</t>
        </is>
      </c>
      <c r="M36" s="5" t="inlineStr">
        <is>
          <t>BCBS</t>
        </is>
      </c>
      <c r="N36" s="5" t="n"/>
      <c r="O36" s="5" t="n"/>
      <c r="P36" s="5" t="n"/>
      <c r="Q36" s="4" t="n">
        <v>1</v>
      </c>
      <c r="R36" s="7" t="n">
        <v>1029.98</v>
      </c>
      <c r="S36" s="7" t="n">
        <v>0</v>
      </c>
      <c r="T36" s="7" t="n">
        <v>0</v>
      </c>
      <c r="U36" s="5" t="inlineStr">
        <is>
          <t>04/23/2026</t>
        </is>
      </c>
      <c r="V36" s="7" t="n">
        <v>1029.98</v>
      </c>
      <c r="W36" s="4" t="n">
        <v>145</v>
      </c>
      <c r="X36" s="5" t="inlineStr">
        <is>
          <t>F1190</t>
        </is>
      </c>
      <c r="Y36" s="5" t="inlineStr">
        <is>
          <t>F411</t>
        </is>
      </c>
      <c r="Z36" s="5" t="n"/>
      <c r="AA36" s="5" t="n"/>
      <c r="AB36" s="4" t="n"/>
      <c r="AC36" s="5" t="inlineStr">
        <is>
          <t>MEARS, CHAD</t>
        </is>
      </c>
      <c r="AD36" s="5" t="inlineStr">
        <is>
          <t>ASAP Peoria</t>
        </is>
      </c>
      <c r="AE36" s="5" t="inlineStr">
        <is>
          <t>04/07/2026</t>
        </is>
      </c>
      <c r="AF36" s="5" t="inlineStr">
        <is>
          <t>BH</t>
        </is>
      </c>
      <c r="AG36" s="8" t="inlineStr">
        <is>
          <t>BCBS AZ dropped from 365 to 90 days on 01/01/2026. All dates of service here are 2026, so 90 days applies.</t>
        </is>
      </c>
      <c r="AH36" s="4" t="n">
        <v>761</v>
      </c>
    </row>
    <row r="37">
      <c r="A37" s="2" t="n"/>
      <c r="B37" s="3" t="n"/>
      <c r="C37" s="4" t="n">
        <v>553133483</v>
      </c>
      <c r="D37" s="5" t="inlineStr">
        <is>
          <t>HF542079660</t>
        </is>
      </c>
      <c r="E37" s="5" t="inlineStr">
        <is>
          <t>03/18/2026</t>
        </is>
      </c>
      <c r="F37" s="5" t="inlineStr">
        <is>
          <t>United Healthcare</t>
        </is>
      </c>
      <c r="G37" s="5" t="inlineStr">
        <is>
          <t>United Healthcare</t>
        </is>
      </c>
      <c r="H37" s="5" t="inlineStr">
        <is>
          <t>No Payer</t>
        </is>
      </c>
      <c r="I37" s="5" t="inlineStr">
        <is>
          <t>99492</t>
        </is>
      </c>
      <c r="J37" s="4">
        <f>IF($K37="","",$K37-TODAY())</f>
        <v/>
      </c>
      <c r="K37" s="6" t="n">
        <v>46189</v>
      </c>
      <c r="L37" s="5" t="inlineStr">
        <is>
          <t>90 days</t>
        </is>
      </c>
      <c r="M37" s="5" t="inlineStr">
        <is>
          <t>UHC COMMERCIAL</t>
        </is>
      </c>
      <c r="N37" s="5" t="n"/>
      <c r="O37" s="5" t="n"/>
      <c r="P37" s="5" t="n"/>
      <c r="Q37" s="4" t="n">
        <v>1</v>
      </c>
      <c r="R37" s="7" t="n">
        <v>1029.98</v>
      </c>
      <c r="S37" s="7" t="n">
        <v>0</v>
      </c>
      <c r="T37" s="7" t="n">
        <v>0</v>
      </c>
      <c r="U37" s="5" t="inlineStr">
        <is>
          <t>05/19/2026</t>
        </is>
      </c>
      <c r="V37" s="7" t="n">
        <v>1029.98</v>
      </c>
      <c r="W37" s="4" t="n">
        <v>143</v>
      </c>
      <c r="X37" s="5" t="inlineStr">
        <is>
          <t>F39</t>
        </is>
      </c>
      <c r="Y37" s="5" t="n"/>
      <c r="Z37" s="5" t="n"/>
      <c r="AA37" s="5" t="n"/>
      <c r="AB37" s="4" t="n"/>
      <c r="AC37" s="5" t="inlineStr">
        <is>
          <t>O'NEIL, ROY</t>
        </is>
      </c>
      <c r="AD37" s="5" t="inlineStr">
        <is>
          <t>ASAP - Gilbert</t>
        </is>
      </c>
      <c r="AE37" s="5" t="inlineStr">
        <is>
          <t>04/07/2026</t>
        </is>
      </c>
      <c r="AF37" s="5" t="inlineStr">
        <is>
          <t>BH</t>
        </is>
      </c>
      <c r="AG37" s="8" t="n"/>
      <c r="AH37" s="4" t="n">
        <v>91</v>
      </c>
    </row>
    <row r="38">
      <c r="A38" s="2" t="n"/>
      <c r="B38" s="3" t="n"/>
      <c r="C38" s="4" t="n">
        <v>553133483</v>
      </c>
      <c r="D38" s="5" t="inlineStr">
        <is>
          <t>HF542079660</t>
        </is>
      </c>
      <c r="E38" s="5" t="inlineStr">
        <is>
          <t>03/18/2026</t>
        </is>
      </c>
      <c r="F38" s="5" t="inlineStr">
        <is>
          <t>United Healthcare</t>
        </is>
      </c>
      <c r="G38" s="5" t="inlineStr">
        <is>
          <t>United Healthcare</t>
        </is>
      </c>
      <c r="H38" s="5" t="inlineStr">
        <is>
          <t>No Payer</t>
        </is>
      </c>
      <c r="I38" s="5" t="inlineStr">
        <is>
          <t>99494</t>
        </is>
      </c>
      <c r="J38" s="4">
        <f>IF($K38="","",$K38-TODAY())</f>
        <v/>
      </c>
      <c r="K38" s="6" t="n">
        <v>46189</v>
      </c>
      <c r="L38" s="5" t="inlineStr">
        <is>
          <t>90 days</t>
        </is>
      </c>
      <c r="M38" s="5" t="inlineStr">
        <is>
          <t>UHC COMMERCIAL</t>
        </is>
      </c>
      <c r="N38" s="5" t="n"/>
      <c r="O38" s="5" t="n"/>
      <c r="P38" s="5" t="n"/>
      <c r="Q38" s="4" t="n">
        <v>1</v>
      </c>
      <c r="R38" s="7" t="n">
        <v>396.27</v>
      </c>
      <c r="S38" s="7" t="n">
        <v>0</v>
      </c>
      <c r="T38" s="7" t="n">
        <v>0</v>
      </c>
      <c r="U38" s="5" t="inlineStr">
        <is>
          <t>05/19/2026</t>
        </is>
      </c>
      <c r="V38" s="7" t="n">
        <v>396.27</v>
      </c>
      <c r="W38" s="4" t="n">
        <v>143</v>
      </c>
      <c r="X38" s="5" t="inlineStr">
        <is>
          <t>F39</t>
        </is>
      </c>
      <c r="Y38" s="5" t="n"/>
      <c r="Z38" s="5" t="n"/>
      <c r="AA38" s="5" t="n"/>
      <c r="AB38" s="4" t="n"/>
      <c r="AC38" s="5" t="inlineStr">
        <is>
          <t>O'NEIL, ROY</t>
        </is>
      </c>
      <c r="AD38" s="5" t="inlineStr">
        <is>
          <t>ASAP - Gilbert</t>
        </is>
      </c>
      <c r="AE38" s="5" t="inlineStr">
        <is>
          <t>04/07/2026</t>
        </is>
      </c>
      <c r="AF38" s="5" t="inlineStr">
        <is>
          <t>BH</t>
        </is>
      </c>
      <c r="AG38" s="8" t="n"/>
      <c r="AH38" s="4" t="n">
        <v>92</v>
      </c>
    </row>
    <row r="39">
      <c r="A39" s="2" t="n"/>
      <c r="B39" s="3" t="n"/>
      <c r="C39" s="4" t="n">
        <v>553148506</v>
      </c>
      <c r="D39" s="5" t="inlineStr">
        <is>
          <t>HF341023592</t>
        </is>
      </c>
      <c r="E39" s="5" t="inlineStr">
        <is>
          <t>03/18/2026</t>
        </is>
      </c>
      <c r="F39" s="5" t="inlineStr">
        <is>
          <t>Optum Care Medical Network of Arizona, Utah, &amp; Washington (LifePrint)</t>
        </is>
      </c>
      <c r="G39" s="5" t="inlineStr">
        <is>
          <t>Optum Care Medical Network of Arizona, Utah, &amp; Washington (LifePrint)</t>
        </is>
      </c>
      <c r="H39" s="5" t="inlineStr">
        <is>
          <t>No Payer</t>
        </is>
      </c>
      <c r="I39" s="5" t="inlineStr">
        <is>
          <t>99493</t>
        </is>
      </c>
      <c r="J39" s="4">
        <f>IF($K39="","",$K39-TODAY())</f>
        <v/>
      </c>
      <c r="K39" s="6" t="n">
        <v>46189</v>
      </c>
      <c r="L39" s="5" t="inlineStr">
        <is>
          <t>90 days</t>
        </is>
      </c>
      <c r="M39" s="5" t="inlineStr">
        <is>
          <t>OPTUM</t>
        </is>
      </c>
      <c r="N39" s="5" t="n"/>
      <c r="O39" s="5" t="n"/>
      <c r="P39" s="5" t="n"/>
      <c r="Q39" s="4" t="n">
        <v>1</v>
      </c>
      <c r="R39" s="7" t="n">
        <v>976.64</v>
      </c>
      <c r="S39" s="7" t="n">
        <v>0</v>
      </c>
      <c r="T39" s="7" t="n">
        <v>0</v>
      </c>
      <c r="U39" s="5" t="inlineStr">
        <is>
          <t>05/25/2026</t>
        </is>
      </c>
      <c r="V39" s="7" t="n">
        <v>976.64</v>
      </c>
      <c r="W39" s="4" t="n">
        <v>143</v>
      </c>
      <c r="X39" s="5" t="inlineStr">
        <is>
          <t>F331</t>
        </is>
      </c>
      <c r="Y39" s="5" t="inlineStr">
        <is>
          <t>F411</t>
        </is>
      </c>
      <c r="Z39" s="5" t="n"/>
      <c r="AA39" s="5" t="n"/>
      <c r="AB39" s="4" t="n"/>
      <c r="AC39" s="5" t="inlineStr">
        <is>
          <t>TURLEY, TODD</t>
        </is>
      </c>
      <c r="AD39" s="5" t="inlineStr">
        <is>
          <t>ASAP - Gilbert</t>
        </is>
      </c>
      <c r="AE39" s="5" t="inlineStr">
        <is>
          <t>05/11/2026</t>
        </is>
      </c>
      <c r="AF39" s="5" t="inlineStr">
        <is>
          <t>BH</t>
        </is>
      </c>
      <c r="AG39" s="8" t="n"/>
      <c r="AH39" s="4" t="n">
        <v>45</v>
      </c>
    </row>
    <row r="40">
      <c r="A40" s="2" t="n"/>
      <c r="B40" s="3" t="n"/>
      <c r="C40" s="4" t="n">
        <v>553148506</v>
      </c>
      <c r="D40" s="5" t="inlineStr">
        <is>
          <t>HF341023592</t>
        </is>
      </c>
      <c r="E40" s="5" t="inlineStr">
        <is>
          <t>03/18/2026</t>
        </is>
      </c>
      <c r="F40" s="5" t="inlineStr">
        <is>
          <t>Optum Care Medical Network of Arizona, Utah, &amp; Washington (LifePrint)</t>
        </is>
      </c>
      <c r="G40" s="5" t="inlineStr">
        <is>
          <t>Optum Care Medical Network of Arizona, Utah, &amp; Washington (LifePrint)</t>
        </is>
      </c>
      <c r="H40" s="5" t="inlineStr">
        <is>
          <t>No Payer</t>
        </is>
      </c>
      <c r="I40" s="5" t="inlineStr">
        <is>
          <t>99494</t>
        </is>
      </c>
      <c r="J40" s="4">
        <f>IF($K40="","",$K40-TODAY())</f>
        <v/>
      </c>
      <c r="K40" s="6" t="n">
        <v>46189</v>
      </c>
      <c r="L40" s="5" t="inlineStr">
        <is>
          <t>90 days</t>
        </is>
      </c>
      <c r="M40" s="5" t="inlineStr">
        <is>
          <t>OPTUM</t>
        </is>
      </c>
      <c r="N40" s="5" t="n"/>
      <c r="O40" s="5" t="n"/>
      <c r="P40" s="5" t="n"/>
      <c r="Q40" s="4" t="n">
        <v>1</v>
      </c>
      <c r="R40" s="7" t="n">
        <v>396.27</v>
      </c>
      <c r="S40" s="7" t="n">
        <v>0</v>
      </c>
      <c r="T40" s="7" t="n">
        <v>0</v>
      </c>
      <c r="U40" s="5" t="inlineStr">
        <is>
          <t>05/25/2026</t>
        </is>
      </c>
      <c r="V40" s="7" t="n">
        <v>396.27</v>
      </c>
      <c r="W40" s="4" t="n">
        <v>143</v>
      </c>
      <c r="X40" s="5" t="inlineStr">
        <is>
          <t>F331</t>
        </is>
      </c>
      <c r="Y40" s="5" t="inlineStr">
        <is>
          <t>F411</t>
        </is>
      </c>
      <c r="Z40" s="5" t="n"/>
      <c r="AA40" s="5" t="n"/>
      <c r="AB40" s="4" t="n"/>
      <c r="AC40" s="5" t="inlineStr">
        <is>
          <t>TURLEY, TODD</t>
        </is>
      </c>
      <c r="AD40" s="5" t="inlineStr">
        <is>
          <t>ASAP - Gilbert</t>
        </is>
      </c>
      <c r="AE40" s="5" t="inlineStr">
        <is>
          <t>05/11/2026</t>
        </is>
      </c>
      <c r="AF40" s="5" t="inlineStr">
        <is>
          <t>BH</t>
        </is>
      </c>
      <c r="AG40" s="8" t="n"/>
      <c r="AH40" s="4" t="n">
        <v>46</v>
      </c>
    </row>
    <row r="41">
      <c r="A41" s="2" t="inlineStr">
        <is>
          <t>Received</t>
        </is>
      </c>
      <c r="B41" s="3" t="n"/>
      <c r="C41" s="4" t="n">
        <v>553362911</v>
      </c>
      <c r="D41" s="5" t="inlineStr">
        <is>
          <t>HF550612373</t>
        </is>
      </c>
      <c r="E41" s="5" t="inlineStr">
        <is>
          <t>03/20/2026</t>
        </is>
      </c>
      <c r="F41" s="5" t="inlineStr">
        <is>
          <t>Optum Care Medical Network of Arizona, Utah, &amp; Washington (LifePrint)</t>
        </is>
      </c>
      <c r="G41" s="5" t="inlineStr">
        <is>
          <t>Optum Care Medical Network of Arizona, Utah, &amp; Washington (LifePrint)</t>
        </is>
      </c>
      <c r="H41" s="5" t="inlineStr">
        <is>
          <t>No Payer</t>
        </is>
      </c>
      <c r="I41" s="5" t="inlineStr">
        <is>
          <t>99492</t>
        </is>
      </c>
      <c r="J41" s="4">
        <f>IF($K41="","",$K41-TODAY())</f>
        <v/>
      </c>
      <c r="K41" s="6" t="n">
        <v>46191</v>
      </c>
      <c r="L41" s="5" t="inlineStr">
        <is>
          <t>90 days</t>
        </is>
      </c>
      <c r="M41" s="5" t="inlineStr">
        <is>
          <t>OPTUM</t>
        </is>
      </c>
      <c r="N41" s="5" t="n"/>
      <c r="O41" s="5" t="n"/>
      <c r="P41" s="5" t="n"/>
      <c r="Q41" s="4" t="n">
        <v>1</v>
      </c>
      <c r="R41" s="7" t="n">
        <v>1029.98</v>
      </c>
      <c r="S41" s="7" t="n">
        <v>899.4</v>
      </c>
      <c r="T41" s="7" t="n">
        <v>261.16</v>
      </c>
      <c r="U41" s="5" t="inlineStr">
        <is>
          <t>06/12/2026</t>
        </is>
      </c>
      <c r="V41" s="7" t="n">
        <v>-130.58</v>
      </c>
      <c r="W41" s="4" t="n">
        <v>141</v>
      </c>
      <c r="X41" s="5" t="inlineStr">
        <is>
          <t>F4320</t>
        </is>
      </c>
      <c r="Y41" s="5" t="n"/>
      <c r="Z41" s="5" t="n"/>
      <c r="AA41" s="5" t="n"/>
      <c r="AB41" s="4" t="n"/>
      <c r="AC41" s="5" t="inlineStr">
        <is>
          <t>MEARS, CHAD</t>
        </is>
      </c>
      <c r="AD41" s="5" t="inlineStr">
        <is>
          <t>ASAP - DEER VALLEY</t>
        </is>
      </c>
      <c r="AE41" s="5" t="inlineStr">
        <is>
          <t>04/07/2026</t>
        </is>
      </c>
      <c r="AF41" s="5" t="inlineStr">
        <is>
          <t>BH</t>
        </is>
      </c>
      <c r="AG41" s="8" t="n"/>
      <c r="AH41" s="4" t="n">
        <v>656</v>
      </c>
    </row>
    <row r="42">
      <c r="A42" s="2" t="inlineStr">
        <is>
          <t>Received</t>
        </is>
      </c>
      <c r="B42" s="3" t="n"/>
      <c r="C42" s="4" t="n">
        <v>553362911</v>
      </c>
      <c r="D42" s="5" t="inlineStr">
        <is>
          <t>HF550612373</t>
        </is>
      </c>
      <c r="E42" s="5" t="inlineStr">
        <is>
          <t>03/20/2026</t>
        </is>
      </c>
      <c r="F42" s="5" t="inlineStr">
        <is>
          <t>Optum Care Medical Network of Arizona, Utah, &amp; Washington (LifePrint)</t>
        </is>
      </c>
      <c r="G42" s="5" t="inlineStr">
        <is>
          <t>Optum Care Medical Network of Arizona, Utah, &amp; Washington (LifePrint)</t>
        </is>
      </c>
      <c r="H42" s="5" t="inlineStr">
        <is>
          <t>No Payer</t>
        </is>
      </c>
      <c r="I42" s="5" t="inlineStr">
        <is>
          <t>99494</t>
        </is>
      </c>
      <c r="J42" s="4">
        <f>IF($K42="","",$K42-TODAY())</f>
        <v/>
      </c>
      <c r="K42" s="6" t="n">
        <v>46191</v>
      </c>
      <c r="L42" s="5" t="inlineStr">
        <is>
          <t>90 days</t>
        </is>
      </c>
      <c r="M42" s="5" t="inlineStr">
        <is>
          <t>OPTUM</t>
        </is>
      </c>
      <c r="N42" s="5" t="n"/>
      <c r="O42" s="5" t="n"/>
      <c r="P42" s="5" t="n"/>
      <c r="Q42" s="4" t="n">
        <v>1</v>
      </c>
      <c r="R42" s="7" t="n">
        <v>396.27</v>
      </c>
      <c r="S42" s="7" t="n">
        <v>346.14</v>
      </c>
      <c r="T42" s="7" t="n">
        <v>100.26</v>
      </c>
      <c r="U42" s="5" t="inlineStr">
        <is>
          <t>06/12/2026</t>
        </is>
      </c>
      <c r="V42" s="7" t="n">
        <v>-50.13</v>
      </c>
      <c r="W42" s="4" t="n">
        <v>141</v>
      </c>
      <c r="X42" s="5" t="inlineStr">
        <is>
          <t>F4320</t>
        </is>
      </c>
      <c r="Y42" s="5" t="n"/>
      <c r="Z42" s="5" t="n"/>
      <c r="AA42" s="5" t="n"/>
      <c r="AB42" s="4" t="n"/>
      <c r="AC42" s="5" t="inlineStr">
        <is>
          <t>MEARS, CHAD</t>
        </is>
      </c>
      <c r="AD42" s="5" t="inlineStr">
        <is>
          <t>ASAP - DEER VALLEY</t>
        </is>
      </c>
      <c r="AE42" s="5" t="inlineStr">
        <is>
          <t>04/07/2026</t>
        </is>
      </c>
      <c r="AF42" s="5" t="inlineStr">
        <is>
          <t>BH</t>
        </is>
      </c>
      <c r="AG42" s="8" t="n"/>
      <c r="AH42" s="4" t="n">
        <v>657</v>
      </c>
    </row>
    <row r="43">
      <c r="A43" s="2" t="n"/>
      <c r="B43" s="3" t="n"/>
      <c r="C43" s="4" t="n">
        <v>553498942</v>
      </c>
      <c r="D43" s="5" t="inlineStr">
        <is>
          <t>HF549281205</t>
        </is>
      </c>
      <c r="E43" s="5" t="inlineStr">
        <is>
          <t>03/20/2026</t>
        </is>
      </c>
      <c r="F43" s="5" t="inlineStr">
        <is>
          <t>Blue Cross Blue Shield of Arizona (BCBS AZ)</t>
        </is>
      </c>
      <c r="G43" s="5" t="inlineStr">
        <is>
          <t>Blue Cross Blue Shield of Arizona (BCBS AZ)</t>
        </is>
      </c>
      <c r="H43" s="5" t="inlineStr">
        <is>
          <t>No Payer</t>
        </is>
      </c>
      <c r="I43" s="5" t="inlineStr">
        <is>
          <t>99494</t>
        </is>
      </c>
      <c r="J43" s="4">
        <f>IF($K43="","",$K43-TODAY())</f>
        <v/>
      </c>
      <c r="K43" s="6" t="n">
        <v>46191</v>
      </c>
      <c r="L43" s="5" t="inlineStr">
        <is>
          <t>90 days</t>
        </is>
      </c>
      <c r="M43" s="5" t="inlineStr">
        <is>
          <t>BCBS</t>
        </is>
      </c>
      <c r="N43" s="5" t="n"/>
      <c r="O43" s="5" t="n"/>
      <c r="P43" s="5" t="n"/>
      <c r="Q43" s="4" t="n">
        <v>1</v>
      </c>
      <c r="R43" s="7" t="n">
        <v>396.27</v>
      </c>
      <c r="S43" s="7" t="n">
        <v>0</v>
      </c>
      <c r="T43" s="7" t="n">
        <v>0</v>
      </c>
      <c r="U43" s="5" t="inlineStr">
        <is>
          <t>04/12/2026</t>
        </is>
      </c>
      <c r="V43" s="7" t="n">
        <v>396.27</v>
      </c>
      <c r="W43" s="4" t="n">
        <v>141</v>
      </c>
      <c r="X43" s="5" t="inlineStr">
        <is>
          <t>F4320</t>
        </is>
      </c>
      <c r="Y43" s="5" t="n"/>
      <c r="Z43" s="5" t="n"/>
      <c r="AA43" s="5" t="n"/>
      <c r="AB43" s="4" t="n"/>
      <c r="AC43" s="5" t="inlineStr">
        <is>
          <t>MORALES, DAVID</t>
        </is>
      </c>
      <c r="AD43" s="5" t="inlineStr">
        <is>
          <t>ASAP - DEER VALLEY</t>
        </is>
      </c>
      <c r="AE43" s="5" t="inlineStr">
        <is>
          <t>04/07/2026</t>
        </is>
      </c>
      <c r="AF43" s="5" t="inlineStr">
        <is>
          <t>BH</t>
        </is>
      </c>
      <c r="AG43" s="8" t="inlineStr">
        <is>
          <t>BCBS AZ dropped from 365 to 90 days on 01/01/2026. All dates of service here are 2026, so 90 days applies.</t>
        </is>
      </c>
      <c r="AH43" s="4" t="n">
        <v>93</v>
      </c>
    </row>
    <row r="44">
      <c r="A44" s="2" t="n"/>
      <c r="B44" s="3" t="n"/>
      <c r="C44" s="4" t="n">
        <v>553498942</v>
      </c>
      <c r="D44" s="5" t="inlineStr">
        <is>
          <t>HF549281205</t>
        </is>
      </c>
      <c r="E44" s="5" t="inlineStr">
        <is>
          <t>03/20/2026</t>
        </is>
      </c>
      <c r="F44" s="5" t="inlineStr">
        <is>
          <t>Blue Cross Blue Shield of Arizona (BCBS AZ)</t>
        </is>
      </c>
      <c r="G44" s="5" t="inlineStr">
        <is>
          <t>Blue Cross Blue Shield of Arizona (BCBS AZ)</t>
        </is>
      </c>
      <c r="H44" s="5" t="inlineStr">
        <is>
          <t>No Payer</t>
        </is>
      </c>
      <c r="I44" s="5" t="inlineStr">
        <is>
          <t>99492</t>
        </is>
      </c>
      <c r="J44" s="4">
        <f>IF($K44="","",$K44-TODAY())</f>
        <v/>
      </c>
      <c r="K44" s="6" t="n">
        <v>46191</v>
      </c>
      <c r="L44" s="5" t="inlineStr">
        <is>
          <t>90 days</t>
        </is>
      </c>
      <c r="M44" s="5" t="inlineStr">
        <is>
          <t>BCBS</t>
        </is>
      </c>
      <c r="N44" s="5" t="n"/>
      <c r="O44" s="5" t="n"/>
      <c r="P44" s="5" t="n"/>
      <c r="Q44" s="4" t="n">
        <v>1</v>
      </c>
      <c r="R44" s="7" t="n">
        <v>1029.98</v>
      </c>
      <c r="S44" s="7" t="n">
        <v>0</v>
      </c>
      <c r="T44" s="7" t="n">
        <v>0</v>
      </c>
      <c r="U44" s="5" t="inlineStr">
        <is>
          <t>04/12/2026</t>
        </is>
      </c>
      <c r="V44" s="7" t="n">
        <v>1029.98</v>
      </c>
      <c r="W44" s="4" t="n">
        <v>141</v>
      </c>
      <c r="X44" s="5" t="inlineStr">
        <is>
          <t>F4320</t>
        </is>
      </c>
      <c r="Y44" s="5" t="n"/>
      <c r="Z44" s="5" t="n"/>
      <c r="AA44" s="5" t="n"/>
      <c r="AB44" s="4" t="n"/>
      <c r="AC44" s="5" t="inlineStr">
        <is>
          <t>MORALES, DAVID</t>
        </is>
      </c>
      <c r="AD44" s="5" t="inlineStr">
        <is>
          <t>ASAP - DEER VALLEY</t>
        </is>
      </c>
      <c r="AE44" s="5" t="inlineStr">
        <is>
          <t>04/07/2026</t>
        </is>
      </c>
      <c r="AF44" s="5" t="inlineStr">
        <is>
          <t>BH</t>
        </is>
      </c>
      <c r="AG44" s="8" t="inlineStr">
        <is>
          <t>BCBS AZ dropped from 365 to 90 days on 01/01/2026. All dates of service here are 2026, so 90 days applies.</t>
        </is>
      </c>
      <c r="AH44" s="4" t="n">
        <v>94</v>
      </c>
    </row>
    <row r="45">
      <c r="A45" s="2" t="n"/>
      <c r="B45" s="3" t="n"/>
      <c r="C45" s="4" t="n">
        <v>555169750</v>
      </c>
      <c r="D45" s="5" t="inlineStr">
        <is>
          <t>HF341023592</t>
        </is>
      </c>
      <c r="E45" s="5" t="inlineStr">
        <is>
          <t>03/23/2026</t>
        </is>
      </c>
      <c r="F45" s="5" t="inlineStr">
        <is>
          <t>Optum Care Medical Network of Arizona, Utah, &amp; Washington (LifePrint)</t>
        </is>
      </c>
      <c r="G45" s="5" t="inlineStr">
        <is>
          <t>Optum Care Medical Network of Arizona, Utah, &amp; Washington (LifePrint)</t>
        </is>
      </c>
      <c r="H45" s="5" t="inlineStr">
        <is>
          <t>No Payer</t>
        </is>
      </c>
      <c r="I45" s="5" t="inlineStr">
        <is>
          <t>99494</t>
        </is>
      </c>
      <c r="J45" s="4">
        <f>IF($K45="","",$K45-TODAY())</f>
        <v/>
      </c>
      <c r="K45" s="6" t="n">
        <v>46194</v>
      </c>
      <c r="L45" s="5" t="inlineStr">
        <is>
          <t>90 days</t>
        </is>
      </c>
      <c r="M45" s="5" t="inlineStr">
        <is>
          <t>OPTUM</t>
        </is>
      </c>
      <c r="N45" s="5" t="n"/>
      <c r="O45" s="5" t="n"/>
      <c r="P45" s="5" t="n"/>
      <c r="Q45" s="4" t="n">
        <v>1</v>
      </c>
      <c r="R45" s="7" t="n">
        <v>396.27</v>
      </c>
      <c r="S45" s="7" t="n">
        <v>0</v>
      </c>
      <c r="T45" s="7" t="n">
        <v>0</v>
      </c>
      <c r="U45" s="5" t="inlineStr">
        <is>
          <t>04/29/2026</t>
        </is>
      </c>
      <c r="V45" s="7" t="n">
        <v>396.27</v>
      </c>
      <c r="W45" s="4" t="n">
        <v>138</v>
      </c>
      <c r="X45" s="5" t="inlineStr">
        <is>
          <t>M5417</t>
        </is>
      </c>
      <c r="Y45" s="5" t="inlineStr">
        <is>
          <t>Z79891</t>
        </is>
      </c>
      <c r="Z45" s="5" t="n"/>
      <c r="AA45" s="5" t="n"/>
      <c r="AB45" s="4" t="n"/>
      <c r="AC45" s="5" t="inlineStr">
        <is>
          <t>TURLEY, TODD</t>
        </is>
      </c>
      <c r="AD45" s="5" t="inlineStr">
        <is>
          <t>ASAP - Biltmore</t>
        </is>
      </c>
      <c r="AE45" s="5" t="inlineStr">
        <is>
          <t>03/24/2026</t>
        </is>
      </c>
      <c r="AF45" s="5" t="inlineStr">
        <is>
          <t>BH</t>
        </is>
      </c>
      <c r="AG45" s="8" t="n"/>
      <c r="AH45" s="4" t="n">
        <v>428</v>
      </c>
    </row>
    <row r="46">
      <c r="A46" s="2" t="inlineStr">
        <is>
          <t>Finalized</t>
        </is>
      </c>
      <c r="B46" s="3" t="n"/>
      <c r="C46" s="4" t="n">
        <v>554246495</v>
      </c>
      <c r="D46" s="5" t="inlineStr">
        <is>
          <t>HF545223898</t>
        </is>
      </c>
      <c r="E46" s="5" t="inlineStr">
        <is>
          <t>03/25/2026</t>
        </is>
      </c>
      <c r="F46" s="5" t="inlineStr">
        <is>
          <t>ChampVA - HAC</t>
        </is>
      </c>
      <c r="G46" s="5" t="inlineStr">
        <is>
          <t>Humana Gold Plus HMO</t>
        </is>
      </c>
      <c r="H46" s="5" t="inlineStr">
        <is>
          <t>ChampVA - HAC</t>
        </is>
      </c>
      <c r="I46" s="5" t="inlineStr">
        <is>
          <t>99492</t>
        </is>
      </c>
      <c r="J46" s="4">
        <f>IF($K46="","",$K46-TODAY())</f>
        <v/>
      </c>
      <c r="K46" s="6" t="n">
        <v>46196</v>
      </c>
      <c r="L46" s="5" t="inlineStr">
        <is>
          <t>90 days</t>
        </is>
      </c>
      <c r="M46" s="5" t="inlineStr">
        <is>
          <t>HUMANA MA</t>
        </is>
      </c>
      <c r="N46" s="5" t="n"/>
      <c r="O46" s="5" t="n"/>
      <c r="P46" s="5" t="n"/>
      <c r="Q46" s="4" t="n">
        <v>1</v>
      </c>
      <c r="R46" s="7" t="n">
        <v>1029.98</v>
      </c>
      <c r="S46" s="7" t="n">
        <v>883.53</v>
      </c>
      <c r="T46" s="7" t="n">
        <v>121.45</v>
      </c>
      <c r="U46" s="5" t="inlineStr">
        <is>
          <t>04/11/2026</t>
        </is>
      </c>
      <c r="V46" s="7" t="n">
        <v>25</v>
      </c>
      <c r="W46" s="4" t="n">
        <v>136</v>
      </c>
      <c r="X46" s="5" t="inlineStr">
        <is>
          <t>F4323</t>
        </is>
      </c>
      <c r="Y46" s="5" t="n"/>
      <c r="Z46" s="5" t="n"/>
      <c r="AA46" s="5" t="n"/>
      <c r="AB46" s="4" t="n">
        <v>557570817</v>
      </c>
      <c r="AC46" s="5" t="inlineStr">
        <is>
          <t>BURGHER, ABRAM</t>
        </is>
      </c>
      <c r="AD46" s="5" t="inlineStr">
        <is>
          <t>ASAP - DEER VALLEY</t>
        </is>
      </c>
      <c r="AE46" s="5" t="inlineStr">
        <is>
          <t>04/07/2026</t>
        </is>
      </c>
      <c r="AF46" s="5" t="inlineStr">
        <is>
          <t>BH</t>
        </is>
      </c>
      <c r="AG46" s="8" t="inlineStr">
        <is>
          <t>Shorter of the two Humana limits (90 days ancillary vs 180 days physician). Confirm the rendering provider's category - if they bill as a physician the real deadline is 90 days later.</t>
        </is>
      </c>
      <c r="AH46" s="4" t="n">
        <v>2</v>
      </c>
    </row>
    <row r="47">
      <c r="A47" s="2" t="n"/>
      <c r="B47" s="3" t="n"/>
      <c r="C47" s="4" t="n">
        <v>554088972</v>
      </c>
      <c r="D47" s="5" t="inlineStr">
        <is>
          <t>HF443112560</t>
        </is>
      </c>
      <c r="E47" s="5" t="inlineStr">
        <is>
          <t>03/27/2026</t>
        </is>
      </c>
      <c r="F47" s="5" t="inlineStr">
        <is>
          <t>Optum Care Medical Network of Arizona, Utah, &amp; Washington (LifePrint)</t>
        </is>
      </c>
      <c r="G47" s="5" t="inlineStr">
        <is>
          <t>Optum Care Medical Network of Arizona, Utah, &amp; Washington (LifePrint)</t>
        </is>
      </c>
      <c r="H47" s="5" t="inlineStr">
        <is>
          <t>No Payer</t>
        </is>
      </c>
      <c r="I47" s="5" t="inlineStr">
        <is>
          <t>99494</t>
        </is>
      </c>
      <c r="J47" s="4">
        <f>IF($K47="","",$K47-TODAY())</f>
        <v/>
      </c>
      <c r="K47" s="6" t="n">
        <v>46198</v>
      </c>
      <c r="L47" s="5" t="inlineStr">
        <is>
          <t>90 days</t>
        </is>
      </c>
      <c r="M47" s="5" t="inlineStr">
        <is>
          <t>OPTUM</t>
        </is>
      </c>
      <c r="N47" s="5" t="n"/>
      <c r="O47" s="5" t="n"/>
      <c r="P47" s="5" t="n"/>
      <c r="Q47" s="4" t="n">
        <v>1</v>
      </c>
      <c r="R47" s="7" t="n">
        <v>396.27</v>
      </c>
      <c r="S47" s="7" t="n">
        <v>0</v>
      </c>
      <c r="T47" s="7" t="n">
        <v>0</v>
      </c>
      <c r="U47" s="5" t="inlineStr">
        <is>
          <t>04/29/2026</t>
        </is>
      </c>
      <c r="V47" s="7" t="n">
        <v>396.27</v>
      </c>
      <c r="W47" s="4" t="n">
        <v>134</v>
      </c>
      <c r="X47" s="5" t="inlineStr">
        <is>
          <t>F1190</t>
        </is>
      </c>
      <c r="Y47" s="5" t="n"/>
      <c r="Z47" s="5" t="n"/>
      <c r="AA47" s="5" t="n"/>
      <c r="AB47" s="4" t="n"/>
      <c r="AC47" s="5" t="inlineStr">
        <is>
          <t>LEATHEM, JARRETT</t>
        </is>
      </c>
      <c r="AD47" s="5" t="inlineStr">
        <is>
          <t>ASAP - Gilbert</t>
        </is>
      </c>
      <c r="AE47" s="5" t="inlineStr">
        <is>
          <t>04/07/2026</t>
        </is>
      </c>
      <c r="AF47" s="5" t="inlineStr">
        <is>
          <t>BH</t>
        </is>
      </c>
      <c r="AG47" s="8" t="n"/>
      <c r="AH47" s="4" t="n">
        <v>141</v>
      </c>
    </row>
    <row r="48">
      <c r="A48" s="2" t="n"/>
      <c r="B48" s="3" t="n"/>
      <c r="C48" s="4" t="n">
        <v>554088972</v>
      </c>
      <c r="D48" s="5" t="inlineStr">
        <is>
          <t>HF443112560</t>
        </is>
      </c>
      <c r="E48" s="5" t="inlineStr">
        <is>
          <t>03/27/2026</t>
        </is>
      </c>
      <c r="F48" s="5" t="inlineStr">
        <is>
          <t>Optum Care Medical Network of Arizona, Utah, &amp; Washington (LifePrint)</t>
        </is>
      </c>
      <c r="G48" s="5" t="inlineStr">
        <is>
          <t>Optum Care Medical Network of Arizona, Utah, &amp; Washington (LifePrint)</t>
        </is>
      </c>
      <c r="H48" s="5" t="inlineStr">
        <is>
          <t>No Payer</t>
        </is>
      </c>
      <c r="I48" s="5" t="inlineStr">
        <is>
          <t>99493</t>
        </is>
      </c>
      <c r="J48" s="4">
        <f>IF($K48="","",$K48-TODAY())</f>
        <v/>
      </c>
      <c r="K48" s="6" t="n">
        <v>46198</v>
      </c>
      <c r="L48" s="5" t="inlineStr">
        <is>
          <t>90 days</t>
        </is>
      </c>
      <c r="M48" s="5" t="inlineStr">
        <is>
          <t>OPTUM</t>
        </is>
      </c>
      <c r="N48" s="5" t="n"/>
      <c r="O48" s="5" t="n"/>
      <c r="P48" s="5" t="n"/>
      <c r="Q48" s="4" t="n">
        <v>1</v>
      </c>
      <c r="R48" s="7" t="n">
        <v>976.64</v>
      </c>
      <c r="S48" s="7" t="n">
        <v>0</v>
      </c>
      <c r="T48" s="7" t="n">
        <v>0</v>
      </c>
      <c r="U48" s="5" t="inlineStr">
        <is>
          <t>04/29/2026</t>
        </is>
      </c>
      <c r="V48" s="7" t="n">
        <v>976.64</v>
      </c>
      <c r="W48" s="4" t="n">
        <v>134</v>
      </c>
      <c r="X48" s="5" t="inlineStr">
        <is>
          <t>F1190</t>
        </is>
      </c>
      <c r="Y48" s="5" t="n"/>
      <c r="Z48" s="5" t="n"/>
      <c r="AA48" s="5" t="n"/>
      <c r="AB48" s="4" t="n"/>
      <c r="AC48" s="5" t="inlineStr">
        <is>
          <t>LEATHEM, JARRETT</t>
        </is>
      </c>
      <c r="AD48" s="5" t="inlineStr">
        <is>
          <t>ASAP - Gilbert</t>
        </is>
      </c>
      <c r="AE48" s="5" t="inlineStr">
        <is>
          <t>04/07/2026</t>
        </is>
      </c>
      <c r="AF48" s="5" t="inlineStr">
        <is>
          <t>BH</t>
        </is>
      </c>
      <c r="AG48" s="8" t="n"/>
      <c r="AH48" s="4" t="n">
        <v>142</v>
      </c>
    </row>
    <row r="49">
      <c r="A49" s="2" t="n"/>
      <c r="B49" s="3" t="n"/>
      <c r="C49" s="4" t="n">
        <v>563362114</v>
      </c>
      <c r="D49" s="5" t="inlineStr">
        <is>
          <t>HF481780302</t>
        </is>
      </c>
      <c r="E49" s="5" t="inlineStr">
        <is>
          <t>03/27/2026</t>
        </is>
      </c>
      <c r="F49" s="5" t="inlineStr">
        <is>
          <t>UnitedHealthcare Community Plan / Arizona Long Term Care</t>
        </is>
      </c>
      <c r="G49" s="5" t="inlineStr">
        <is>
          <t>UnitedHealthcare Community Plan / Arizona Long Term Care</t>
        </is>
      </c>
      <c r="H49" s="5" t="inlineStr">
        <is>
          <t>No Payer</t>
        </is>
      </c>
      <c r="I49" s="5" t="inlineStr">
        <is>
          <t>99494</t>
        </is>
      </c>
      <c r="J49" s="4">
        <f>IF($K49="","",$K49-TODAY())</f>
        <v/>
      </c>
      <c r="K49" s="6" t="n">
        <v>46198</v>
      </c>
      <c r="L49" s="5" t="inlineStr">
        <is>
          <t>90 days</t>
        </is>
      </c>
      <c r="M49" s="5" t="inlineStr">
        <is>
          <t>UHC COMMUNITY</t>
        </is>
      </c>
      <c r="N49" s="5" t="n"/>
      <c r="O49" s="5" t="n"/>
      <c r="P49" s="5" t="n"/>
      <c r="Q49" s="4" t="n">
        <v>1</v>
      </c>
      <c r="R49" s="7" t="n">
        <v>396.27</v>
      </c>
      <c r="S49" s="7" t="n">
        <v>0</v>
      </c>
      <c r="T49" s="7" t="n">
        <v>0</v>
      </c>
      <c r="U49" s="5" t="inlineStr">
        <is>
          <t>06/24/2026</t>
        </is>
      </c>
      <c r="V49" s="7" t="n">
        <v>396.27</v>
      </c>
      <c r="W49" s="4" t="n">
        <v>134</v>
      </c>
      <c r="X49" s="5" t="inlineStr">
        <is>
          <t>F1190</t>
        </is>
      </c>
      <c r="Y49" s="5" t="n"/>
      <c r="Z49" s="5" t="n"/>
      <c r="AA49" s="5" t="n"/>
      <c r="AB49" s="4" t="n"/>
      <c r="AC49" s="5" t="inlineStr">
        <is>
          <t>LEATHEM, JARRETT</t>
        </is>
      </c>
      <c r="AD49" s="5" t="inlineStr">
        <is>
          <t>ASAP - Gilbert</t>
        </is>
      </c>
      <c r="AE49" s="5" t="inlineStr">
        <is>
          <t>04/07/2026</t>
        </is>
      </c>
      <c r="AF49" s="5" t="inlineStr">
        <is>
          <t>BH</t>
        </is>
      </c>
      <c r="AG49" s="8" t="n"/>
      <c r="AH49" s="4" t="n">
        <v>207</v>
      </c>
    </row>
    <row r="50">
      <c r="A50" s="2" t="n"/>
      <c r="B50" s="3" t="n"/>
      <c r="C50" s="4" t="n">
        <v>563362114</v>
      </c>
      <c r="D50" s="5" t="inlineStr">
        <is>
          <t>HF481780302</t>
        </is>
      </c>
      <c r="E50" s="5" t="inlineStr">
        <is>
          <t>03/27/2026</t>
        </is>
      </c>
      <c r="F50" s="5" t="inlineStr">
        <is>
          <t>UnitedHealthcare Community Plan / Arizona Long Term Care</t>
        </is>
      </c>
      <c r="G50" s="5" t="inlineStr">
        <is>
          <t>UnitedHealthcare Community Plan / Arizona Long Term Care</t>
        </is>
      </c>
      <c r="H50" s="5" t="inlineStr">
        <is>
          <t>No Payer</t>
        </is>
      </c>
      <c r="I50" s="5" t="inlineStr">
        <is>
          <t>99492</t>
        </is>
      </c>
      <c r="J50" s="4">
        <f>IF($K50="","",$K50-TODAY())</f>
        <v/>
      </c>
      <c r="K50" s="6" t="n">
        <v>46198</v>
      </c>
      <c r="L50" s="5" t="inlineStr">
        <is>
          <t>90 days</t>
        </is>
      </c>
      <c r="M50" s="5" t="inlineStr">
        <is>
          <t>UHC COMMUNITY</t>
        </is>
      </c>
      <c r="N50" s="5" t="inlineStr">
        <is>
          <t>79</t>
        </is>
      </c>
      <c r="O50" s="5" t="n"/>
      <c r="P50" s="5" t="n"/>
      <c r="Q50" s="4" t="n">
        <v>1</v>
      </c>
      <c r="R50" s="7" t="n">
        <v>1029.98</v>
      </c>
      <c r="S50" s="7" t="n">
        <v>0</v>
      </c>
      <c r="T50" s="7" t="n">
        <v>0</v>
      </c>
      <c r="U50" s="5" t="inlineStr">
        <is>
          <t>06/24/2026</t>
        </is>
      </c>
      <c r="V50" s="7" t="n">
        <v>1029.98</v>
      </c>
      <c r="W50" s="4" t="n">
        <v>134</v>
      </c>
      <c r="X50" s="5" t="inlineStr">
        <is>
          <t>F1190</t>
        </is>
      </c>
      <c r="Y50" s="5" t="n"/>
      <c r="Z50" s="5" t="n"/>
      <c r="AA50" s="5" t="n"/>
      <c r="AB50" s="4" t="n"/>
      <c r="AC50" s="5" t="inlineStr">
        <is>
          <t>LEATHEM, JARRETT</t>
        </is>
      </c>
      <c r="AD50" s="5" t="inlineStr">
        <is>
          <t>ASAP - Gilbert</t>
        </is>
      </c>
      <c r="AE50" s="5" t="inlineStr">
        <is>
          <t>04/07/2026</t>
        </is>
      </c>
      <c r="AF50" s="5" t="inlineStr">
        <is>
          <t>BH</t>
        </is>
      </c>
      <c r="AG50" s="8" t="n"/>
      <c r="AH50" s="4" t="n">
        <v>208</v>
      </c>
    </row>
    <row r="51">
      <c r="A51" s="2" t="n"/>
      <c r="B51" s="3" t="n"/>
      <c r="C51" s="4" t="n">
        <v>553283455</v>
      </c>
      <c r="D51" s="5" t="inlineStr">
        <is>
          <t>HF330559209</t>
        </is>
      </c>
      <c r="E51" s="5" t="inlineStr">
        <is>
          <t>03/19/2026</t>
        </is>
      </c>
      <c r="F51" s="5" t="inlineStr">
        <is>
          <t>Banner Aetna</t>
        </is>
      </c>
      <c r="G51" s="5" t="inlineStr">
        <is>
          <t>Banner Aetna</t>
        </is>
      </c>
      <c r="H51" s="5" t="inlineStr">
        <is>
          <t>No Payer</t>
        </is>
      </c>
      <c r="I51" s="5" t="inlineStr">
        <is>
          <t>99492</t>
        </is>
      </c>
      <c r="J51" s="4">
        <f>IF($K51="","",$K51-TODAY())</f>
        <v/>
      </c>
      <c r="K51" s="6" t="n">
        <v>46220</v>
      </c>
      <c r="L51" s="5" t="inlineStr">
        <is>
          <t>120 days</t>
        </is>
      </c>
      <c r="M51" s="5" t="inlineStr">
        <is>
          <t>BANNER HEALTH &amp; AETNA</t>
        </is>
      </c>
      <c r="N51" s="5" t="n"/>
      <c r="O51" s="5" t="n"/>
      <c r="P51" s="5" t="n"/>
      <c r="Q51" s="4" t="n">
        <v>1</v>
      </c>
      <c r="R51" s="7" t="n">
        <v>1029.98</v>
      </c>
      <c r="S51" s="7" t="n">
        <v>0</v>
      </c>
      <c r="T51" s="7" t="n">
        <v>0</v>
      </c>
      <c r="U51" s="5" t="inlineStr">
        <is>
          <t>06/11/2026</t>
        </is>
      </c>
      <c r="V51" s="7" t="n">
        <v>1029.98</v>
      </c>
      <c r="W51" s="4" t="n">
        <v>142</v>
      </c>
      <c r="X51" s="5" t="inlineStr">
        <is>
          <t>F4323</t>
        </is>
      </c>
      <c r="Y51" s="5" t="n"/>
      <c r="Z51" s="5" t="n"/>
      <c r="AA51" s="5" t="n"/>
      <c r="AB51" s="4" t="n"/>
      <c r="AC51" s="5" t="inlineStr">
        <is>
          <t>O'NEIL, ROY</t>
        </is>
      </c>
      <c r="AD51" s="5" t="inlineStr">
        <is>
          <t>ASAP - DEER VALLEY</t>
        </is>
      </c>
      <c r="AE51" s="5" t="inlineStr">
        <is>
          <t>04/07/2026</t>
        </is>
      </c>
      <c r="AF51" s="5" t="inlineStr">
        <is>
          <t>BH</t>
        </is>
      </c>
      <c r="AG51" s="8" t="n"/>
      <c r="AH51" s="4" t="n">
        <v>762</v>
      </c>
    </row>
    <row r="52">
      <c r="A52" s="2" t="n"/>
      <c r="B52" s="3" t="n"/>
      <c r="C52" s="4" t="n">
        <v>553283455</v>
      </c>
      <c r="D52" s="5" t="inlineStr">
        <is>
          <t>HF330559209</t>
        </is>
      </c>
      <c r="E52" s="5" t="inlineStr">
        <is>
          <t>03/19/2026</t>
        </is>
      </c>
      <c r="F52" s="5" t="inlineStr">
        <is>
          <t>Banner Aetna</t>
        </is>
      </c>
      <c r="G52" s="5" t="inlineStr">
        <is>
          <t>Banner Aetna</t>
        </is>
      </c>
      <c r="H52" s="5" t="inlineStr">
        <is>
          <t>No Payer</t>
        </is>
      </c>
      <c r="I52" s="5" t="inlineStr">
        <is>
          <t>99494</t>
        </is>
      </c>
      <c r="J52" s="4">
        <f>IF($K52="","",$K52-TODAY())</f>
        <v/>
      </c>
      <c r="K52" s="6" t="n">
        <v>46220</v>
      </c>
      <c r="L52" s="5" t="inlineStr">
        <is>
          <t>120 days</t>
        </is>
      </c>
      <c r="M52" s="5" t="inlineStr">
        <is>
          <t>BANNER HEALTH &amp; AETNA</t>
        </is>
      </c>
      <c r="N52" s="5" t="n"/>
      <c r="O52" s="5" t="n"/>
      <c r="P52" s="5" t="n"/>
      <c r="Q52" s="4" t="n">
        <v>1</v>
      </c>
      <c r="R52" s="7" t="n">
        <v>396.27</v>
      </c>
      <c r="S52" s="7" t="n">
        <v>0</v>
      </c>
      <c r="T52" s="7" t="n">
        <v>0</v>
      </c>
      <c r="U52" s="5" t="inlineStr">
        <is>
          <t>06/11/2026</t>
        </is>
      </c>
      <c r="V52" s="7" t="n">
        <v>396.27</v>
      </c>
      <c r="W52" s="4" t="n">
        <v>142</v>
      </c>
      <c r="X52" s="5" t="inlineStr">
        <is>
          <t>F4323</t>
        </is>
      </c>
      <c r="Y52" s="5" t="n"/>
      <c r="Z52" s="5" t="n"/>
      <c r="AA52" s="5" t="n"/>
      <c r="AB52" s="4" t="n"/>
      <c r="AC52" s="5" t="inlineStr">
        <is>
          <t>O'NEIL, ROY</t>
        </is>
      </c>
      <c r="AD52" s="5" t="inlineStr">
        <is>
          <t>ASAP - DEER VALLEY</t>
        </is>
      </c>
      <c r="AE52" s="5" t="inlineStr">
        <is>
          <t>04/07/2026</t>
        </is>
      </c>
      <c r="AF52" s="5" t="inlineStr">
        <is>
          <t>BH</t>
        </is>
      </c>
      <c r="AG52" s="8" t="n"/>
      <c r="AH52" s="4" t="n">
        <v>763</v>
      </c>
    </row>
    <row r="53">
      <c r="A53" s="2" t="n"/>
      <c r="B53" s="3" t="n"/>
      <c r="C53" s="4" t="n">
        <v>553124954</v>
      </c>
      <c r="D53" s="5" t="inlineStr">
        <is>
          <t>HF539993491</t>
        </is>
      </c>
      <c r="E53" s="5" t="inlineStr">
        <is>
          <t>03/18/2026</t>
        </is>
      </c>
      <c r="F53" s="5" t="inlineStr">
        <is>
          <t>Alignment Health Care</t>
        </is>
      </c>
      <c r="G53" s="5" t="inlineStr">
        <is>
          <t>Alignment Health Care</t>
        </is>
      </c>
      <c r="H53" s="5" t="inlineStr">
        <is>
          <t>No Payer</t>
        </is>
      </c>
      <c r="I53" s="5" t="inlineStr">
        <is>
          <t>99493</t>
        </is>
      </c>
      <c r="J53" s="4">
        <f>IF($K53="","",$K53-TODAY())</f>
        <v/>
      </c>
      <c r="K53" s="6" t="n"/>
      <c r="L53" s="5" t="n"/>
      <c r="M53" s="5" t="inlineStr">
        <is>
          <t>Not on reference list</t>
        </is>
      </c>
      <c r="N53" s="5" t="n"/>
      <c r="O53" s="5" t="n"/>
      <c r="P53" s="5" t="n"/>
      <c r="Q53" s="4" t="n">
        <v>1</v>
      </c>
      <c r="R53" s="7" t="n">
        <v>976.64</v>
      </c>
      <c r="S53" s="7" t="n">
        <v>0</v>
      </c>
      <c r="T53" s="7" t="n">
        <v>0</v>
      </c>
      <c r="U53" s="5" t="inlineStr">
        <is>
          <t>04/16/2026</t>
        </is>
      </c>
      <c r="V53" s="7" t="n">
        <v>976.64</v>
      </c>
      <c r="W53" s="4" t="n">
        <v>143</v>
      </c>
      <c r="X53" s="5" t="inlineStr">
        <is>
          <t>F4320</t>
        </is>
      </c>
      <c r="Y53" s="5" t="n"/>
      <c r="Z53" s="5" t="n"/>
      <c r="AA53" s="5" t="n"/>
      <c r="AB53" s="4" t="n"/>
      <c r="AC53" s="5" t="inlineStr">
        <is>
          <t>MORALES, DAVID</t>
        </is>
      </c>
      <c r="AD53" s="5" t="inlineStr">
        <is>
          <t>ASAP - DEER VALLEY</t>
        </is>
      </c>
      <c r="AE53" s="5" t="inlineStr">
        <is>
          <t>04/07/2026</t>
        </is>
      </c>
      <c r="AF53" s="5" t="inlineStr">
        <is>
          <t>BH</t>
        </is>
      </c>
      <c r="AG53" s="8" t="inlineStr">
        <is>
          <t>No timely filing limit on file for this payer - confirm the limit from the contract or provider manual before working this claim.</t>
        </is>
      </c>
      <c r="AH53" s="4" t="n">
        <v>444</v>
      </c>
    </row>
    <row r="54">
      <c r="A54" s="2" t="n"/>
      <c r="B54" s="3" t="n"/>
      <c r="C54" s="4" t="n">
        <v>553124954</v>
      </c>
      <c r="D54" s="5" t="inlineStr">
        <is>
          <t>HF539993491</t>
        </is>
      </c>
      <c r="E54" s="5" t="inlineStr">
        <is>
          <t>03/18/2026</t>
        </is>
      </c>
      <c r="F54" s="5" t="inlineStr">
        <is>
          <t>Alignment Health Care</t>
        </is>
      </c>
      <c r="G54" s="5" t="inlineStr">
        <is>
          <t>Alignment Health Care</t>
        </is>
      </c>
      <c r="H54" s="5" t="inlineStr">
        <is>
          <t>No Payer</t>
        </is>
      </c>
      <c r="I54" s="5" t="inlineStr">
        <is>
          <t>99494</t>
        </is>
      </c>
      <c r="J54" s="4">
        <f>IF($K54="","",$K54-TODAY())</f>
        <v/>
      </c>
      <c r="K54" s="6" t="n"/>
      <c r="L54" s="5" t="n"/>
      <c r="M54" s="5" t="inlineStr">
        <is>
          <t>Not on reference list</t>
        </is>
      </c>
      <c r="N54" s="5" t="n"/>
      <c r="O54" s="5" t="n"/>
      <c r="P54" s="5" t="n"/>
      <c r="Q54" s="4" t="n">
        <v>1</v>
      </c>
      <c r="R54" s="7" t="n">
        <v>396.27</v>
      </c>
      <c r="S54" s="7" t="n">
        <v>0</v>
      </c>
      <c r="T54" s="7" t="n">
        <v>0</v>
      </c>
      <c r="U54" s="5" t="inlineStr">
        <is>
          <t>04/16/2026</t>
        </is>
      </c>
      <c r="V54" s="7" t="n">
        <v>396.27</v>
      </c>
      <c r="W54" s="4" t="n">
        <v>143</v>
      </c>
      <c r="X54" s="5" t="inlineStr">
        <is>
          <t>F4320</t>
        </is>
      </c>
      <c r="Y54" s="5" t="n"/>
      <c r="Z54" s="5" t="n"/>
      <c r="AA54" s="5" t="n"/>
      <c r="AB54" s="4" t="n"/>
      <c r="AC54" s="5" t="inlineStr">
        <is>
          <t>MORALES, DAVID</t>
        </is>
      </c>
      <c r="AD54" s="5" t="inlineStr">
        <is>
          <t>ASAP - DEER VALLEY</t>
        </is>
      </c>
      <c r="AE54" s="5" t="inlineStr">
        <is>
          <t>04/07/2026</t>
        </is>
      </c>
      <c r="AF54" s="5" t="inlineStr">
        <is>
          <t>BH</t>
        </is>
      </c>
      <c r="AG54" s="8" t="inlineStr">
        <is>
          <t>No timely filing limit on file for this payer - confirm the limit from the contract or provider manual before working this claim.</t>
        </is>
      </c>
      <c r="AH54" s="4" t="n">
        <v>445</v>
      </c>
    </row>
    <row r="55">
      <c r="A55" s="2" t="n"/>
      <c r="B55" s="3" t="n"/>
      <c r="C55" s="4" t="n">
        <v>553329086</v>
      </c>
      <c r="D55" s="5" t="inlineStr">
        <is>
          <t>HF524312806</t>
        </is>
      </c>
      <c r="E55" s="5" t="inlineStr">
        <is>
          <t>03/20/2026</t>
        </is>
      </c>
      <c r="F55" s="5" t="inlineStr">
        <is>
          <t>Medica Health Plan Solutions (Mayo Plan - CHI Health)</t>
        </is>
      </c>
      <c r="G55" s="5" t="inlineStr">
        <is>
          <t>Medica Health Plan Solutions (Mayo Plan - CHI Health)</t>
        </is>
      </c>
      <c r="H55" s="5" t="inlineStr">
        <is>
          <t>No Payer</t>
        </is>
      </c>
      <c r="I55" s="5" t="inlineStr">
        <is>
          <t>99494</t>
        </is>
      </c>
      <c r="J55" s="4">
        <f>IF($K55="","",$K55-TODAY())</f>
        <v/>
      </c>
      <c r="K55" s="6" t="n"/>
      <c r="L55" s="5" t="n"/>
      <c r="M55" s="5" t="inlineStr">
        <is>
          <t>MEDICA</t>
        </is>
      </c>
      <c r="N55" s="5" t="n"/>
      <c r="O55" s="5" t="n"/>
      <c r="P55" s="5" t="n"/>
      <c r="Q55" s="4" t="n">
        <v>1</v>
      </c>
      <c r="R55" s="7" t="n">
        <v>396.27</v>
      </c>
      <c r="S55" s="7" t="n">
        <v>0</v>
      </c>
      <c r="T55" s="7" t="n">
        <v>0</v>
      </c>
      <c r="U55" s="5" t="n"/>
      <c r="V55" s="7" t="n">
        <v>396.27</v>
      </c>
      <c r="W55" s="4" t="n">
        <v>141</v>
      </c>
      <c r="X55" s="5" t="inlineStr">
        <is>
          <t>F411</t>
        </is>
      </c>
      <c r="Y55" s="5" t="n"/>
      <c r="Z55" s="5" t="n"/>
      <c r="AA55" s="5" t="n"/>
      <c r="AB55" s="4" t="n"/>
      <c r="AC55" s="5" t="inlineStr">
        <is>
          <t>MEARS, CHAD</t>
        </is>
      </c>
      <c r="AD55" s="5" t="inlineStr">
        <is>
          <t>ASAP - Gilbert</t>
        </is>
      </c>
      <c r="AE55" s="5" t="inlineStr">
        <is>
          <t>04/07/2026</t>
        </is>
      </c>
      <c r="AF55" s="5" t="inlineStr">
        <is>
          <t>BH</t>
        </is>
      </c>
      <c r="AG55" s="8" t="n"/>
      <c r="AH55" s="4" t="n">
        <v>345</v>
      </c>
    </row>
    <row r="56">
      <c r="A56" s="2" t="n"/>
      <c r="B56" s="3" t="n"/>
      <c r="C56" s="4" t="n">
        <v>553329086</v>
      </c>
      <c r="D56" s="5" t="inlineStr">
        <is>
          <t>HF524312806</t>
        </is>
      </c>
      <c r="E56" s="5" t="inlineStr">
        <is>
          <t>03/20/2026</t>
        </is>
      </c>
      <c r="F56" s="5" t="inlineStr">
        <is>
          <t>Medica Health Plan Solutions (Mayo Plan - CHI Health)</t>
        </is>
      </c>
      <c r="G56" s="5" t="inlineStr">
        <is>
          <t>Medica Health Plan Solutions (Mayo Plan - CHI Health)</t>
        </is>
      </c>
      <c r="H56" s="5" t="inlineStr">
        <is>
          <t>No Payer</t>
        </is>
      </c>
      <c r="I56" s="5" t="inlineStr">
        <is>
          <t>99493</t>
        </is>
      </c>
      <c r="J56" s="4">
        <f>IF($K56="","",$K56-TODAY())</f>
        <v/>
      </c>
      <c r="K56" s="6" t="n"/>
      <c r="L56" s="5" t="n"/>
      <c r="M56" s="5" t="inlineStr">
        <is>
          <t>MEDICA</t>
        </is>
      </c>
      <c r="N56" s="5" t="n"/>
      <c r="O56" s="5" t="n"/>
      <c r="P56" s="5" t="n"/>
      <c r="Q56" s="4" t="n">
        <v>1</v>
      </c>
      <c r="R56" s="7" t="n">
        <v>976.64</v>
      </c>
      <c r="S56" s="7" t="n">
        <v>0</v>
      </c>
      <c r="T56" s="7" t="n">
        <v>0</v>
      </c>
      <c r="U56" s="5" t="inlineStr">
        <is>
          <t>04/17/2026</t>
        </is>
      </c>
      <c r="V56" s="7" t="n">
        <v>976.64</v>
      </c>
      <c r="W56" s="4" t="n">
        <v>141</v>
      </c>
      <c r="X56" s="5" t="inlineStr">
        <is>
          <t>F411</t>
        </is>
      </c>
      <c r="Y56" s="5" t="n"/>
      <c r="Z56" s="5" t="n"/>
      <c r="AA56" s="5" t="n"/>
      <c r="AB56" s="4" t="n"/>
      <c r="AC56" s="5" t="inlineStr">
        <is>
          <t>MEARS, CHAD</t>
        </is>
      </c>
      <c r="AD56" s="5" t="inlineStr">
        <is>
          <t>ASAP - Gilbert</t>
        </is>
      </c>
      <c r="AE56" s="5" t="inlineStr">
        <is>
          <t>04/07/2026</t>
        </is>
      </c>
      <c r="AF56" s="5" t="inlineStr">
        <is>
          <t>BH</t>
        </is>
      </c>
      <c r="AG56" s="8" t="n"/>
      <c r="AH56" s="4" t="n">
        <v>346</v>
      </c>
    </row>
    <row r="57">
      <c r="A57" s="2" t="inlineStr">
        <is>
          <t>Received</t>
        </is>
      </c>
      <c r="B57" s="3" t="n"/>
      <c r="C57" s="4" t="n">
        <v>553577987</v>
      </c>
      <c r="D57" s="5" t="inlineStr">
        <is>
          <t>HF547777590</t>
        </is>
      </c>
      <c r="E57" s="5" t="inlineStr">
        <is>
          <t>03/23/2026</t>
        </is>
      </c>
      <c r="F57" s="5" t="inlineStr">
        <is>
          <t>Banner University Family Care - Arizona Long Term Care System</t>
        </is>
      </c>
      <c r="G57" s="5" t="inlineStr">
        <is>
          <t>Banner University Care Dual Advantage Plan</t>
        </is>
      </c>
      <c r="H57" s="5" t="inlineStr">
        <is>
          <t>Banner University Family Care - Arizona Long Term Care System</t>
        </is>
      </c>
      <c r="I57" s="5" t="inlineStr">
        <is>
          <t>99494</t>
        </is>
      </c>
      <c r="J57" s="4">
        <f>IF($K57="","",$K57-TODAY())</f>
        <v/>
      </c>
      <c r="K57" s="6" t="n"/>
      <c r="L57" s="5" t="n"/>
      <c r="M57" s="5" t="inlineStr">
        <is>
          <t>Not on reference list</t>
        </is>
      </c>
      <c r="N57" s="5" t="n"/>
      <c r="O57" s="5" t="n"/>
      <c r="P57" s="5" t="n"/>
      <c r="Q57" s="4" t="n">
        <v>2</v>
      </c>
      <c r="R57" s="7" t="n">
        <v>792.54</v>
      </c>
      <c r="S57" s="7" t="n">
        <v>674.11</v>
      </c>
      <c r="T57" s="7" t="n">
        <v>94.36</v>
      </c>
      <c r="U57" s="5" t="inlineStr">
        <is>
          <t>05/22/2026</t>
        </is>
      </c>
      <c r="V57" s="7" t="n">
        <v>24.07</v>
      </c>
      <c r="W57" s="4" t="n">
        <v>138</v>
      </c>
      <c r="X57" s="5" t="inlineStr">
        <is>
          <t>F4320</t>
        </is>
      </c>
      <c r="Y57" s="5" t="n"/>
      <c r="Z57" s="5" t="n"/>
      <c r="AA57" s="5" t="n"/>
      <c r="AB57" s="4" t="n">
        <v>557766116</v>
      </c>
      <c r="AC57" s="5" t="inlineStr">
        <is>
          <t>O'NEIL, ROY</t>
        </is>
      </c>
      <c r="AD57" s="5" t="inlineStr">
        <is>
          <t>ASAP Peoria</t>
        </is>
      </c>
      <c r="AE57" s="5" t="inlineStr">
        <is>
          <t>04/07/2026</t>
        </is>
      </c>
      <c r="AF57" s="5" t="inlineStr">
        <is>
          <t>BH</t>
        </is>
      </c>
      <c r="AG57" s="8" t="inlineStr">
        <is>
          <t>No timely filing limit on file for this payer - confirm the limit from the contract or provider manual before working this claim.</t>
        </is>
      </c>
      <c r="AH57" s="4" t="n">
        <v>96</v>
      </c>
    </row>
    <row r="58">
      <c r="A58" s="2" t="inlineStr">
        <is>
          <t>Received</t>
        </is>
      </c>
      <c r="B58" s="3" t="n"/>
      <c r="C58" s="4" t="n">
        <v>553577987</v>
      </c>
      <c r="D58" s="5" t="inlineStr">
        <is>
          <t>HF547777590</t>
        </is>
      </c>
      <c r="E58" s="5" t="inlineStr">
        <is>
          <t>03/23/2026</t>
        </is>
      </c>
      <c r="F58" s="5" t="inlineStr">
        <is>
          <t>Banner University Family Care - Arizona Long Term Care System</t>
        </is>
      </c>
      <c r="G58" s="5" t="inlineStr">
        <is>
          <t>Banner University Care Dual Advantage Plan</t>
        </is>
      </c>
      <c r="H58" s="5" t="inlineStr">
        <is>
          <t>Banner University Family Care - Arizona Long Term Care System</t>
        </is>
      </c>
      <c r="I58" s="5" t="inlineStr">
        <is>
          <t>99492</t>
        </is>
      </c>
      <c r="J58" s="4">
        <f>IF($K58="","",$K58-TODAY())</f>
        <v/>
      </c>
      <c r="K58" s="6" t="n"/>
      <c r="L58" s="5" t="n"/>
      <c r="M58" s="5" t="inlineStr">
        <is>
          <t>Not on reference list</t>
        </is>
      </c>
      <c r="N58" s="5" t="n"/>
      <c r="O58" s="5" t="n"/>
      <c r="P58" s="5" t="n"/>
      <c r="Q58" s="4" t="n">
        <v>1</v>
      </c>
      <c r="R58" s="7" t="n">
        <v>1029.98</v>
      </c>
      <c r="S58" s="7" t="n">
        <v>875.72</v>
      </c>
      <c r="T58" s="7" t="n">
        <v>122.91</v>
      </c>
      <c r="U58" s="5" t="inlineStr">
        <is>
          <t>05/22/2026</t>
        </is>
      </c>
      <c r="V58" s="7" t="n">
        <v>31.35</v>
      </c>
      <c r="W58" s="4" t="n">
        <v>138</v>
      </c>
      <c r="X58" s="5" t="inlineStr">
        <is>
          <t>F4320</t>
        </is>
      </c>
      <c r="Y58" s="5" t="n"/>
      <c r="Z58" s="5" t="n"/>
      <c r="AA58" s="5" t="n"/>
      <c r="AB58" s="4" t="n">
        <v>557766116</v>
      </c>
      <c r="AC58" s="5" t="inlineStr">
        <is>
          <t>O'NEIL, ROY</t>
        </is>
      </c>
      <c r="AD58" s="5" t="inlineStr">
        <is>
          <t>ASAP Peoria</t>
        </is>
      </c>
      <c r="AE58" s="5" t="inlineStr">
        <is>
          <t>04/07/2026</t>
        </is>
      </c>
      <c r="AF58" s="5" t="inlineStr">
        <is>
          <t>BH</t>
        </is>
      </c>
      <c r="AG58" s="8" t="inlineStr">
        <is>
          <t>No timely filing limit on file for this payer - confirm the limit from the contract or provider manual before working this claim.</t>
        </is>
      </c>
      <c r="AH58" s="4" t="n">
        <v>97</v>
      </c>
    </row>
    <row r="59">
      <c r="A59" s="2" t="n"/>
      <c r="B59" s="3" t="n"/>
      <c r="C59" s="4" t="n">
        <v>554062261</v>
      </c>
      <c r="D59" s="5" t="inlineStr">
        <is>
          <t>HF524119358</t>
        </is>
      </c>
      <c r="E59" s="5" t="inlineStr">
        <is>
          <t>03/27/2026</t>
        </is>
      </c>
      <c r="F59" s="5" t="inlineStr">
        <is>
          <t>Imperial Insurance Companies Inc Exchange AZ (IEXAZ) (WAYSTAR ONLY)</t>
        </is>
      </c>
      <c r="G59" s="5" t="inlineStr">
        <is>
          <t>Imperial Insurance Companies Inc Exchange AZ (IEXAZ) (WAYSTAR ONLY)</t>
        </is>
      </c>
      <c r="H59" s="5" t="inlineStr">
        <is>
          <t>No Payer</t>
        </is>
      </c>
      <c r="I59" s="5" t="inlineStr">
        <is>
          <t>99492</t>
        </is>
      </c>
      <c r="J59" s="4">
        <f>IF($K59="","",$K59-TODAY())</f>
        <v/>
      </c>
      <c r="K59" s="6" t="n"/>
      <c r="L59" s="5" t="n"/>
      <c r="M59" s="5" t="inlineStr">
        <is>
          <t>Not on reference list</t>
        </is>
      </c>
      <c r="N59" s="5" t="n"/>
      <c r="O59" s="5" t="n"/>
      <c r="P59" s="5" t="n"/>
      <c r="Q59" s="4" t="n">
        <v>1</v>
      </c>
      <c r="R59" s="7" t="n">
        <v>1029.98</v>
      </c>
      <c r="S59" s="7" t="n">
        <v>0</v>
      </c>
      <c r="T59" s="7" t="n">
        <v>0</v>
      </c>
      <c r="U59" s="5" t="n"/>
      <c r="V59" s="7" t="n">
        <v>1029.98</v>
      </c>
      <c r="W59" s="4" t="n">
        <v>134</v>
      </c>
      <c r="X59" s="5" t="inlineStr">
        <is>
          <t>F1190</t>
        </is>
      </c>
      <c r="Y59" s="5" t="n"/>
      <c r="Z59" s="5" t="n"/>
      <c r="AA59" s="5" t="n"/>
      <c r="AB59" s="4" t="n"/>
      <c r="AC59" s="5" t="inlineStr">
        <is>
          <t>KALLGREN, MARK</t>
        </is>
      </c>
      <c r="AD59" s="5" t="inlineStr">
        <is>
          <t>ASAP - Gilbert</t>
        </is>
      </c>
      <c r="AE59" s="5" t="inlineStr">
        <is>
          <t>04/07/2026</t>
        </is>
      </c>
      <c r="AF59" s="5" t="inlineStr">
        <is>
          <t>BH</t>
        </is>
      </c>
      <c r="AG59" s="8" t="inlineStr">
        <is>
          <t>No timely filing limit on file for this payer - confirm the limit from the contract or provider manual before working this claim.</t>
        </is>
      </c>
      <c r="AH59" s="4" t="n">
        <v>1007</v>
      </c>
    </row>
    <row r="60">
      <c r="A60" s="2" t="n"/>
      <c r="B60" s="3" t="n"/>
      <c r="C60" s="4" t="n">
        <v>554062261</v>
      </c>
      <c r="D60" s="5" t="inlineStr">
        <is>
          <t>HF524119358</t>
        </is>
      </c>
      <c r="E60" s="5" t="inlineStr">
        <is>
          <t>03/27/2026</t>
        </is>
      </c>
      <c r="F60" s="5" t="inlineStr">
        <is>
          <t>Imperial Insurance Companies Inc Exchange AZ (IEXAZ) (WAYSTAR ONLY)</t>
        </is>
      </c>
      <c r="G60" s="5" t="inlineStr">
        <is>
          <t>Imperial Insurance Companies Inc Exchange AZ (IEXAZ) (WAYSTAR ONLY)</t>
        </is>
      </c>
      <c r="H60" s="5" t="inlineStr">
        <is>
          <t>No Payer</t>
        </is>
      </c>
      <c r="I60" s="5" t="inlineStr">
        <is>
          <t>99494</t>
        </is>
      </c>
      <c r="J60" s="4">
        <f>IF($K60="","",$K60-TODAY())</f>
        <v/>
      </c>
      <c r="K60" s="6" t="n"/>
      <c r="L60" s="5" t="n"/>
      <c r="M60" s="5" t="inlineStr">
        <is>
          <t>Not on reference list</t>
        </is>
      </c>
      <c r="N60" s="5" t="n"/>
      <c r="O60" s="5" t="n"/>
      <c r="P60" s="5" t="n"/>
      <c r="Q60" s="4" t="n">
        <v>1</v>
      </c>
      <c r="R60" s="7" t="n">
        <v>396.27</v>
      </c>
      <c r="S60" s="7" t="n">
        <v>0</v>
      </c>
      <c r="T60" s="7" t="n">
        <v>0</v>
      </c>
      <c r="U60" s="5" t="n"/>
      <c r="V60" s="7" t="n">
        <v>396.27</v>
      </c>
      <c r="W60" s="4" t="n">
        <v>134</v>
      </c>
      <c r="X60" s="5" t="inlineStr">
        <is>
          <t>F1190</t>
        </is>
      </c>
      <c r="Y60" s="5" t="n"/>
      <c r="Z60" s="5" t="n"/>
      <c r="AA60" s="5" t="n"/>
      <c r="AB60" s="4" t="n"/>
      <c r="AC60" s="5" t="inlineStr">
        <is>
          <t>KALLGREN, MARK</t>
        </is>
      </c>
      <c r="AD60" s="5" t="inlineStr">
        <is>
          <t>ASAP - Gilbert</t>
        </is>
      </c>
      <c r="AE60" s="5" t="inlineStr">
        <is>
          <t>04/07/2026</t>
        </is>
      </c>
      <c r="AF60" s="5" t="inlineStr">
        <is>
          <t>BH</t>
        </is>
      </c>
      <c r="AG60" s="8" t="inlineStr">
        <is>
          <t>No timely filing limit on file for this payer - confirm the limit from the contract or provider manual before working this claim.</t>
        </is>
      </c>
      <c r="AH60" s="4" t="n">
        <v>1008</v>
      </c>
    </row>
  </sheetData>
  <autoFilter ref="A1:AH60"/>
  <conditionalFormatting sqref="J2:M60">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H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551735634</v>
      </c>
      <c r="D2" s="5" t="inlineStr">
        <is>
          <t>HF545896181</t>
        </is>
      </c>
      <c r="E2" s="5" t="inlineStr">
        <is>
          <t>03/04/2026</t>
        </is>
      </c>
      <c r="F2" s="5" t="inlineStr">
        <is>
          <t>DME Region D</t>
        </is>
      </c>
      <c r="G2" s="5" t="inlineStr">
        <is>
          <t>DME Region D</t>
        </is>
      </c>
      <c r="H2" s="5" t="inlineStr">
        <is>
          <t>MediCo Insurance Company</t>
        </is>
      </c>
      <c r="I2" s="5" t="inlineStr">
        <is>
          <t>L1851</t>
        </is>
      </c>
      <c r="J2" s="4">
        <f>IF($K2="","",$K2-TODAY())</f>
        <v/>
      </c>
      <c r="K2" s="6" t="n">
        <v>46450</v>
      </c>
      <c r="L2" s="5" t="inlineStr">
        <is>
          <t>365 days</t>
        </is>
      </c>
      <c r="M2" s="5" t="inlineStr">
        <is>
          <t>MEDICARE</t>
        </is>
      </c>
      <c r="N2" s="5" t="inlineStr">
        <is>
          <t>KX</t>
        </is>
      </c>
      <c r="O2" s="5" t="n"/>
      <c r="P2" s="5" t="n"/>
      <c r="Q2" s="4" t="n">
        <v>1</v>
      </c>
      <c r="R2" s="7" t="n">
        <v>4520.11</v>
      </c>
      <c r="S2" s="7" t="n">
        <v>0</v>
      </c>
      <c r="T2" s="7" t="n">
        <v>0</v>
      </c>
      <c r="U2" s="5" t="inlineStr">
        <is>
          <t>04/29/2026</t>
        </is>
      </c>
      <c r="V2" s="7" t="n">
        <v>4520.11</v>
      </c>
      <c r="W2" s="4" t="n">
        <v>157</v>
      </c>
      <c r="X2" s="5" t="inlineStr">
        <is>
          <t>M1711</t>
        </is>
      </c>
      <c r="Y2" s="5" t="n"/>
      <c r="Z2" s="5" t="n"/>
      <c r="AA2" s="5" t="n"/>
      <c r="AB2" s="4" t="n"/>
      <c r="AC2" s="5" t="inlineStr">
        <is>
          <t>Advanced Spine and Pain LLC DME GWY</t>
        </is>
      </c>
      <c r="AD2" s="5" t="inlineStr">
        <is>
          <t>Advanced Spine and Pain LLC DME - Surprise Reems</t>
        </is>
      </c>
      <c r="AE2" s="5" t="inlineStr">
        <is>
          <t>03/18/2026</t>
        </is>
      </c>
      <c r="AF2" s="5" t="inlineStr">
        <is>
          <t>DME</t>
        </is>
      </c>
      <c r="AG2" s="8" t="n"/>
      <c r="AH2" s="4" t="n">
        <v>129</v>
      </c>
    </row>
    <row r="3">
      <c r="A3" s="2" t="n"/>
      <c r="B3" s="3" t="n"/>
      <c r="C3" s="4" t="n">
        <v>553103783</v>
      </c>
      <c r="D3" s="5" t="inlineStr">
        <is>
          <t>HF551760467</t>
        </is>
      </c>
      <c r="E3" s="5" t="inlineStr">
        <is>
          <t>03/16/2026</t>
        </is>
      </c>
      <c r="F3" s="5" t="inlineStr">
        <is>
          <t>DME Region D</t>
        </is>
      </c>
      <c r="G3" s="5" t="inlineStr">
        <is>
          <t>DME Region D</t>
        </is>
      </c>
      <c r="H3" s="5" t="inlineStr">
        <is>
          <t>Humana</t>
        </is>
      </c>
      <c r="I3" s="5" t="inlineStr">
        <is>
          <t>L0650</t>
        </is>
      </c>
      <c r="J3" s="4">
        <f>IF($K3="","",$K3-TODAY())</f>
        <v/>
      </c>
      <c r="K3" s="6" t="n">
        <v>46462</v>
      </c>
      <c r="L3" s="5" t="inlineStr">
        <is>
          <t>365 days</t>
        </is>
      </c>
      <c r="M3" s="5" t="inlineStr">
        <is>
          <t>MEDICARE</t>
        </is>
      </c>
      <c r="N3" s="5" t="inlineStr">
        <is>
          <t>KX</t>
        </is>
      </c>
      <c r="O3" s="5" t="n"/>
      <c r="P3" s="5" t="n"/>
      <c r="Q3" s="4" t="n">
        <v>1</v>
      </c>
      <c r="R3" s="7" t="n">
        <v>6392.96</v>
      </c>
      <c r="S3" s="7" t="n">
        <v>0</v>
      </c>
      <c r="T3" s="7" t="n">
        <v>0</v>
      </c>
      <c r="U3" s="5" t="inlineStr">
        <is>
          <t>04/09/2026</t>
        </is>
      </c>
      <c r="V3" s="7" t="n">
        <v>6392.96</v>
      </c>
      <c r="W3" s="4" t="n">
        <v>145</v>
      </c>
      <c r="X3" s="5" t="inlineStr">
        <is>
          <t>M5416</t>
        </is>
      </c>
      <c r="Y3" s="5" t="inlineStr">
        <is>
          <t>M48062</t>
        </is>
      </c>
      <c r="Z3" s="5" t="n"/>
      <c r="AA3" s="5" t="n"/>
      <c r="AB3" s="4" t="n"/>
      <c r="AC3" s="5" t="inlineStr">
        <is>
          <t>Advanced Spine and Pain LLC DME GWY</t>
        </is>
      </c>
      <c r="AD3" s="5" t="inlineStr">
        <is>
          <t>Advanced Spine and Pain LLC DME - Greenway</t>
        </is>
      </c>
      <c r="AE3" s="5" t="inlineStr">
        <is>
          <t>03/18/2026</t>
        </is>
      </c>
      <c r="AF3" s="5" t="inlineStr">
        <is>
          <t>DME</t>
        </is>
      </c>
      <c r="AG3" s="8" t="n"/>
      <c r="AH3" s="4" t="n">
        <v>390</v>
      </c>
    </row>
    <row r="4">
      <c r="A4" s="2" t="inlineStr">
        <is>
          <t>Received</t>
        </is>
      </c>
      <c r="B4" s="3" t="n"/>
      <c r="C4" s="4" t="n">
        <v>557717115</v>
      </c>
      <c r="D4" s="5" t="inlineStr">
        <is>
          <t>HF545895005</t>
        </is>
      </c>
      <c r="E4" s="5" t="inlineStr">
        <is>
          <t>03/16/2026</t>
        </is>
      </c>
      <c r="F4" s="5" t="inlineStr">
        <is>
          <t>DME Region D</t>
        </is>
      </c>
      <c r="G4" s="5" t="inlineStr">
        <is>
          <t>DME Region D</t>
        </is>
      </c>
      <c r="H4" s="5" t="inlineStr">
        <is>
          <t>BANKERS FIDELITY</t>
        </is>
      </c>
      <c r="I4" s="5" t="inlineStr">
        <is>
          <t>A6023</t>
        </is>
      </c>
      <c r="J4" s="4">
        <f>IF($K4="","",$K4-TODAY())</f>
        <v/>
      </c>
      <c r="K4" s="6" t="n">
        <v>46462</v>
      </c>
      <c r="L4" s="5" t="inlineStr">
        <is>
          <t>365 days</t>
        </is>
      </c>
      <c r="M4" s="5" t="inlineStr">
        <is>
          <t>MEDICARE</t>
        </is>
      </c>
      <c r="N4" s="5" t="inlineStr">
        <is>
          <t>A2</t>
        </is>
      </c>
      <c r="O4" s="5" t="n"/>
      <c r="P4" s="5" t="n"/>
      <c r="Q4" s="4" t="n">
        <v>10</v>
      </c>
      <c r="R4" s="7" t="n">
        <v>18176.9</v>
      </c>
      <c r="S4" s="7" t="n">
        <v>0</v>
      </c>
      <c r="T4" s="7" t="n">
        <v>542.4400000000001</v>
      </c>
      <c r="U4" s="5" t="inlineStr">
        <is>
          <t>05/23/2026</t>
        </is>
      </c>
      <c r="V4" s="7" t="n">
        <v>17634.46</v>
      </c>
      <c r="W4" s="4" t="n">
        <v>145</v>
      </c>
      <c r="X4" s="5" t="inlineStr">
        <is>
          <t>G894</t>
        </is>
      </c>
      <c r="Y4" s="5" t="inlineStr">
        <is>
          <t>M961</t>
        </is>
      </c>
      <c r="Z4" s="5" t="n"/>
      <c r="AA4" s="5" t="n"/>
      <c r="AB4" s="4" t="n"/>
      <c r="AC4" s="5" t="inlineStr">
        <is>
          <t>Advanced Spine and Pain LLC DME SUR</t>
        </is>
      </c>
      <c r="AD4" s="5" t="inlineStr">
        <is>
          <t>Advanced Spine and Pain LLC DME - Surprise Reems</t>
        </is>
      </c>
      <c r="AE4" s="5" t="inlineStr">
        <is>
          <t>04/03/2026</t>
        </is>
      </c>
      <c r="AF4" s="5" t="inlineStr">
        <is>
          <t>DME</t>
        </is>
      </c>
      <c r="AG4" s="8" t="n"/>
      <c r="AH4" s="4" t="n">
        <v>781</v>
      </c>
    </row>
    <row r="5">
      <c r="A5" s="2" t="n"/>
      <c r="B5" s="3" t="n"/>
      <c r="C5" s="4" t="n">
        <v>554946837</v>
      </c>
      <c r="D5" s="5" t="inlineStr">
        <is>
          <t>HF473973377</t>
        </is>
      </c>
      <c r="E5" s="5" t="inlineStr">
        <is>
          <t>03/23/2026</t>
        </is>
      </c>
      <c r="F5" s="5" t="inlineStr">
        <is>
          <t>DME Region D</t>
        </is>
      </c>
      <c r="G5" s="5" t="inlineStr">
        <is>
          <t>DME Region D</t>
        </is>
      </c>
      <c r="H5" s="5" t="inlineStr">
        <is>
          <t>Humana</t>
        </is>
      </c>
      <c r="I5" s="5" t="inlineStr">
        <is>
          <t>L0650</t>
        </is>
      </c>
      <c r="J5" s="4">
        <f>IF($K5="","",$K5-TODAY())</f>
        <v/>
      </c>
      <c r="K5" s="6" t="n">
        <v>46469</v>
      </c>
      <c r="L5" s="5" t="inlineStr">
        <is>
          <t>365 days</t>
        </is>
      </c>
      <c r="M5" s="5" t="inlineStr">
        <is>
          <t>MEDICARE</t>
        </is>
      </c>
      <c r="N5" s="5" t="inlineStr">
        <is>
          <t>KX</t>
        </is>
      </c>
      <c r="O5" s="5" t="n"/>
      <c r="P5" s="5" t="n"/>
      <c r="Q5" s="4" t="n">
        <v>1</v>
      </c>
      <c r="R5" s="7" t="n">
        <v>6392.96</v>
      </c>
      <c r="S5" s="7" t="n">
        <v>0</v>
      </c>
      <c r="T5" s="7" t="n">
        <v>0</v>
      </c>
      <c r="U5" s="5" t="inlineStr">
        <is>
          <t>04/10/2026</t>
        </is>
      </c>
      <c r="V5" s="7" t="n">
        <v>6392.96</v>
      </c>
      <c r="W5" s="4" t="n">
        <v>138</v>
      </c>
      <c r="X5" s="5" t="inlineStr">
        <is>
          <t>M47817</t>
        </is>
      </c>
      <c r="Y5" s="5" t="inlineStr">
        <is>
          <t>M5450</t>
        </is>
      </c>
      <c r="Z5" s="5" t="inlineStr">
        <is>
          <t>M48062</t>
        </is>
      </c>
      <c r="AA5" s="5" t="n"/>
      <c r="AB5" s="4" t="n"/>
      <c r="AC5" s="5" t="inlineStr">
        <is>
          <t>Advanced Spine and Pain LLC DME GWY</t>
        </is>
      </c>
      <c r="AD5" s="5" t="inlineStr">
        <is>
          <t>Advanced Spine and Pain LLC DME - Peoria</t>
        </is>
      </c>
      <c r="AE5" s="5" t="inlineStr">
        <is>
          <t>04/06/2026</t>
        </is>
      </c>
      <c r="AF5" s="5" t="inlineStr">
        <is>
          <t>DME</t>
        </is>
      </c>
      <c r="AG5" s="8" t="n"/>
      <c r="AH5" s="4" t="n">
        <v>470</v>
      </c>
    </row>
    <row r="6">
      <c r="A6" s="2" t="n"/>
      <c r="B6" s="3" t="n"/>
      <c r="C6" s="4" t="n">
        <v>556757813</v>
      </c>
      <c r="D6" s="5" t="inlineStr">
        <is>
          <t>HF541294637</t>
        </is>
      </c>
      <c r="E6" s="5" t="inlineStr">
        <is>
          <t>03/23/2026</t>
        </is>
      </c>
      <c r="F6" s="5" t="inlineStr">
        <is>
          <t>Medicare Railroad (RR Medicare MetraHealth) 00882</t>
        </is>
      </c>
      <c r="G6" s="5" t="inlineStr">
        <is>
          <t>Medicare Railroad (RR Medicare MetraHealth) 00882</t>
        </is>
      </c>
      <c r="H6" s="5" t="inlineStr">
        <is>
          <t>AARP United Healthcare</t>
        </is>
      </c>
      <c r="I6" s="5" t="inlineStr">
        <is>
          <t>A6023</t>
        </is>
      </c>
      <c r="J6" s="4">
        <f>IF($K6="","",$K6-TODAY())</f>
        <v/>
      </c>
      <c r="K6" s="6" t="n">
        <v>46469</v>
      </c>
      <c r="L6" s="5" t="inlineStr">
        <is>
          <t>365 days</t>
        </is>
      </c>
      <c r="M6" s="5" t="inlineStr">
        <is>
          <t>MEDICARE</t>
        </is>
      </c>
      <c r="N6" s="5" t="inlineStr">
        <is>
          <t>A1</t>
        </is>
      </c>
      <c r="O6" s="5" t="n"/>
      <c r="P6" s="5" t="n"/>
      <c r="Q6" s="4" t="n">
        <v>20</v>
      </c>
      <c r="R6" s="7" t="n">
        <v>36353.8</v>
      </c>
      <c r="S6" s="7" t="n">
        <v>0</v>
      </c>
      <c r="T6" s="7" t="n">
        <v>0</v>
      </c>
      <c r="U6" s="5" t="inlineStr">
        <is>
          <t>05/14/2026</t>
        </is>
      </c>
      <c r="V6" s="7" t="n">
        <v>36353.8</v>
      </c>
      <c r="W6" s="4" t="n">
        <v>138</v>
      </c>
      <c r="X6" s="5" t="inlineStr">
        <is>
          <t>G894</t>
        </is>
      </c>
      <c r="Y6" s="5" t="inlineStr">
        <is>
          <t>M48062</t>
        </is>
      </c>
      <c r="Z6" s="5" t="n"/>
      <c r="AA6" s="5" t="n"/>
      <c r="AB6" s="4" t="n"/>
      <c r="AC6" s="5" t="inlineStr">
        <is>
          <t>O'NEIL, ROY</t>
        </is>
      </c>
      <c r="AD6" s="5" t="inlineStr">
        <is>
          <t>ASAP - Goodyear</t>
        </is>
      </c>
      <c r="AE6" s="5" t="inlineStr">
        <is>
          <t>04/21/2026</t>
        </is>
      </c>
      <c r="AF6" s="5" t="inlineStr">
        <is>
          <t>DME</t>
        </is>
      </c>
      <c r="AG6" s="8" t="inlineStr">
        <is>
          <t>Railroad Medicare - same statutory 1 year Medicare limit.</t>
        </is>
      </c>
      <c r="AH6" s="4" t="n">
        <v>547</v>
      </c>
    </row>
    <row r="7">
      <c r="A7" s="2" t="n"/>
      <c r="B7" s="3" t="n"/>
      <c r="C7" s="4" t="n">
        <v>556761529</v>
      </c>
      <c r="D7" s="5" t="inlineStr">
        <is>
          <t>HF549224659</t>
        </is>
      </c>
      <c r="E7" s="5" t="inlineStr">
        <is>
          <t>03/30/2026</t>
        </is>
      </c>
      <c r="F7" s="5" t="inlineStr">
        <is>
          <t>DME Region D</t>
        </is>
      </c>
      <c r="G7" s="5" t="inlineStr">
        <is>
          <t>DME Region D</t>
        </is>
      </c>
      <c r="H7" s="5" t="inlineStr">
        <is>
          <t>Blue Cross Blue Shield of Arizona (BCBS AZ)</t>
        </is>
      </c>
      <c r="I7" s="5" t="inlineStr">
        <is>
          <t>A6023</t>
        </is>
      </c>
      <c r="J7" s="4">
        <f>IF($K7="","",$K7-TODAY())</f>
        <v/>
      </c>
      <c r="K7" s="6" t="n">
        <v>46476</v>
      </c>
      <c r="L7" s="5" t="inlineStr">
        <is>
          <t>365 days</t>
        </is>
      </c>
      <c r="M7" s="5" t="inlineStr">
        <is>
          <t>MEDICARE</t>
        </is>
      </c>
      <c r="N7" s="5" t="inlineStr">
        <is>
          <t>A1</t>
        </is>
      </c>
      <c r="O7" s="5" t="n"/>
      <c r="P7" s="5" t="n"/>
      <c r="Q7" s="4" t="n">
        <v>10</v>
      </c>
      <c r="R7" s="7" t="n">
        <v>18176.9</v>
      </c>
      <c r="S7" s="7" t="n">
        <v>0</v>
      </c>
      <c r="T7" s="7" t="n">
        <v>542.4400000000001</v>
      </c>
      <c r="U7" s="5" t="inlineStr">
        <is>
          <t>05/12/2026</t>
        </is>
      </c>
      <c r="V7" s="7" t="n">
        <v>17634.46</v>
      </c>
      <c r="W7" s="4" t="n">
        <v>131</v>
      </c>
      <c r="X7" s="5" t="inlineStr">
        <is>
          <t>G894</t>
        </is>
      </c>
      <c r="Y7" s="5" t="inlineStr">
        <is>
          <t>M48062</t>
        </is>
      </c>
      <c r="Z7" s="5" t="n"/>
      <c r="AA7" s="5" t="n"/>
      <c r="AB7" s="4" t="n"/>
      <c r="AC7" s="5" t="inlineStr">
        <is>
          <t>Advanced Spine and Pain LLC DME SUR</t>
        </is>
      </c>
      <c r="AD7" s="5" t="inlineStr">
        <is>
          <t>Advanced Spine and Pain LLC DME - Surprise Reems</t>
        </is>
      </c>
      <c r="AE7" s="5" t="inlineStr">
        <is>
          <t>04/21/2026</t>
        </is>
      </c>
      <c r="AF7" s="5" t="inlineStr">
        <is>
          <t>DME</t>
        </is>
      </c>
      <c r="AG7" s="8" t="n"/>
      <c r="AH7" s="4" t="n">
        <v>792</v>
      </c>
    </row>
    <row r="8">
      <c r="A8" s="2" t="n"/>
      <c r="B8" s="3" t="n"/>
      <c r="C8" s="4" t="n">
        <v>554941943</v>
      </c>
      <c r="D8" s="5" t="inlineStr">
        <is>
          <t>HF518773107</t>
        </is>
      </c>
      <c r="E8" s="5" t="inlineStr">
        <is>
          <t>03/31/2026</t>
        </is>
      </c>
      <c r="F8" s="5" t="inlineStr">
        <is>
          <t>DME Region D</t>
        </is>
      </c>
      <c r="G8" s="5" t="inlineStr">
        <is>
          <t>DME Region D</t>
        </is>
      </c>
      <c r="H8" s="5" t="inlineStr">
        <is>
          <t>Aetna Senior Supplemental (AESSI) - Secondary Only 62118</t>
        </is>
      </c>
      <c r="I8" s="5" t="inlineStr">
        <is>
          <t>L0650</t>
        </is>
      </c>
      <c r="J8" s="4">
        <f>IF($K8="","",$K8-TODAY())</f>
        <v/>
      </c>
      <c r="K8" s="6" t="n">
        <v>46477</v>
      </c>
      <c r="L8" s="5" t="inlineStr">
        <is>
          <t>365 days</t>
        </is>
      </c>
      <c r="M8" s="5" t="inlineStr">
        <is>
          <t>MEDICARE</t>
        </is>
      </c>
      <c r="N8" s="5" t="inlineStr">
        <is>
          <t>KX</t>
        </is>
      </c>
      <c r="O8" s="5" t="n"/>
      <c r="P8" s="5" t="n"/>
      <c r="Q8" s="4" t="n">
        <v>1</v>
      </c>
      <c r="R8" s="7" t="n">
        <v>6392.96</v>
      </c>
      <c r="S8" s="7" t="n">
        <v>0</v>
      </c>
      <c r="T8" s="7" t="n">
        <v>0</v>
      </c>
      <c r="U8" s="5" t="inlineStr">
        <is>
          <t>04/09/2026</t>
        </is>
      </c>
      <c r="V8" s="7" t="n">
        <v>6392.96</v>
      </c>
      <c r="W8" s="4" t="n">
        <v>130</v>
      </c>
      <c r="X8" s="5" t="inlineStr">
        <is>
          <t>G894</t>
        </is>
      </c>
      <c r="Y8" s="5" t="inlineStr">
        <is>
          <t>M5459</t>
        </is>
      </c>
      <c r="Z8" s="5" t="inlineStr">
        <is>
          <t>Z4789</t>
        </is>
      </c>
      <c r="AA8" s="5" t="n"/>
      <c r="AB8" s="4" t="n"/>
      <c r="AC8" s="5" t="inlineStr">
        <is>
          <t>Advanced Spine and Pain LLC DME GWY</t>
        </is>
      </c>
      <c r="AD8" s="5" t="inlineStr">
        <is>
          <t>Advanced Spine and Pain LLC DME - Gilbert</t>
        </is>
      </c>
      <c r="AE8" s="5" t="inlineStr">
        <is>
          <t>04/06/2026</t>
        </is>
      </c>
      <c r="AF8" s="5" t="inlineStr">
        <is>
          <t>DME</t>
        </is>
      </c>
      <c r="AG8" s="8" t="n"/>
      <c r="AH8" s="4" t="n">
        <v>764</v>
      </c>
    </row>
    <row r="9">
      <c r="A9" s="2" t="n"/>
      <c r="B9" s="3" t="n"/>
      <c r="C9" s="4" t="n">
        <v>555728365</v>
      </c>
      <c r="D9" s="5" t="inlineStr">
        <is>
          <t>HF549992587</t>
        </is>
      </c>
      <c r="E9" s="5" t="inlineStr">
        <is>
          <t>03/11/2026</t>
        </is>
      </c>
      <c r="F9" s="5" t="inlineStr">
        <is>
          <t>Optum Care Medical Network of Arizona, Utah, &amp; Washington (LifePrint)</t>
        </is>
      </c>
      <c r="G9" s="5" t="inlineStr">
        <is>
          <t>Optum Care Medical Network of Arizona, Utah, &amp; Washington (LifePrint)</t>
        </is>
      </c>
      <c r="H9" s="5" t="inlineStr">
        <is>
          <t>No Payer</t>
        </is>
      </c>
      <c r="I9" s="5" t="inlineStr">
        <is>
          <t>L0650</t>
        </is>
      </c>
      <c r="J9" s="4">
        <f>IF($K9="","",$K9-TODAY())</f>
        <v/>
      </c>
      <c r="K9" s="6" t="n">
        <v>46182</v>
      </c>
      <c r="L9" s="5" t="inlineStr">
        <is>
          <t>90 days</t>
        </is>
      </c>
      <c r="M9" s="5" t="inlineStr">
        <is>
          <t>OPTUM</t>
        </is>
      </c>
      <c r="N9" s="5" t="inlineStr">
        <is>
          <t>NU</t>
        </is>
      </c>
      <c r="O9" s="5" t="n"/>
      <c r="P9" s="5" t="n"/>
      <c r="Q9" s="4" t="n">
        <v>1</v>
      </c>
      <c r="R9" s="7" t="n">
        <v>6392.96</v>
      </c>
      <c r="S9" s="7" t="n">
        <v>0</v>
      </c>
      <c r="T9" s="7" t="n">
        <v>0</v>
      </c>
      <c r="U9" s="5" t="n"/>
      <c r="V9" s="7" t="n">
        <v>6392.96</v>
      </c>
      <c r="W9" s="4" t="n">
        <v>150</v>
      </c>
      <c r="X9" s="5" t="inlineStr">
        <is>
          <t>M5416</t>
        </is>
      </c>
      <c r="Y9" s="5" t="inlineStr">
        <is>
          <t>M47896</t>
        </is>
      </c>
      <c r="Z9" s="5" t="n"/>
      <c r="AA9" s="5" t="n"/>
      <c r="AB9" s="4" t="n"/>
      <c r="AC9" s="5" t="inlineStr">
        <is>
          <t>KRAUSE, JEFFREY</t>
        </is>
      </c>
      <c r="AD9" s="5" t="inlineStr">
        <is>
          <t>ASAP - DEER VALLEY</t>
        </is>
      </c>
      <c r="AE9" s="5" t="inlineStr">
        <is>
          <t>04/13/2026</t>
        </is>
      </c>
      <c r="AF9" s="5" t="inlineStr">
        <is>
          <t>DME</t>
        </is>
      </c>
      <c r="AG9" s="8" t="n"/>
      <c r="AH9" s="4" t="n">
        <v>896</v>
      </c>
    </row>
    <row r="10">
      <c r="A10" s="2" t="n"/>
      <c r="B10" s="3" t="n"/>
      <c r="C10" s="4" t="n">
        <v>552871981</v>
      </c>
      <c r="D10" s="5" t="inlineStr">
        <is>
          <t>HF545096268</t>
        </is>
      </c>
      <c r="E10" s="5" t="inlineStr">
        <is>
          <t>03/16/2026</t>
        </is>
      </c>
      <c r="F10" s="5" t="inlineStr">
        <is>
          <t>Optum Care Medical Network of Arizona, Utah, &amp; Washington (LifePrint)</t>
        </is>
      </c>
      <c r="G10" s="5" t="inlineStr">
        <is>
          <t>Optum Care Medical Network of Arizona, Utah, &amp; Washington (LifePrint)</t>
        </is>
      </c>
      <c r="H10" s="5" t="inlineStr">
        <is>
          <t>No Payer</t>
        </is>
      </c>
      <c r="I10" s="5" t="inlineStr">
        <is>
          <t>A6010</t>
        </is>
      </c>
      <c r="J10" s="4">
        <f>IF($K10="","",$K10-TODAY())</f>
        <v/>
      </c>
      <c r="K10" s="6" t="n">
        <v>46187</v>
      </c>
      <c r="L10" s="5" t="inlineStr">
        <is>
          <t>90 days</t>
        </is>
      </c>
      <c r="M10" s="5" t="inlineStr">
        <is>
          <t>OPTUM</t>
        </is>
      </c>
      <c r="N10" s="5" t="inlineStr">
        <is>
          <t>A1</t>
        </is>
      </c>
      <c r="O10" s="5" t="n"/>
      <c r="P10" s="5" t="n"/>
      <c r="Q10" s="4" t="n">
        <v>20</v>
      </c>
      <c r="R10" s="7" t="n">
        <v>5916.4</v>
      </c>
      <c r="S10" s="7" t="n">
        <v>0</v>
      </c>
      <c r="T10" s="7" t="n">
        <v>0</v>
      </c>
      <c r="U10" s="5" t="n"/>
      <c r="V10" s="7" t="n">
        <v>5916.4</v>
      </c>
      <c r="W10" s="4" t="n">
        <v>145</v>
      </c>
      <c r="X10" s="5" t="inlineStr">
        <is>
          <t>L03116</t>
        </is>
      </c>
      <c r="Y10" s="5" t="inlineStr">
        <is>
          <t>M2012</t>
        </is>
      </c>
      <c r="Z10" s="5" t="inlineStr">
        <is>
          <t>Q66212</t>
        </is>
      </c>
      <c r="AA10" s="5" t="n"/>
      <c r="AB10" s="4" t="n"/>
      <c r="AC10" s="5" t="inlineStr">
        <is>
          <t>KOMINSKY, STEPHEN</t>
        </is>
      </c>
      <c r="AD10" s="5" t="inlineStr">
        <is>
          <t>ASAP - DEER VALLEY</t>
        </is>
      </c>
      <c r="AE10" s="5" t="inlineStr">
        <is>
          <t>07/14/2026</t>
        </is>
      </c>
      <c r="AF10" s="5" t="inlineStr">
        <is>
          <t>DME</t>
        </is>
      </c>
      <c r="AG10" s="8" t="n"/>
      <c r="AH10" s="4" t="n">
        <v>386</v>
      </c>
    </row>
    <row r="11">
      <c r="A11" s="2" t="inlineStr">
        <is>
          <t>Finalized</t>
        </is>
      </c>
      <c r="B11" s="3" t="n"/>
      <c r="C11" s="4" t="n">
        <v>554940052</v>
      </c>
      <c r="D11" s="5" t="inlineStr">
        <is>
          <t>HF548742459</t>
        </is>
      </c>
      <c r="E11" s="5" t="inlineStr">
        <is>
          <t>03/26/2026</t>
        </is>
      </c>
      <c r="F11" s="5" t="inlineStr">
        <is>
          <t>UnitedHealthcare / All Savers Insurance</t>
        </is>
      </c>
      <c r="G11" s="5" t="inlineStr">
        <is>
          <t>United Healthcare</t>
        </is>
      </c>
      <c r="H11" s="5" t="inlineStr">
        <is>
          <t>UnitedHealthcare / All Savers Insurance</t>
        </is>
      </c>
      <c r="I11" s="5" t="inlineStr">
        <is>
          <t>L0650</t>
        </is>
      </c>
      <c r="J11" s="4">
        <f>IF($K11="","",$K11-TODAY())</f>
        <v/>
      </c>
      <c r="K11" s="6" t="n">
        <v>46197</v>
      </c>
      <c r="L11" s="5" t="inlineStr">
        <is>
          <t>90 days</t>
        </is>
      </c>
      <c r="M11" s="5" t="inlineStr">
        <is>
          <t>UHC COMMERCIAL</t>
        </is>
      </c>
      <c r="N11" s="5" t="inlineStr">
        <is>
          <t>NU</t>
        </is>
      </c>
      <c r="O11" s="5" t="n"/>
      <c r="P11" s="5" t="n"/>
      <c r="Q11" s="4" t="n">
        <v>1</v>
      </c>
      <c r="R11" s="7" t="n">
        <v>6392.96</v>
      </c>
      <c r="S11" s="7" t="n">
        <v>5793.21</v>
      </c>
      <c r="T11" s="7" t="n">
        <v>0</v>
      </c>
      <c r="U11" s="5" t="inlineStr">
        <is>
          <t>07/13/2026</t>
        </is>
      </c>
      <c r="V11" s="7" t="n">
        <v>599.75</v>
      </c>
      <c r="W11" s="4" t="n">
        <v>135</v>
      </c>
      <c r="X11" s="5" t="inlineStr">
        <is>
          <t>M5416</t>
        </is>
      </c>
      <c r="Y11" s="5" t="inlineStr">
        <is>
          <t>M47896</t>
        </is>
      </c>
      <c r="Z11" s="5" t="inlineStr">
        <is>
          <t>M5489</t>
        </is>
      </c>
      <c r="AA11" s="5" t="n"/>
      <c r="AB11" s="4" t="n">
        <v>561872992</v>
      </c>
      <c r="AC11" s="5" t="inlineStr">
        <is>
          <t>ADLER, STEVEN</t>
        </is>
      </c>
      <c r="AD11" s="5" t="inlineStr">
        <is>
          <t>ASAP - DEER VALLEY</t>
        </is>
      </c>
      <c r="AE11" s="5" t="inlineStr">
        <is>
          <t>04/06/2026</t>
        </is>
      </c>
      <c r="AF11" s="5" t="inlineStr">
        <is>
          <t>DME</t>
        </is>
      </c>
      <c r="AG11" s="8" t="n"/>
      <c r="AH11" s="4" t="n">
        <v>31</v>
      </c>
    </row>
  </sheetData>
  <autoFilter ref="A1:AH11"/>
  <conditionalFormatting sqref="J2:M11">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H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555067836</v>
      </c>
      <c r="D2" s="5" t="inlineStr">
        <is>
          <t>HF333306186</t>
        </is>
      </c>
      <c r="E2" s="5" t="inlineStr">
        <is>
          <t>03/02/2026</t>
        </is>
      </c>
      <c r="F2" s="5" t="inlineStr">
        <is>
          <t>UnitedHealthcare Community Plan / Arizona Long Term Care</t>
        </is>
      </c>
      <c r="G2" s="5" t="inlineStr">
        <is>
          <t>UnitedHealthcare Community Plan / Arizona Long Term Care</t>
        </is>
      </c>
      <c r="H2" s="5" t="inlineStr">
        <is>
          <t>UnitedHealthcare Community Plan / Arizona Long Term Care</t>
        </is>
      </c>
      <c r="I2" s="5" t="inlineStr">
        <is>
          <t>75710</t>
        </is>
      </c>
      <c r="J2" s="4">
        <f>IF($K2="","",$K2-TODAY())</f>
        <v/>
      </c>
      <c r="K2" s="6" t="n">
        <v>46173</v>
      </c>
      <c r="L2" s="5" t="inlineStr">
        <is>
          <t>90 days</t>
        </is>
      </c>
      <c r="M2" s="5" t="inlineStr">
        <is>
          <t>UHC COMMUNITY</t>
        </is>
      </c>
      <c r="N2" s="5" t="inlineStr">
        <is>
          <t>26</t>
        </is>
      </c>
      <c r="O2" s="5" t="inlineStr">
        <is>
          <t>XU</t>
        </is>
      </c>
      <c r="P2" s="5" t="inlineStr">
        <is>
          <t>RT</t>
        </is>
      </c>
      <c r="Q2" s="4" t="n">
        <v>1</v>
      </c>
      <c r="R2" s="7" t="n">
        <v>1037.19</v>
      </c>
      <c r="S2" s="7" t="n">
        <v>0</v>
      </c>
      <c r="T2" s="7" t="n">
        <v>0</v>
      </c>
      <c r="U2" s="5" t="inlineStr">
        <is>
          <t>07/14/2026</t>
        </is>
      </c>
      <c r="V2" s="7" t="n">
        <v>1037.19</v>
      </c>
      <c r="W2" s="4" t="n">
        <v>159</v>
      </c>
      <c r="X2" s="5" t="inlineStr">
        <is>
          <t>M1711</t>
        </is>
      </c>
      <c r="Y2" s="5" t="inlineStr">
        <is>
          <t>I798</t>
        </is>
      </c>
      <c r="Z2" s="5" t="inlineStr">
        <is>
          <t>M25561</t>
        </is>
      </c>
      <c r="AA2" s="5" t="n"/>
      <c r="AB2" s="4" t="n"/>
      <c r="AC2" s="5" t="inlineStr">
        <is>
          <t>HUNTER, DREW</t>
        </is>
      </c>
      <c r="AD2" s="5" t="inlineStr">
        <is>
          <t>ASAP Surgery Centers North Valley LLC</t>
        </is>
      </c>
      <c r="AE2" s="5" t="inlineStr">
        <is>
          <t>04/07/2026</t>
        </is>
      </c>
      <c r="AF2" s="5" t="inlineStr">
        <is>
          <t>GAE</t>
        </is>
      </c>
      <c r="AG2" s="8" t="n"/>
      <c r="AH2" s="4" t="n">
        <v>765</v>
      </c>
    </row>
    <row r="3">
      <c r="A3" s="2" t="n"/>
      <c r="B3" s="3" t="n"/>
      <c r="C3" s="4" t="n">
        <v>555067836</v>
      </c>
      <c r="D3" s="5" t="inlineStr">
        <is>
          <t>HF333306186</t>
        </is>
      </c>
      <c r="E3" s="5" t="inlineStr">
        <is>
          <t>03/02/2026</t>
        </is>
      </c>
      <c r="F3" s="5" t="inlineStr">
        <is>
          <t>UnitedHealthcare Community Plan / Arizona Long Term Care</t>
        </is>
      </c>
      <c r="G3" s="5" t="inlineStr">
        <is>
          <t>UnitedHealthcare Community Plan / Arizona Long Term Care</t>
        </is>
      </c>
      <c r="H3" s="5" t="inlineStr">
        <is>
          <t>UnitedHealthcare Community Plan / Arizona Long Term Care</t>
        </is>
      </c>
      <c r="I3" s="5" t="inlineStr">
        <is>
          <t>36246</t>
        </is>
      </c>
      <c r="J3" s="4">
        <f>IF($K3="","",$K3-TODAY())</f>
        <v/>
      </c>
      <c r="K3" s="6" t="n">
        <v>46173</v>
      </c>
      <c r="L3" s="5" t="inlineStr">
        <is>
          <t>90 days</t>
        </is>
      </c>
      <c r="M3" s="5" t="inlineStr">
        <is>
          <t>UHC COMMUNITY</t>
        </is>
      </c>
      <c r="N3" s="5" t="inlineStr">
        <is>
          <t>59</t>
        </is>
      </c>
      <c r="O3" s="5" t="inlineStr">
        <is>
          <t>RT</t>
        </is>
      </c>
      <c r="P3" s="5" t="n"/>
      <c r="Q3" s="4" t="n">
        <v>1</v>
      </c>
      <c r="R3" s="7" t="n">
        <v>5741.19</v>
      </c>
      <c r="S3" s="7" t="n">
        <v>0</v>
      </c>
      <c r="T3" s="7" t="n">
        <v>0</v>
      </c>
      <c r="U3" s="5" t="inlineStr">
        <is>
          <t>07/14/2026</t>
        </is>
      </c>
      <c r="V3" s="7" t="n">
        <v>5741.19</v>
      </c>
      <c r="W3" s="4" t="n">
        <v>159</v>
      </c>
      <c r="X3" s="5" t="inlineStr">
        <is>
          <t>M1711</t>
        </is>
      </c>
      <c r="Y3" s="5" t="inlineStr">
        <is>
          <t>I798</t>
        </is>
      </c>
      <c r="Z3" s="5" t="inlineStr">
        <is>
          <t>M25561</t>
        </is>
      </c>
      <c r="AA3" s="5" t="n"/>
      <c r="AB3" s="4" t="n"/>
      <c r="AC3" s="5" t="inlineStr">
        <is>
          <t>HUNTER, DREW</t>
        </is>
      </c>
      <c r="AD3" s="5" t="inlineStr">
        <is>
          <t>ASAP Surgery Centers North Valley LLC</t>
        </is>
      </c>
      <c r="AE3" s="5" t="inlineStr">
        <is>
          <t>04/07/2026</t>
        </is>
      </c>
      <c r="AF3" s="5" t="inlineStr">
        <is>
          <t>GAE</t>
        </is>
      </c>
      <c r="AG3" s="8" t="n"/>
      <c r="AH3" s="4" t="n">
        <v>766</v>
      </c>
    </row>
    <row r="4">
      <c r="A4" s="2" t="n"/>
      <c r="B4" s="3" t="n"/>
      <c r="C4" s="4" t="n">
        <v>555067836</v>
      </c>
      <c r="D4" s="5" t="inlineStr">
        <is>
          <t>HF333306186</t>
        </is>
      </c>
      <c r="E4" s="5" t="inlineStr">
        <is>
          <t>03/02/2026</t>
        </is>
      </c>
      <c r="F4" s="5" t="inlineStr">
        <is>
          <t>UnitedHealthcare Community Plan / Arizona Long Term Care</t>
        </is>
      </c>
      <c r="G4" s="5" t="inlineStr">
        <is>
          <t>UnitedHealthcare Community Plan / Arizona Long Term Care</t>
        </is>
      </c>
      <c r="H4" s="5" t="inlineStr">
        <is>
          <t>UnitedHealthcare Community Plan / Arizona Long Term Care</t>
        </is>
      </c>
      <c r="I4" s="5" t="inlineStr">
        <is>
          <t>75774</t>
        </is>
      </c>
      <c r="J4" s="4">
        <f>IF($K4="","",$K4-TODAY())</f>
        <v/>
      </c>
      <c r="K4" s="6" t="n">
        <v>46173</v>
      </c>
      <c r="L4" s="5" t="inlineStr">
        <is>
          <t>90 days</t>
        </is>
      </c>
      <c r="M4" s="5" t="inlineStr">
        <is>
          <t>UHC COMMUNITY</t>
        </is>
      </c>
      <c r="N4" s="5" t="inlineStr">
        <is>
          <t>26</t>
        </is>
      </c>
      <c r="O4" s="5" t="inlineStr">
        <is>
          <t>XU</t>
        </is>
      </c>
      <c r="P4" s="5" t="n"/>
      <c r="Q4" s="4" t="n">
        <v>5</v>
      </c>
      <c r="R4" s="7" t="n">
        <v>3356.5</v>
      </c>
      <c r="S4" s="7" t="n">
        <v>0</v>
      </c>
      <c r="T4" s="7" t="n">
        <v>0</v>
      </c>
      <c r="U4" s="5" t="inlineStr">
        <is>
          <t>07/14/2026</t>
        </is>
      </c>
      <c r="V4" s="7" t="n">
        <v>3356.5</v>
      </c>
      <c r="W4" s="4" t="n">
        <v>159</v>
      </c>
      <c r="X4" s="5" t="inlineStr">
        <is>
          <t>M1711</t>
        </is>
      </c>
      <c r="Y4" s="5" t="inlineStr">
        <is>
          <t>I798</t>
        </is>
      </c>
      <c r="Z4" s="5" t="inlineStr">
        <is>
          <t>M25561</t>
        </is>
      </c>
      <c r="AA4" s="5" t="n"/>
      <c r="AB4" s="4" t="n"/>
      <c r="AC4" s="5" t="inlineStr">
        <is>
          <t>HUNTER, DREW</t>
        </is>
      </c>
      <c r="AD4" s="5" t="inlineStr">
        <is>
          <t>ASAP Surgery Centers North Valley LLC</t>
        </is>
      </c>
      <c r="AE4" s="5" t="inlineStr">
        <is>
          <t>04/07/2026</t>
        </is>
      </c>
      <c r="AF4" s="5" t="inlineStr">
        <is>
          <t>GAE</t>
        </is>
      </c>
      <c r="AG4" s="8" t="n"/>
      <c r="AH4" s="4" t="n">
        <v>767</v>
      </c>
    </row>
    <row r="5">
      <c r="A5" s="2" t="inlineStr">
        <is>
          <t>Finalized</t>
        </is>
      </c>
      <c r="B5" s="3" t="n"/>
      <c r="C5" s="4" t="n">
        <v>555069394</v>
      </c>
      <c r="D5" s="5" t="inlineStr">
        <is>
          <t>HF531061819</t>
        </is>
      </c>
      <c r="E5" s="5" t="inlineStr">
        <is>
          <t>03/08/2026</t>
        </is>
      </c>
      <c r="F5" s="5" t="inlineStr">
        <is>
          <t>AMETrust</t>
        </is>
      </c>
      <c r="G5" s="5" t="inlineStr">
        <is>
          <t>Blue Cross Blue Shield of Arizona (BCBS AZ)</t>
        </is>
      </c>
      <c r="H5" s="5" t="inlineStr">
        <is>
          <t>AMETrust</t>
        </is>
      </c>
      <c r="I5" s="5" t="inlineStr">
        <is>
          <t>37242</t>
        </is>
      </c>
      <c r="J5" s="4">
        <f>IF($K5="","",$K5-TODAY())</f>
        <v/>
      </c>
      <c r="K5" s="6" t="n">
        <v>46179</v>
      </c>
      <c r="L5" s="5" t="inlineStr">
        <is>
          <t>90 days</t>
        </is>
      </c>
      <c r="M5" s="5" t="inlineStr">
        <is>
          <t>BCBS</t>
        </is>
      </c>
      <c r="N5" s="5" t="n"/>
      <c r="O5" s="5" t="n"/>
      <c r="P5" s="5" t="n"/>
      <c r="Q5" s="4" t="n">
        <v>1</v>
      </c>
      <c r="R5" s="7" t="n">
        <v>49162.82</v>
      </c>
      <c r="S5" s="7" t="n">
        <v>42467.38</v>
      </c>
      <c r="T5" s="7" t="n">
        <v>2458.93</v>
      </c>
      <c r="U5" s="5" t="inlineStr">
        <is>
          <t>04/20/2026</t>
        </is>
      </c>
      <c r="V5" s="7" t="n">
        <v>4236.51</v>
      </c>
      <c r="W5" s="4" t="n">
        <v>152</v>
      </c>
      <c r="X5" s="5" t="inlineStr">
        <is>
          <t>M1712</t>
        </is>
      </c>
      <c r="Y5" s="5" t="inlineStr">
        <is>
          <t>I798</t>
        </is>
      </c>
      <c r="Z5" s="5" t="inlineStr">
        <is>
          <t>M25562</t>
        </is>
      </c>
      <c r="AA5" s="5" t="n"/>
      <c r="AB5" s="4" t="n">
        <v>560554996</v>
      </c>
      <c r="AC5" s="5" t="inlineStr">
        <is>
          <t>HUNTER, DREW</t>
        </is>
      </c>
      <c r="AD5" s="5" t="inlineStr">
        <is>
          <t>ASAP - Gilbert</t>
        </is>
      </c>
      <c r="AE5" s="5" t="inlineStr">
        <is>
          <t>04/07/2026</t>
        </is>
      </c>
      <c r="AF5" s="5" t="inlineStr">
        <is>
          <t>GAE</t>
        </is>
      </c>
      <c r="AG5" s="8" t="inlineStr">
        <is>
          <t>BCBS AZ dropped from 365 to 90 days on 01/01/2026. All dates of service here are 2026, so 90 days applies.</t>
        </is>
      </c>
      <c r="AH5" s="4" t="n">
        <v>282</v>
      </c>
    </row>
    <row r="6">
      <c r="A6" s="2" t="n"/>
      <c r="B6" s="3" t="n"/>
      <c r="C6" s="4" t="n">
        <v>555069563</v>
      </c>
      <c r="D6" s="5" t="inlineStr">
        <is>
          <t>HF362284092</t>
        </is>
      </c>
      <c r="E6" s="5" t="inlineStr">
        <is>
          <t>03/08/2026</t>
        </is>
      </c>
      <c r="F6" s="5" t="inlineStr">
        <is>
          <t>UMR Wausau / UHIS</t>
        </is>
      </c>
      <c r="G6" s="5" t="inlineStr">
        <is>
          <t>UMR Wausau / UHIS</t>
        </is>
      </c>
      <c r="H6" s="5" t="inlineStr">
        <is>
          <t>Arizona Complete Health (Centene)</t>
        </is>
      </c>
      <c r="I6" s="5" t="inlineStr">
        <is>
          <t>75710</t>
        </is>
      </c>
      <c r="J6" s="4">
        <f>IF($K6="","",$K6-TODAY())</f>
        <v/>
      </c>
      <c r="K6" s="6" t="n"/>
      <c r="L6" s="5" t="n"/>
      <c r="M6" s="5" t="inlineStr">
        <is>
          <t>UMR / WAUSAU</t>
        </is>
      </c>
      <c r="N6" s="5" t="inlineStr">
        <is>
          <t>XU</t>
        </is>
      </c>
      <c r="O6" s="5" t="inlineStr">
        <is>
          <t>LT</t>
        </is>
      </c>
      <c r="P6" s="5" t="n"/>
      <c r="Q6" s="4" t="n">
        <v>1</v>
      </c>
      <c r="R6" s="7" t="n">
        <v>1037.19</v>
      </c>
      <c r="S6" s="7" t="n">
        <v>0</v>
      </c>
      <c r="T6" s="7" t="n">
        <v>0</v>
      </c>
      <c r="U6" s="5" t="n"/>
      <c r="V6" s="7" t="n">
        <v>1037.19</v>
      </c>
      <c r="W6" s="4" t="n">
        <v>152</v>
      </c>
      <c r="X6" s="5" t="inlineStr">
        <is>
          <t>M1712</t>
        </is>
      </c>
      <c r="Y6" s="5" t="inlineStr">
        <is>
          <t>I798</t>
        </is>
      </c>
      <c r="Z6" s="5" t="inlineStr">
        <is>
          <t>M25562</t>
        </is>
      </c>
      <c r="AA6" s="5" t="n"/>
      <c r="AB6" s="4" t="n"/>
      <c r="AC6" s="5" t="inlineStr">
        <is>
          <t>HUNTER, DREW</t>
        </is>
      </c>
      <c r="AD6" s="5" t="inlineStr">
        <is>
          <t>ASAP - Gilbert</t>
        </is>
      </c>
      <c r="AE6" s="5" t="inlineStr">
        <is>
          <t>04/07/2026</t>
        </is>
      </c>
      <c r="AF6" s="5" t="inlineStr">
        <is>
          <t>GAE</t>
        </is>
      </c>
      <c r="AG6" s="8" t="n"/>
      <c r="AH6" s="4" t="n">
        <v>95</v>
      </c>
    </row>
    <row r="7">
      <c r="A7" s="2" t="n"/>
      <c r="B7" s="3" t="n"/>
      <c r="C7" s="4" t="n">
        <v>555069563</v>
      </c>
      <c r="D7" s="5" t="inlineStr">
        <is>
          <t>HF362284092</t>
        </is>
      </c>
      <c r="E7" s="5" t="inlineStr">
        <is>
          <t>03/08/2026</t>
        </is>
      </c>
      <c r="F7" s="5" t="inlineStr">
        <is>
          <t>UMR Wausau / UHIS</t>
        </is>
      </c>
      <c r="G7" s="5" t="inlineStr">
        <is>
          <t>UMR Wausau / UHIS</t>
        </is>
      </c>
      <c r="H7" s="5" t="inlineStr">
        <is>
          <t>Arizona Complete Health (Centene)</t>
        </is>
      </c>
      <c r="I7" s="5" t="inlineStr">
        <is>
          <t>75774</t>
        </is>
      </c>
      <c r="J7" s="4">
        <f>IF($K7="","",$K7-TODAY())</f>
        <v/>
      </c>
      <c r="K7" s="6" t="n"/>
      <c r="L7" s="5" t="n"/>
      <c r="M7" s="5" t="inlineStr">
        <is>
          <t>UMR / WAUSAU</t>
        </is>
      </c>
      <c r="N7" s="5" t="inlineStr">
        <is>
          <t>XU</t>
        </is>
      </c>
      <c r="O7" s="5" t="n"/>
      <c r="P7" s="5" t="n"/>
      <c r="Q7" s="4" t="n">
        <v>5</v>
      </c>
      <c r="R7" s="7" t="n">
        <v>3356.5</v>
      </c>
      <c r="S7" s="7" t="n">
        <v>0</v>
      </c>
      <c r="T7" s="7" t="n">
        <v>0</v>
      </c>
      <c r="U7" s="5" t="n"/>
      <c r="V7" s="7" t="n">
        <v>3356.5</v>
      </c>
      <c r="W7" s="4" t="n">
        <v>152</v>
      </c>
      <c r="X7" s="5" t="inlineStr">
        <is>
          <t>M1712</t>
        </is>
      </c>
      <c r="Y7" s="5" t="inlineStr">
        <is>
          <t>I798</t>
        </is>
      </c>
      <c r="Z7" s="5" t="inlineStr">
        <is>
          <t>M25562</t>
        </is>
      </c>
      <c r="AA7" s="5" t="n"/>
      <c r="AB7" s="4" t="n"/>
      <c r="AC7" s="5" t="inlineStr">
        <is>
          <t>HUNTER, DREW</t>
        </is>
      </c>
      <c r="AD7" s="5" t="inlineStr">
        <is>
          <t>ASAP - Gilbert</t>
        </is>
      </c>
      <c r="AE7" s="5" t="inlineStr">
        <is>
          <t>04/07/2026</t>
        </is>
      </c>
      <c r="AF7" s="5" t="inlineStr">
        <is>
          <t>GAE</t>
        </is>
      </c>
      <c r="AG7" s="8" t="n"/>
      <c r="AH7" s="4" t="n">
        <v>103</v>
      </c>
    </row>
    <row r="8">
      <c r="A8" s="2" t="n"/>
      <c r="B8" s="3" t="n"/>
      <c r="C8" s="4" t="n">
        <v>555069563</v>
      </c>
      <c r="D8" s="5" t="inlineStr">
        <is>
          <t>HF362284092</t>
        </is>
      </c>
      <c r="E8" s="5" t="inlineStr">
        <is>
          <t>03/08/2026</t>
        </is>
      </c>
      <c r="F8" s="5" t="inlineStr">
        <is>
          <t>UMR Wausau / UHIS</t>
        </is>
      </c>
      <c r="G8" s="5" t="inlineStr">
        <is>
          <t>UMR Wausau / UHIS</t>
        </is>
      </c>
      <c r="H8" s="5" t="inlineStr">
        <is>
          <t>Arizona Complete Health (Centene)</t>
        </is>
      </c>
      <c r="I8" s="5" t="inlineStr">
        <is>
          <t>36245</t>
        </is>
      </c>
      <c r="J8" s="4">
        <f>IF($K8="","",$K8-TODAY())</f>
        <v/>
      </c>
      <c r="K8" s="6" t="n"/>
      <c r="L8" s="5" t="n"/>
      <c r="M8" s="5" t="inlineStr">
        <is>
          <t>UMR / WAUSAU</t>
        </is>
      </c>
      <c r="N8" s="5" t="inlineStr">
        <is>
          <t>59</t>
        </is>
      </c>
      <c r="O8" s="5" t="n"/>
      <c r="P8" s="5" t="n"/>
      <c r="Q8" s="4" t="n">
        <v>1</v>
      </c>
      <c r="R8" s="7" t="n">
        <v>8566.040000000001</v>
      </c>
      <c r="S8" s="7" t="n">
        <v>0</v>
      </c>
      <c r="T8" s="7" t="n">
        <v>0</v>
      </c>
      <c r="U8" s="5" t="n"/>
      <c r="V8" s="7" t="n">
        <v>8566.040000000001</v>
      </c>
      <c r="W8" s="4" t="n">
        <v>152</v>
      </c>
      <c r="X8" s="5" t="inlineStr">
        <is>
          <t>M1712</t>
        </is>
      </c>
      <c r="Y8" s="5" t="inlineStr">
        <is>
          <t>I798</t>
        </is>
      </c>
      <c r="Z8" s="5" t="inlineStr">
        <is>
          <t>M25562</t>
        </is>
      </c>
      <c r="AA8" s="5" t="n"/>
      <c r="AB8" s="4" t="n"/>
      <c r="AC8" s="5" t="inlineStr">
        <is>
          <t>HUNTER, DREW</t>
        </is>
      </c>
      <c r="AD8" s="5" t="inlineStr">
        <is>
          <t>ASAP - Gilbert</t>
        </is>
      </c>
      <c r="AE8" s="5" t="inlineStr">
        <is>
          <t>04/07/2026</t>
        </is>
      </c>
      <c r="AF8" s="5" t="inlineStr">
        <is>
          <t>GAE</t>
        </is>
      </c>
      <c r="AG8" s="8" t="n"/>
      <c r="AH8" s="4" t="n">
        <v>111</v>
      </c>
    </row>
    <row r="9">
      <c r="A9" s="2" t="n"/>
      <c r="B9" s="3" t="n"/>
      <c r="C9" s="4" t="n">
        <v>555069563</v>
      </c>
      <c r="D9" s="5" t="inlineStr">
        <is>
          <t>HF362284092</t>
        </is>
      </c>
      <c r="E9" s="5" t="inlineStr">
        <is>
          <t>03/08/2026</t>
        </is>
      </c>
      <c r="F9" s="5" t="inlineStr">
        <is>
          <t>UMR Wausau / UHIS</t>
        </is>
      </c>
      <c r="G9" s="5" t="inlineStr">
        <is>
          <t>UMR Wausau / UHIS</t>
        </is>
      </c>
      <c r="H9" s="5" t="inlineStr">
        <is>
          <t>Arizona Complete Health (Centene)</t>
        </is>
      </c>
      <c r="I9" s="5" t="inlineStr">
        <is>
          <t>36248</t>
        </is>
      </c>
      <c r="J9" s="4">
        <f>IF($K9="","",$K9-TODAY())</f>
        <v/>
      </c>
      <c r="K9" s="6" t="n"/>
      <c r="L9" s="5" t="n"/>
      <c r="M9" s="5" t="inlineStr">
        <is>
          <t>UMR / WAUSAU</t>
        </is>
      </c>
      <c r="N9" s="5" t="inlineStr">
        <is>
          <t>59</t>
        </is>
      </c>
      <c r="O9" s="5" t="n"/>
      <c r="P9" s="5" t="n"/>
      <c r="Q9" s="4" t="n">
        <v>3</v>
      </c>
      <c r="R9" s="7" t="n">
        <v>2422.77</v>
      </c>
      <c r="S9" s="7" t="n">
        <v>0</v>
      </c>
      <c r="T9" s="7" t="n">
        <v>0</v>
      </c>
      <c r="U9" s="5" t="n"/>
      <c r="V9" s="7" t="n">
        <v>2422.77</v>
      </c>
      <c r="W9" s="4" t="n">
        <v>152</v>
      </c>
      <c r="X9" s="5" t="inlineStr">
        <is>
          <t>M1712</t>
        </is>
      </c>
      <c r="Y9" s="5" t="inlineStr">
        <is>
          <t>I798</t>
        </is>
      </c>
      <c r="Z9" s="5" t="inlineStr">
        <is>
          <t>M25562</t>
        </is>
      </c>
      <c r="AA9" s="5" t="n"/>
      <c r="AB9" s="4" t="n"/>
      <c r="AC9" s="5" t="inlineStr">
        <is>
          <t>HUNTER, DREW</t>
        </is>
      </c>
      <c r="AD9" s="5" t="inlineStr">
        <is>
          <t>ASAP - Gilbert</t>
        </is>
      </c>
      <c r="AE9" s="5" t="inlineStr">
        <is>
          <t>04/07/2026</t>
        </is>
      </c>
      <c r="AF9" s="5" t="inlineStr">
        <is>
          <t>GAE</t>
        </is>
      </c>
      <c r="AG9" s="8" t="n"/>
      <c r="AH9" s="4" t="n">
        <v>112</v>
      </c>
    </row>
    <row r="10">
      <c r="A10" s="2" t="n"/>
      <c r="B10" s="3" t="n"/>
      <c r="C10" s="4" t="n">
        <v>555069563</v>
      </c>
      <c r="D10" s="5" t="inlineStr">
        <is>
          <t>HF362284092</t>
        </is>
      </c>
      <c r="E10" s="5" t="inlineStr">
        <is>
          <t>03/08/2026</t>
        </is>
      </c>
      <c r="F10" s="5" t="inlineStr">
        <is>
          <t>UMR Wausau / UHIS</t>
        </is>
      </c>
      <c r="G10" s="5" t="inlineStr">
        <is>
          <t>UMR Wausau / UHIS</t>
        </is>
      </c>
      <c r="H10" s="5" t="inlineStr">
        <is>
          <t>Arizona Complete Health (Centene)</t>
        </is>
      </c>
      <c r="I10" s="5" t="inlineStr">
        <is>
          <t>37242</t>
        </is>
      </c>
      <c r="J10" s="4">
        <f>IF($K10="","",$K10-TODAY())</f>
        <v/>
      </c>
      <c r="K10" s="6" t="n"/>
      <c r="L10" s="5" t="n"/>
      <c r="M10" s="5" t="inlineStr">
        <is>
          <t>UMR / WAUSAU</t>
        </is>
      </c>
      <c r="N10" s="5" t="n"/>
      <c r="O10" s="5" t="n"/>
      <c r="P10" s="5" t="n"/>
      <c r="Q10" s="4" t="n">
        <v>1</v>
      </c>
      <c r="R10" s="7" t="n">
        <v>49162.82</v>
      </c>
      <c r="S10" s="7" t="n">
        <v>0</v>
      </c>
      <c r="T10" s="7" t="n">
        <v>0</v>
      </c>
      <c r="U10" s="5" t="inlineStr">
        <is>
          <t>04/20/2026</t>
        </is>
      </c>
      <c r="V10" s="7" t="n">
        <v>49162.82</v>
      </c>
      <c r="W10" s="4" t="n">
        <v>152</v>
      </c>
      <c r="X10" s="5" t="inlineStr">
        <is>
          <t>M1712</t>
        </is>
      </c>
      <c r="Y10" s="5" t="inlineStr">
        <is>
          <t>I798</t>
        </is>
      </c>
      <c r="Z10" s="5" t="inlineStr">
        <is>
          <t>M25562</t>
        </is>
      </c>
      <c r="AA10" s="5" t="n"/>
      <c r="AB10" s="4" t="n"/>
      <c r="AC10" s="5" t="inlineStr">
        <is>
          <t>HUNTER, DREW</t>
        </is>
      </c>
      <c r="AD10" s="5" t="inlineStr">
        <is>
          <t>ASAP - Gilbert</t>
        </is>
      </c>
      <c r="AE10" s="5" t="inlineStr">
        <is>
          <t>04/07/2026</t>
        </is>
      </c>
      <c r="AF10" s="5" t="inlineStr">
        <is>
          <t>GAE</t>
        </is>
      </c>
      <c r="AG10" s="8" t="n"/>
      <c r="AH10" s="4" t="n">
        <v>113</v>
      </c>
    </row>
    <row r="11">
      <c r="A11" s="2" t="n"/>
      <c r="B11" s="3" t="n"/>
      <c r="C11" s="4" t="n">
        <v>555069563</v>
      </c>
      <c r="D11" s="5" t="inlineStr">
        <is>
          <t>HF362284092</t>
        </is>
      </c>
      <c r="E11" s="5" t="inlineStr">
        <is>
          <t>03/08/2026</t>
        </is>
      </c>
      <c r="F11" s="5" t="inlineStr">
        <is>
          <t>UMR Wausau / UHIS</t>
        </is>
      </c>
      <c r="G11" s="5" t="inlineStr">
        <is>
          <t>UMR Wausau / UHIS</t>
        </is>
      </c>
      <c r="H11" s="5" t="inlineStr">
        <is>
          <t>Arizona Complete Health (Centene)</t>
        </is>
      </c>
      <c r="I11" s="5" t="inlineStr">
        <is>
          <t>36246</t>
        </is>
      </c>
      <c r="J11" s="4">
        <f>IF($K11="","",$K11-TODAY())</f>
        <v/>
      </c>
      <c r="K11" s="6" t="n"/>
      <c r="L11" s="5" t="n"/>
      <c r="M11" s="5" t="inlineStr">
        <is>
          <t>UMR / WAUSAU</t>
        </is>
      </c>
      <c r="N11" s="5" t="inlineStr">
        <is>
          <t>59</t>
        </is>
      </c>
      <c r="O11" s="5" t="inlineStr">
        <is>
          <t>LT</t>
        </is>
      </c>
      <c r="P11" s="5" t="n"/>
      <c r="Q11" s="4" t="n">
        <v>1</v>
      </c>
      <c r="R11" s="7" t="n">
        <v>5741.19</v>
      </c>
      <c r="S11" s="7" t="n">
        <v>0</v>
      </c>
      <c r="T11" s="7" t="n">
        <v>0</v>
      </c>
      <c r="U11" s="5" t="n"/>
      <c r="V11" s="7" t="n">
        <v>5741.19</v>
      </c>
      <c r="W11" s="4" t="n">
        <v>152</v>
      </c>
      <c r="X11" s="5" t="inlineStr">
        <is>
          <t>M1712</t>
        </is>
      </c>
      <c r="Y11" s="5" t="inlineStr">
        <is>
          <t>I798</t>
        </is>
      </c>
      <c r="Z11" s="5" t="inlineStr">
        <is>
          <t>M25562</t>
        </is>
      </c>
      <c r="AA11" s="5" t="n"/>
      <c r="AB11" s="4" t="n"/>
      <c r="AC11" s="5" t="inlineStr">
        <is>
          <t>HUNTER, DREW</t>
        </is>
      </c>
      <c r="AD11" s="5" t="inlineStr">
        <is>
          <t>ASAP - Gilbert</t>
        </is>
      </c>
      <c r="AE11" s="5" t="inlineStr">
        <is>
          <t>04/07/2026</t>
        </is>
      </c>
      <c r="AF11" s="5" t="inlineStr">
        <is>
          <t>GAE</t>
        </is>
      </c>
      <c r="AG11" s="8" t="n"/>
      <c r="AH11" s="4" t="n">
        <v>114</v>
      </c>
    </row>
    <row r="12">
      <c r="A12" s="2" t="n"/>
      <c r="B12" s="3" t="n"/>
      <c r="C12" s="4" t="n">
        <v>555069563</v>
      </c>
      <c r="D12" s="5" t="inlineStr">
        <is>
          <t>HF362284092</t>
        </is>
      </c>
      <c r="E12" s="5" t="inlineStr">
        <is>
          <t>03/08/2026</t>
        </is>
      </c>
      <c r="F12" s="5" t="inlineStr">
        <is>
          <t>UMR Wausau / UHIS</t>
        </is>
      </c>
      <c r="G12" s="5" t="inlineStr">
        <is>
          <t>UMR Wausau / UHIS</t>
        </is>
      </c>
      <c r="H12" s="5" t="inlineStr">
        <is>
          <t>Arizona Complete Health (Centene)</t>
        </is>
      </c>
      <c r="I12" s="5" t="inlineStr">
        <is>
          <t>76937</t>
        </is>
      </c>
      <c r="J12" s="4">
        <f>IF($K12="","",$K12-TODAY())</f>
        <v/>
      </c>
      <c r="K12" s="6" t="n"/>
      <c r="L12" s="5" t="n"/>
      <c r="M12" s="5" t="inlineStr">
        <is>
          <t>UMR / WAUSAU</t>
        </is>
      </c>
      <c r="N12" s="5" t="n"/>
      <c r="O12" s="5" t="n"/>
      <c r="P12" s="5" t="n"/>
      <c r="Q12" s="4" t="n">
        <v>1</v>
      </c>
      <c r="R12" s="7" t="n">
        <v>271.18</v>
      </c>
      <c r="S12" s="7" t="n">
        <v>0</v>
      </c>
      <c r="T12" s="7" t="n">
        <v>0</v>
      </c>
      <c r="U12" s="5" t="n"/>
      <c r="V12" s="7" t="n">
        <v>271.18</v>
      </c>
      <c r="W12" s="4" t="n">
        <v>152</v>
      </c>
      <c r="X12" s="5" t="inlineStr">
        <is>
          <t>M1712</t>
        </is>
      </c>
      <c r="Y12" s="5" t="inlineStr">
        <is>
          <t>I798</t>
        </is>
      </c>
      <c r="Z12" s="5" t="inlineStr">
        <is>
          <t>M25562</t>
        </is>
      </c>
      <c r="AA12" s="5" t="n"/>
      <c r="AB12" s="4" t="n"/>
      <c r="AC12" s="5" t="inlineStr">
        <is>
          <t>HUNTER, DREW</t>
        </is>
      </c>
      <c r="AD12" s="5" t="inlineStr">
        <is>
          <t>ASAP - Gilbert</t>
        </is>
      </c>
      <c r="AE12" s="5" t="inlineStr">
        <is>
          <t>04/07/2026</t>
        </is>
      </c>
      <c r="AF12" s="5" t="inlineStr">
        <is>
          <t>GAE</t>
        </is>
      </c>
      <c r="AG12" s="8" t="n"/>
      <c r="AH12" s="4" t="n">
        <v>115</v>
      </c>
    </row>
  </sheetData>
  <autoFilter ref="A1:AH12"/>
  <conditionalFormatting sqref="J2:M12">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H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553613990</v>
      </c>
      <c r="D2" s="5" t="inlineStr">
        <is>
          <t>HF339893207</t>
        </is>
      </c>
      <c r="E2" s="5" t="inlineStr">
        <is>
          <t>03/02/2026</t>
        </is>
      </c>
      <c r="F2" s="5" t="inlineStr">
        <is>
          <t>Medicare Part B Arizona *</t>
        </is>
      </c>
      <c r="G2" s="5" t="inlineStr">
        <is>
          <t>Medicare Part B Arizona *</t>
        </is>
      </c>
      <c r="H2" s="5" t="inlineStr">
        <is>
          <t>AARP United Healthcare</t>
        </is>
      </c>
      <c r="I2" s="5" t="inlineStr">
        <is>
          <t>63655</t>
        </is>
      </c>
      <c r="J2" s="4">
        <f>IF($K2="","",$K2-TODAY())</f>
        <v/>
      </c>
      <c r="K2" s="6" t="n">
        <v>46448</v>
      </c>
      <c r="L2" s="5" t="inlineStr">
        <is>
          <t>365 days</t>
        </is>
      </c>
      <c r="M2" s="5" t="inlineStr">
        <is>
          <t>MEDICARE</t>
        </is>
      </c>
      <c r="N2" s="5" t="n"/>
      <c r="O2" s="5" t="n"/>
      <c r="P2" s="5" t="n"/>
      <c r="Q2" s="4" t="n">
        <v>1</v>
      </c>
      <c r="R2" s="7" t="n">
        <v>5784.24</v>
      </c>
      <c r="S2" s="7" t="n">
        <v>0</v>
      </c>
      <c r="T2" s="7" t="n">
        <v>0</v>
      </c>
      <c r="U2" s="5" t="inlineStr">
        <is>
          <t>03/26/2026</t>
        </is>
      </c>
      <c r="V2" s="7" t="n">
        <v>5784.24</v>
      </c>
      <c r="W2" s="4" t="n">
        <v>159</v>
      </c>
      <c r="X2" s="5" t="inlineStr">
        <is>
          <t>M961</t>
        </is>
      </c>
      <c r="Y2" s="5" t="inlineStr">
        <is>
          <t>M5416</t>
        </is>
      </c>
      <c r="Z2" s="5" t="n"/>
      <c r="AA2" s="5" t="n"/>
      <c r="AB2" s="4" t="n"/>
      <c r="AC2" s="5" t="inlineStr">
        <is>
          <t>LUKE, TIMOTHY</t>
        </is>
      </c>
      <c r="AD2" s="5" t="inlineStr">
        <is>
          <t>ASAP Surgery Centers North Valley LLC</t>
        </is>
      </c>
      <c r="AE2" s="5" t="inlineStr">
        <is>
          <t>03/24/2026</t>
        </is>
      </c>
      <c r="AF2" s="5" t="inlineStr">
        <is>
          <t>ORTHO</t>
        </is>
      </c>
      <c r="AG2" s="8" t="n"/>
      <c r="AH2" s="4" t="n">
        <v>469</v>
      </c>
    </row>
    <row r="3">
      <c r="A3" s="2" t="n"/>
      <c r="B3" s="3" t="n"/>
      <c r="C3" s="4" t="n">
        <v>552282896</v>
      </c>
      <c r="D3" s="5" t="inlineStr">
        <is>
          <t>HF538467882</t>
        </is>
      </c>
      <c r="E3" s="5" t="inlineStr">
        <is>
          <t>03/04/2026</t>
        </is>
      </c>
      <c r="F3" s="5" t="inlineStr">
        <is>
          <t>Medicare Part B Arizona *</t>
        </is>
      </c>
      <c r="G3" s="5" t="inlineStr">
        <is>
          <t>Medicare Part B Arizona *</t>
        </is>
      </c>
      <c r="H3" s="5" t="inlineStr">
        <is>
          <t>Blue Cross Blue Shield of Arizona (BCBS AZ)</t>
        </is>
      </c>
      <c r="I3" s="5" t="inlineStr">
        <is>
          <t>63047</t>
        </is>
      </c>
      <c r="J3" s="4">
        <f>IF($K3="","",$K3-TODAY())</f>
        <v/>
      </c>
      <c r="K3" s="6" t="n">
        <v>46450</v>
      </c>
      <c r="L3" s="5" t="inlineStr">
        <is>
          <t>365 days</t>
        </is>
      </c>
      <c r="M3" s="5" t="inlineStr">
        <is>
          <t>MEDICARE</t>
        </is>
      </c>
      <c r="N3" s="5" t="n"/>
      <c r="O3" s="5" t="n"/>
      <c r="P3" s="5" t="n"/>
      <c r="Q3" s="4" t="n">
        <v>1</v>
      </c>
      <c r="R3" s="7" t="n">
        <v>7623.07</v>
      </c>
      <c r="S3" s="7" t="n">
        <v>0</v>
      </c>
      <c r="T3" s="7" t="n">
        <v>0</v>
      </c>
      <c r="U3" s="5" t="inlineStr">
        <is>
          <t>06/30/2026</t>
        </is>
      </c>
      <c r="V3" s="7" t="n">
        <v>7623.07</v>
      </c>
      <c r="W3" s="4" t="n">
        <v>157</v>
      </c>
      <c r="X3" s="5" t="inlineStr">
        <is>
          <t>M4316</t>
        </is>
      </c>
      <c r="Y3" s="5" t="inlineStr">
        <is>
          <t>M51362</t>
        </is>
      </c>
      <c r="Z3" s="5" t="inlineStr">
        <is>
          <t>M4726</t>
        </is>
      </c>
      <c r="AA3" s="5" t="inlineStr">
        <is>
          <t>Q7649</t>
        </is>
      </c>
      <c r="AB3" s="4" t="n"/>
      <c r="AC3" s="5" t="inlineStr">
        <is>
          <t>MCCUNNIFF, PETER</t>
        </is>
      </c>
      <c r="AD3" s="5" t="inlineStr">
        <is>
          <t>ASAP Surgery Centers North Valley LLC</t>
        </is>
      </c>
      <c r="AE3" s="5" t="inlineStr">
        <is>
          <t>06/24/2026</t>
        </is>
      </c>
      <c r="AF3" s="5" t="inlineStr">
        <is>
          <t>ORTHO</t>
        </is>
      </c>
      <c r="AG3" s="8" t="n"/>
      <c r="AH3" s="4" t="n">
        <v>784</v>
      </c>
    </row>
    <row r="4">
      <c r="A4" s="2" t="n"/>
      <c r="B4" s="3" t="n"/>
      <c r="C4" s="4" t="n">
        <v>552282896</v>
      </c>
      <c r="D4" s="5" t="inlineStr">
        <is>
          <t>HF538467882</t>
        </is>
      </c>
      <c r="E4" s="5" t="inlineStr">
        <is>
          <t>03/04/2026</t>
        </is>
      </c>
      <c r="F4" s="5" t="inlineStr">
        <is>
          <t>Medicare Part B Arizona *</t>
        </is>
      </c>
      <c r="G4" s="5" t="inlineStr">
        <is>
          <t>Medicare Part B Arizona *</t>
        </is>
      </c>
      <c r="H4" s="5" t="inlineStr">
        <is>
          <t>Blue Cross Blue Shield of Arizona (BCBS AZ)</t>
        </is>
      </c>
      <c r="I4" s="5" t="inlineStr">
        <is>
          <t>63048</t>
        </is>
      </c>
      <c r="J4" s="4">
        <f>IF($K4="","",$K4-TODAY())</f>
        <v/>
      </c>
      <c r="K4" s="6" t="n">
        <v>46450</v>
      </c>
      <c r="L4" s="5" t="inlineStr">
        <is>
          <t>365 days</t>
        </is>
      </c>
      <c r="M4" s="5" t="inlineStr">
        <is>
          <t>MEDICARE</t>
        </is>
      </c>
      <c r="N4" s="5" t="n"/>
      <c r="O4" s="5" t="n"/>
      <c r="P4" s="5" t="n"/>
      <c r="Q4" s="4" t="n">
        <v>1</v>
      </c>
      <c r="R4" s="7" t="n">
        <v>1433.32</v>
      </c>
      <c r="S4" s="7" t="n">
        <v>0</v>
      </c>
      <c r="T4" s="7" t="n">
        <v>0</v>
      </c>
      <c r="U4" s="5" t="inlineStr">
        <is>
          <t>06/30/2026</t>
        </is>
      </c>
      <c r="V4" s="7" t="n">
        <v>1433.32</v>
      </c>
      <c r="W4" s="4" t="n">
        <v>157</v>
      </c>
      <c r="X4" s="5" t="inlineStr">
        <is>
          <t>M4316</t>
        </is>
      </c>
      <c r="Y4" s="5" t="inlineStr">
        <is>
          <t>M51362</t>
        </is>
      </c>
      <c r="Z4" s="5" t="inlineStr">
        <is>
          <t>M4726</t>
        </is>
      </c>
      <c r="AA4" s="5" t="inlineStr">
        <is>
          <t>Q7649</t>
        </is>
      </c>
      <c r="AB4" s="4" t="n"/>
      <c r="AC4" s="5" t="inlineStr">
        <is>
          <t>MCCUNNIFF, PETER</t>
        </is>
      </c>
      <c r="AD4" s="5" t="inlineStr">
        <is>
          <t>ASAP Surgery Centers North Valley LLC</t>
        </is>
      </c>
      <c r="AE4" s="5" t="inlineStr">
        <is>
          <t>06/24/2026</t>
        </is>
      </c>
      <c r="AF4" s="5" t="inlineStr">
        <is>
          <t>ORTHO</t>
        </is>
      </c>
      <c r="AG4" s="8" t="n"/>
      <c r="AH4" s="4" t="n">
        <v>785</v>
      </c>
    </row>
    <row r="5">
      <c r="A5" s="2" t="inlineStr">
        <is>
          <t>Finalized</t>
        </is>
      </c>
      <c r="B5" s="3" t="n"/>
      <c r="C5" s="4" t="n">
        <v>553719866</v>
      </c>
      <c r="D5" s="5" t="inlineStr">
        <is>
          <t>HF470696196</t>
        </is>
      </c>
      <c r="E5" s="5" t="inlineStr">
        <is>
          <t>03/13/2026</t>
        </is>
      </c>
      <c r="F5" s="5" t="inlineStr">
        <is>
          <t>Blue Cross Blue Shield of Arizona (BCBS AZ)</t>
        </is>
      </c>
      <c r="G5" s="5" t="inlineStr">
        <is>
          <t>Medicare Part B Arizona *</t>
        </is>
      </c>
      <c r="H5" s="5" t="inlineStr">
        <is>
          <t>Blue Cross Blue Shield of Arizona (BCBS AZ)</t>
        </is>
      </c>
      <c r="I5" s="5" t="inlineStr">
        <is>
          <t>63685</t>
        </is>
      </c>
      <c r="J5" s="4">
        <f>IF($K5="","",$K5-TODAY())</f>
        <v/>
      </c>
      <c r="K5" s="6" t="n">
        <v>46459</v>
      </c>
      <c r="L5" s="5" t="inlineStr">
        <is>
          <t>365 days</t>
        </is>
      </c>
      <c r="M5" s="5" t="inlineStr">
        <is>
          <t>MEDICARE</t>
        </is>
      </c>
      <c r="N5" s="5" t="n"/>
      <c r="O5" s="5" t="n"/>
      <c r="P5" s="5" t="n"/>
      <c r="Q5" s="4" t="n">
        <v>1</v>
      </c>
      <c r="R5" s="7" t="n">
        <v>2493.33</v>
      </c>
      <c r="S5" s="7" t="n">
        <v>2340.79</v>
      </c>
      <c r="T5" s="7" t="n">
        <v>121.54</v>
      </c>
      <c r="U5" s="5" t="inlineStr">
        <is>
          <t>04/16/2026</t>
        </is>
      </c>
      <c r="V5" s="7" t="n">
        <v>31</v>
      </c>
      <c r="W5" s="4" t="n">
        <v>148</v>
      </c>
      <c r="X5" s="5" t="inlineStr">
        <is>
          <t>M961</t>
        </is>
      </c>
      <c r="Y5" s="5" t="inlineStr">
        <is>
          <t>M48062</t>
        </is>
      </c>
      <c r="Z5" s="5" t="n"/>
      <c r="AA5" s="5" t="n"/>
      <c r="AB5" s="4" t="n">
        <v>557765461</v>
      </c>
      <c r="AC5" s="5" t="inlineStr">
        <is>
          <t>SARKAR, AWNIK</t>
        </is>
      </c>
      <c r="AD5" s="5" t="inlineStr">
        <is>
          <t>ASAP Surgery Centers North Valley LLC</t>
        </is>
      </c>
      <c r="AE5" s="5" t="inlineStr">
        <is>
          <t>04/01/2026</t>
        </is>
      </c>
      <c r="AF5" s="5" t="inlineStr">
        <is>
          <t>ORTHO</t>
        </is>
      </c>
      <c r="AG5" s="8" t="n"/>
      <c r="AH5" s="4" t="n">
        <v>121</v>
      </c>
    </row>
    <row r="6">
      <c r="A6" s="2" t="n"/>
      <c r="B6" s="3" t="n"/>
      <c r="C6" s="4" t="n">
        <v>553223068</v>
      </c>
      <c r="D6" s="5" t="inlineStr">
        <is>
          <t>HF455478612</t>
        </is>
      </c>
      <c r="E6" s="5" t="inlineStr">
        <is>
          <t>03/18/2026</t>
        </is>
      </c>
      <c r="F6" s="5" t="inlineStr">
        <is>
          <t>Medicare Part B Arizona *</t>
        </is>
      </c>
      <c r="G6" s="5" t="inlineStr">
        <is>
          <t>Medicare Part B Arizona *</t>
        </is>
      </c>
      <c r="H6" s="5" t="inlineStr">
        <is>
          <t>Blue Cross Blue Shield of Arizona (BCBS AZ)</t>
        </is>
      </c>
      <c r="I6" s="5" t="inlineStr">
        <is>
          <t>63685</t>
        </is>
      </c>
      <c r="J6" s="4">
        <f>IF($K6="","",$K6-TODAY())</f>
        <v/>
      </c>
      <c r="K6" s="6" t="n">
        <v>46464</v>
      </c>
      <c r="L6" s="5" t="inlineStr">
        <is>
          <t>365 days</t>
        </is>
      </c>
      <c r="M6" s="5" t="inlineStr">
        <is>
          <t>MEDICARE</t>
        </is>
      </c>
      <c r="N6" s="5" t="n"/>
      <c r="O6" s="5" t="n"/>
      <c r="P6" s="5" t="n"/>
      <c r="Q6" s="4" t="n">
        <v>1</v>
      </c>
      <c r="R6" s="7" t="n">
        <v>2493.33</v>
      </c>
      <c r="S6" s="7" t="n">
        <v>0</v>
      </c>
      <c r="T6" s="7" t="n">
        <v>0</v>
      </c>
      <c r="U6" s="5" t="inlineStr">
        <is>
          <t>03/27/2026</t>
        </is>
      </c>
      <c r="V6" s="7" t="n">
        <v>2493.33</v>
      </c>
      <c r="W6" s="4" t="n">
        <v>143</v>
      </c>
      <c r="X6" s="5" t="inlineStr">
        <is>
          <t>G609</t>
        </is>
      </c>
      <c r="Y6" s="5" t="inlineStr">
        <is>
          <t>G5783</t>
        </is>
      </c>
      <c r="Z6" s="5" t="n"/>
      <c r="AA6" s="5" t="n"/>
      <c r="AB6" s="4" t="n"/>
      <c r="AC6" s="5" t="inlineStr">
        <is>
          <t>CURRIE, DAVID</t>
        </is>
      </c>
      <c r="AD6" s="5" t="inlineStr">
        <is>
          <t>Premier Endoscopy Center, LLC</t>
        </is>
      </c>
      <c r="AE6" s="5" t="inlineStr">
        <is>
          <t>03/20/2026</t>
        </is>
      </c>
      <c r="AF6" s="5" t="inlineStr">
        <is>
          <t>ORTHO</t>
        </is>
      </c>
      <c r="AG6" s="8" t="n"/>
      <c r="AH6" s="4" t="n">
        <v>140</v>
      </c>
    </row>
    <row r="7">
      <c r="A7" s="2" t="n"/>
      <c r="B7" s="3" t="n"/>
      <c r="C7" s="4" t="n">
        <v>555372244</v>
      </c>
      <c r="D7" s="5" t="inlineStr">
        <is>
          <t>HF538308641</t>
        </is>
      </c>
      <c r="E7" s="5" t="inlineStr">
        <is>
          <t>03/23/2026</t>
        </is>
      </c>
      <c r="F7" s="5" t="inlineStr">
        <is>
          <t>Medicare Part B Arizona *</t>
        </is>
      </c>
      <c r="G7" s="5" t="inlineStr">
        <is>
          <t>Medicare Part B Arizona *</t>
        </is>
      </c>
      <c r="H7" s="5" t="inlineStr">
        <is>
          <t>Blue Cross Blue Shield of Arizona (BCBS AZ)</t>
        </is>
      </c>
      <c r="I7" s="5" t="inlineStr">
        <is>
          <t>63047</t>
        </is>
      </c>
      <c r="J7" s="4">
        <f>IF($K7="","",$K7-TODAY())</f>
        <v/>
      </c>
      <c r="K7" s="6" t="n">
        <v>46469</v>
      </c>
      <c r="L7" s="5" t="inlineStr">
        <is>
          <t>365 days</t>
        </is>
      </c>
      <c r="M7" s="5" t="inlineStr">
        <is>
          <t>MEDICARE</t>
        </is>
      </c>
      <c r="N7" s="5" t="inlineStr">
        <is>
          <t>XS</t>
        </is>
      </c>
      <c r="O7" s="5" t="n"/>
      <c r="P7" s="5" t="n"/>
      <c r="Q7" s="4" t="n">
        <v>1</v>
      </c>
      <c r="R7" s="7" t="n">
        <v>7623.07</v>
      </c>
      <c r="S7" s="7" t="n">
        <v>0</v>
      </c>
      <c r="T7" s="7" t="n">
        <v>0</v>
      </c>
      <c r="U7" s="5" t="inlineStr">
        <is>
          <t>06/30/2026</t>
        </is>
      </c>
      <c r="V7" s="7" t="n">
        <v>7623.07</v>
      </c>
      <c r="W7" s="4" t="n">
        <v>138</v>
      </c>
      <c r="X7" s="5" t="inlineStr">
        <is>
          <t>M5416</t>
        </is>
      </c>
      <c r="Y7" s="5" t="inlineStr">
        <is>
          <t>M48062</t>
        </is>
      </c>
      <c r="Z7" s="5" t="n"/>
      <c r="AA7" s="5" t="n"/>
      <c r="AB7" s="4" t="n"/>
      <c r="AC7" s="5" t="inlineStr">
        <is>
          <t>MCCUNNIFF, PETER</t>
        </is>
      </c>
      <c r="AD7" s="5" t="inlineStr">
        <is>
          <t>ASAP Surgery Centers North Valley LLC</t>
        </is>
      </c>
      <c r="AE7" s="5" t="inlineStr">
        <is>
          <t>06/24/2026</t>
        </is>
      </c>
      <c r="AF7" s="5" t="inlineStr">
        <is>
          <t>ORTHO</t>
        </is>
      </c>
      <c r="AG7" s="8" t="n"/>
      <c r="AH7" s="4" t="n">
        <v>143</v>
      </c>
    </row>
    <row r="8">
      <c r="A8" s="2" t="n"/>
      <c r="B8" s="3" t="n"/>
      <c r="C8" s="4" t="n">
        <v>555372244</v>
      </c>
      <c r="D8" s="5" t="inlineStr">
        <is>
          <t>HF538308641</t>
        </is>
      </c>
      <c r="E8" s="5" t="inlineStr">
        <is>
          <t>03/23/2026</t>
        </is>
      </c>
      <c r="F8" s="5" t="inlineStr">
        <is>
          <t>Medicare Part B Arizona *</t>
        </is>
      </c>
      <c r="G8" s="5" t="inlineStr">
        <is>
          <t>Medicare Part B Arizona *</t>
        </is>
      </c>
      <c r="H8" s="5" t="inlineStr">
        <is>
          <t>Blue Cross Blue Shield of Arizona (BCBS AZ)</t>
        </is>
      </c>
      <c r="I8" s="5" t="inlineStr">
        <is>
          <t>63048</t>
        </is>
      </c>
      <c r="J8" s="4">
        <f>IF($K8="","",$K8-TODAY())</f>
        <v/>
      </c>
      <c r="K8" s="6" t="n">
        <v>46469</v>
      </c>
      <c r="L8" s="5" t="inlineStr">
        <is>
          <t>365 days</t>
        </is>
      </c>
      <c r="M8" s="5" t="inlineStr">
        <is>
          <t>MEDICARE</t>
        </is>
      </c>
      <c r="N8" s="5" t="n"/>
      <c r="O8" s="5" t="n"/>
      <c r="P8" s="5" t="n"/>
      <c r="Q8" s="4" t="n">
        <v>1</v>
      </c>
      <c r="R8" s="7" t="n">
        <v>1433.32</v>
      </c>
      <c r="S8" s="7" t="n">
        <v>0</v>
      </c>
      <c r="T8" s="7" t="n">
        <v>0</v>
      </c>
      <c r="U8" s="5" t="inlineStr">
        <is>
          <t>06/30/2026</t>
        </is>
      </c>
      <c r="V8" s="7" t="n">
        <v>1433.32</v>
      </c>
      <c r="W8" s="4" t="n">
        <v>138</v>
      </c>
      <c r="X8" s="5" t="inlineStr">
        <is>
          <t>M4317</t>
        </is>
      </c>
      <c r="Y8" s="5" t="inlineStr">
        <is>
          <t>M4807</t>
        </is>
      </c>
      <c r="Z8" s="5" t="inlineStr">
        <is>
          <t>M5417</t>
        </is>
      </c>
      <c r="AA8" s="5" t="n"/>
      <c r="AB8" s="4" t="n"/>
      <c r="AC8" s="5" t="inlineStr">
        <is>
          <t>MCCUNNIFF, PETER</t>
        </is>
      </c>
      <c r="AD8" s="5" t="inlineStr">
        <is>
          <t>ASAP Surgery Centers North Valley LLC</t>
        </is>
      </c>
      <c r="AE8" s="5" t="inlineStr">
        <is>
          <t>06/24/2026</t>
        </is>
      </c>
      <c r="AF8" s="5" t="inlineStr">
        <is>
          <t>ORTHO</t>
        </is>
      </c>
      <c r="AG8" s="8" t="n"/>
      <c r="AH8" s="4" t="n">
        <v>144</v>
      </c>
    </row>
    <row r="9">
      <c r="A9" s="2" t="n"/>
      <c r="B9" s="3" t="n"/>
      <c r="C9" s="4" t="n">
        <v>555372244</v>
      </c>
      <c r="D9" s="5" t="inlineStr">
        <is>
          <t>HF538308641</t>
        </is>
      </c>
      <c r="E9" s="5" t="inlineStr">
        <is>
          <t>03/23/2026</t>
        </is>
      </c>
      <c r="F9" s="5" t="inlineStr">
        <is>
          <t>Medicare Part B Arizona *</t>
        </is>
      </c>
      <c r="G9" s="5" t="inlineStr">
        <is>
          <t>Medicare Part B Arizona *</t>
        </is>
      </c>
      <c r="H9" s="5" t="inlineStr">
        <is>
          <t>Blue Cross Blue Shield of Arizona (BCBS AZ)</t>
        </is>
      </c>
      <c r="I9" s="5" t="inlineStr">
        <is>
          <t>22612</t>
        </is>
      </c>
      <c r="J9" s="4">
        <f>IF($K9="","",$K9-TODAY())</f>
        <v/>
      </c>
      <c r="K9" s="6" t="n">
        <v>46469</v>
      </c>
      <c r="L9" s="5" t="inlineStr">
        <is>
          <t>365 days</t>
        </is>
      </c>
      <c r="M9" s="5" t="inlineStr">
        <is>
          <t>MEDICARE</t>
        </is>
      </c>
      <c r="N9" s="5" t="n"/>
      <c r="O9" s="5" t="n"/>
      <c r="P9" s="5" t="n"/>
      <c r="Q9" s="4" t="n">
        <v>1</v>
      </c>
      <c r="R9" s="7" t="n">
        <v>10892.84</v>
      </c>
      <c r="S9" s="7" t="n">
        <v>0</v>
      </c>
      <c r="T9" s="7" t="n">
        <v>0</v>
      </c>
      <c r="U9" s="5" t="inlineStr">
        <is>
          <t>06/30/2026</t>
        </is>
      </c>
      <c r="V9" s="7" t="n">
        <v>10892.84</v>
      </c>
      <c r="W9" s="4" t="n">
        <v>138</v>
      </c>
      <c r="X9" s="5" t="inlineStr">
        <is>
          <t>M4317</t>
        </is>
      </c>
      <c r="Y9" s="5" t="inlineStr">
        <is>
          <t>M4807</t>
        </is>
      </c>
      <c r="Z9" s="5" t="inlineStr">
        <is>
          <t>M5417</t>
        </is>
      </c>
      <c r="AA9" s="5" t="inlineStr">
        <is>
          <t>M5416</t>
        </is>
      </c>
      <c r="AB9" s="4" t="n"/>
      <c r="AC9" s="5" t="inlineStr">
        <is>
          <t>MCCUNNIFF, PETER</t>
        </is>
      </c>
      <c r="AD9" s="5" t="inlineStr">
        <is>
          <t>ASAP Surgery Centers North Valley LLC</t>
        </is>
      </c>
      <c r="AE9" s="5" t="inlineStr">
        <is>
          <t>06/24/2026</t>
        </is>
      </c>
      <c r="AF9" s="5" t="inlineStr">
        <is>
          <t>ORTHO</t>
        </is>
      </c>
      <c r="AG9" s="8" t="n"/>
      <c r="AH9" s="4" t="n">
        <v>145</v>
      </c>
    </row>
    <row r="10">
      <c r="A10" s="2" t="inlineStr">
        <is>
          <t>Finalized</t>
        </is>
      </c>
      <c r="B10" s="3" t="n"/>
      <c r="C10" s="4" t="n">
        <v>553825634</v>
      </c>
      <c r="D10" s="5" t="inlineStr">
        <is>
          <t>HF425603516</t>
        </is>
      </c>
      <c r="E10" s="5" t="inlineStr">
        <is>
          <t>03/25/2026</t>
        </is>
      </c>
      <c r="F10" s="5" t="inlineStr">
        <is>
          <t>ChampVA - HAC</t>
        </is>
      </c>
      <c r="G10" s="5" t="inlineStr">
        <is>
          <t>Medicare Part B Arizona *</t>
        </is>
      </c>
      <c r="H10" s="5" t="inlineStr">
        <is>
          <t>ChampVA - HAC</t>
        </is>
      </c>
      <c r="I10" s="5" t="inlineStr">
        <is>
          <t>63685</t>
        </is>
      </c>
      <c r="J10" s="4">
        <f>IF($K10="","",$K10-TODAY())</f>
        <v/>
      </c>
      <c r="K10" s="6" t="n">
        <v>46471</v>
      </c>
      <c r="L10" s="5" t="inlineStr">
        <is>
          <t>365 days</t>
        </is>
      </c>
      <c r="M10" s="5" t="inlineStr">
        <is>
          <t>MEDICARE</t>
        </is>
      </c>
      <c r="N10" s="5" t="n"/>
      <c r="O10" s="5" t="n"/>
      <c r="P10" s="5" t="n"/>
      <c r="Q10" s="4" t="n">
        <v>1</v>
      </c>
      <c r="R10" s="7" t="n">
        <v>2493.33</v>
      </c>
      <c r="S10" s="7" t="n">
        <v>2351.73</v>
      </c>
      <c r="T10" s="7" t="n">
        <v>110.6</v>
      </c>
      <c r="U10" s="5" t="inlineStr">
        <is>
          <t>04/10/2026</t>
        </is>
      </c>
      <c r="V10" s="7" t="n">
        <v>31</v>
      </c>
      <c r="W10" s="4" t="n">
        <v>136</v>
      </c>
      <c r="X10" s="5" t="inlineStr">
        <is>
          <t>G90523</t>
        </is>
      </c>
      <c r="Y10" s="5" t="n"/>
      <c r="Z10" s="5" t="n"/>
      <c r="AA10" s="5" t="n"/>
      <c r="AB10" s="4" t="n">
        <v>557571095</v>
      </c>
      <c r="AC10" s="5" t="inlineStr">
        <is>
          <t>LEATHEM, JARRETT</t>
        </is>
      </c>
      <c r="AD10" s="5" t="inlineStr">
        <is>
          <t>Premier Endoscopy Center, LLC</t>
        </is>
      </c>
      <c r="AE10" s="5" t="inlineStr">
        <is>
          <t>03/26/2026</t>
        </is>
      </c>
      <c r="AF10" s="5" t="inlineStr">
        <is>
          <t>ORTHO</t>
        </is>
      </c>
      <c r="AG10" s="8" t="n"/>
      <c r="AH10" s="4" t="n">
        <v>283</v>
      </c>
    </row>
    <row r="11">
      <c r="A11" s="2" t="inlineStr">
        <is>
          <t>Finalized</t>
        </is>
      </c>
      <c r="B11" s="3" t="n"/>
      <c r="C11" s="4" t="n">
        <v>554186385</v>
      </c>
      <c r="D11" s="5" t="inlineStr">
        <is>
          <t>HF539238719</t>
        </is>
      </c>
      <c r="E11" s="5" t="inlineStr">
        <is>
          <t>03/27/2026</t>
        </is>
      </c>
      <c r="F11" s="5" t="inlineStr">
        <is>
          <t>Mercy Care Plan (AHCCCS) - Complete Care &amp; Long Term Care (LTC)</t>
        </is>
      </c>
      <c r="G11" s="5" t="inlineStr">
        <is>
          <t>Medicare Part B Arizona *</t>
        </is>
      </c>
      <c r="H11" s="5" t="inlineStr">
        <is>
          <t>Mercy Care Plan (AHCCCS) - Complete Care &amp; Long Term Care (LTC)</t>
        </is>
      </c>
      <c r="I11" s="5" t="inlineStr">
        <is>
          <t>27279</t>
        </is>
      </c>
      <c r="J11" s="4">
        <f>IF($K11="","",$K11-TODAY())</f>
        <v/>
      </c>
      <c r="K11" s="6" t="n">
        <v>46473</v>
      </c>
      <c r="L11" s="5" t="inlineStr">
        <is>
          <t>365 days</t>
        </is>
      </c>
      <c r="M11" s="5" t="inlineStr">
        <is>
          <t>MEDICARE</t>
        </is>
      </c>
      <c r="N11" s="5" t="inlineStr">
        <is>
          <t>LT</t>
        </is>
      </c>
      <c r="O11" s="5" t="n"/>
      <c r="P11" s="5" t="n"/>
      <c r="Q11" s="4" t="n">
        <v>1</v>
      </c>
      <c r="R11" s="7" t="n">
        <v>5614.63</v>
      </c>
      <c r="S11" s="7" t="n">
        <v>4889.05</v>
      </c>
      <c r="T11" s="7" t="n">
        <v>578.1</v>
      </c>
      <c r="U11" s="5" t="inlineStr">
        <is>
          <t>04/14/2026</t>
        </is>
      </c>
      <c r="V11" s="7" t="n">
        <v>147.48</v>
      </c>
      <c r="W11" s="4" t="n">
        <v>134</v>
      </c>
      <c r="X11" s="5" t="inlineStr">
        <is>
          <t>M461</t>
        </is>
      </c>
      <c r="Y11" s="5" t="n"/>
      <c r="Z11" s="5" t="n"/>
      <c r="AA11" s="5" t="n"/>
      <c r="AB11" s="4" t="n">
        <v>557570916</v>
      </c>
      <c r="AC11" s="5" t="inlineStr">
        <is>
          <t>MORALES, DAVID</t>
        </is>
      </c>
      <c r="AD11" s="5" t="inlineStr">
        <is>
          <t>ASAP Surgery Centers North Valley LLC</t>
        </is>
      </c>
      <c r="AE11" s="5" t="inlineStr">
        <is>
          <t>03/31/2026</t>
        </is>
      </c>
      <c r="AF11" s="5" t="inlineStr">
        <is>
          <t>ORTHO</t>
        </is>
      </c>
      <c r="AG11" s="8" t="n"/>
      <c r="AH11" s="4" t="n">
        <v>10</v>
      </c>
    </row>
    <row r="12">
      <c r="A12" s="2" t="n"/>
      <c r="B12" s="3" t="n"/>
      <c r="C12" s="4" t="n">
        <v>552284225</v>
      </c>
      <c r="D12" s="5" t="inlineStr">
        <is>
          <t>HF517981468</t>
        </is>
      </c>
      <c r="E12" s="5" t="inlineStr">
        <is>
          <t>03/04/2026</t>
        </is>
      </c>
      <c r="F12" s="5" t="inlineStr">
        <is>
          <t>HealthSpring Medicare Advantage</t>
        </is>
      </c>
      <c r="G12" s="5" t="inlineStr">
        <is>
          <t>HealthSpring Medicare Advantage</t>
        </is>
      </c>
      <c r="H12" s="5" t="inlineStr">
        <is>
          <t>No Payer</t>
        </is>
      </c>
      <c r="I12" s="5" t="inlineStr">
        <is>
          <t>63048</t>
        </is>
      </c>
      <c r="J12" s="4">
        <f>IF($K12="","",$K12-TODAY())</f>
        <v/>
      </c>
      <c r="K12" s="6" t="n">
        <v>46175</v>
      </c>
      <c r="L12" s="5" t="inlineStr">
        <is>
          <t>90 days</t>
        </is>
      </c>
      <c r="M12" s="5" t="inlineStr">
        <is>
          <t>CIGNA / CIGNA MEDICARE</t>
        </is>
      </c>
      <c r="N12" s="5" t="n"/>
      <c r="O12" s="5" t="n"/>
      <c r="P12" s="5" t="n"/>
      <c r="Q12" s="4" t="n">
        <v>1</v>
      </c>
      <c r="R12" s="7" t="n">
        <v>1433.32</v>
      </c>
      <c r="S12" s="7" t="n">
        <v>0</v>
      </c>
      <c r="T12" s="7" t="n">
        <v>0</v>
      </c>
      <c r="U12" s="5" t="inlineStr">
        <is>
          <t>07/01/2026</t>
        </is>
      </c>
      <c r="V12" s="7" t="n">
        <v>1433.32</v>
      </c>
      <c r="W12" s="4" t="n">
        <v>157</v>
      </c>
      <c r="X12" s="5" t="inlineStr">
        <is>
          <t>M4316</t>
        </is>
      </c>
      <c r="Y12" s="5" t="inlineStr">
        <is>
          <t>M4726</t>
        </is>
      </c>
      <c r="Z12" s="5" t="inlineStr">
        <is>
          <t>M5416</t>
        </is>
      </c>
      <c r="AA12" s="5" t="inlineStr">
        <is>
          <t>M4120</t>
        </is>
      </c>
      <c r="AB12" s="4" t="n"/>
      <c r="AC12" s="5" t="inlineStr">
        <is>
          <t>MCCUNNIFF, PETER</t>
        </is>
      </c>
      <c r="AD12" s="5" t="inlineStr">
        <is>
          <t>ASAP Surgery Centers North Valley LLC</t>
        </is>
      </c>
      <c r="AE12" s="5" t="inlineStr">
        <is>
          <t>06/24/2026</t>
        </is>
      </c>
      <c r="AF12" s="5" t="inlineStr">
        <is>
          <t>ORTHO</t>
        </is>
      </c>
      <c r="AG12" s="8" t="n"/>
      <c r="AH12" s="4" t="n">
        <v>759</v>
      </c>
    </row>
    <row r="13">
      <c r="A13" s="2" t="n"/>
      <c r="B13" s="3" t="n"/>
      <c r="C13" s="4" t="n">
        <v>551964467</v>
      </c>
      <c r="D13" s="5" t="inlineStr">
        <is>
          <t>HF490461961</t>
        </is>
      </c>
      <c r="E13" s="5" t="inlineStr">
        <is>
          <t>03/06/2026</t>
        </is>
      </c>
      <c r="F13" s="5" t="inlineStr">
        <is>
          <t>Humana Gold Plus HMO</t>
        </is>
      </c>
      <c r="G13" s="5" t="inlineStr">
        <is>
          <t>Humana Gold Plus HMO</t>
        </is>
      </c>
      <c r="H13" s="5" t="inlineStr">
        <is>
          <t>No Payer</t>
        </is>
      </c>
      <c r="I13" s="5" t="inlineStr">
        <is>
          <t>63047</t>
        </is>
      </c>
      <c r="J13" s="4">
        <f>IF($K13="","",$K13-TODAY())</f>
        <v/>
      </c>
      <c r="K13" s="6" t="n">
        <v>46177</v>
      </c>
      <c r="L13" s="5" t="inlineStr">
        <is>
          <t>90 days</t>
        </is>
      </c>
      <c r="M13" s="5" t="inlineStr">
        <is>
          <t>HUMANA MA</t>
        </is>
      </c>
      <c r="N13" s="5" t="n"/>
      <c r="O13" s="5" t="n"/>
      <c r="P13" s="5" t="n"/>
      <c r="Q13" s="4" t="n">
        <v>1</v>
      </c>
      <c r="R13" s="7" t="n">
        <v>7623.07</v>
      </c>
      <c r="S13" s="7" t="n">
        <v>0</v>
      </c>
      <c r="T13" s="7" t="n">
        <v>0</v>
      </c>
      <c r="U13" s="5" t="inlineStr">
        <is>
          <t>03/16/2026</t>
        </is>
      </c>
      <c r="V13" s="7" t="n">
        <v>7623.07</v>
      </c>
      <c r="W13" s="4" t="n">
        <v>155</v>
      </c>
      <c r="X13" s="5" t="inlineStr">
        <is>
          <t>M48062</t>
        </is>
      </c>
      <c r="Y13" s="5" t="n"/>
      <c r="Z13" s="5" t="n"/>
      <c r="AA13" s="5" t="n"/>
      <c r="AB13" s="4" t="n"/>
      <c r="AC13" s="5" t="inlineStr">
        <is>
          <t>MORALES, DAVID</t>
        </is>
      </c>
      <c r="AD13" s="5" t="inlineStr">
        <is>
          <t>ASAP Surgery Centers North Valley LLC</t>
        </is>
      </c>
      <c r="AE13" s="5" t="inlineStr">
        <is>
          <t>03/10/2026</t>
        </is>
      </c>
      <c r="AF13" s="5" t="inlineStr">
        <is>
          <t>ORTHO</t>
        </is>
      </c>
      <c r="AG13" s="8" t="inlineStr">
        <is>
          <t>Shorter of the two Humana limits (90 days ancillary vs 180 days physician). Confirm the rendering provider's category - if they bill as a physician the real deadline is 90 days later.</t>
        </is>
      </c>
      <c r="AH13" s="4" t="n">
        <v>452</v>
      </c>
    </row>
    <row r="14">
      <c r="A14" s="2" t="n"/>
      <c r="B14" s="3" t="n"/>
      <c r="C14" s="4" t="n">
        <v>553643849</v>
      </c>
      <c r="D14" s="5" t="inlineStr">
        <is>
          <t>HF537038069</t>
        </is>
      </c>
      <c r="E14" s="5" t="inlineStr">
        <is>
          <t>03/06/2026</t>
        </is>
      </c>
      <c r="F14" s="5" t="inlineStr">
        <is>
          <t>Blue Cross Blue Shield of Arizona (BCBS AZ)</t>
        </is>
      </c>
      <c r="G14" s="5" t="inlineStr">
        <is>
          <t>Blue Cross Blue Shield of Arizona (BCBS AZ)</t>
        </is>
      </c>
      <c r="H14" s="5" t="inlineStr">
        <is>
          <t>No Payer</t>
        </is>
      </c>
      <c r="I14" s="5" t="inlineStr">
        <is>
          <t>22853</t>
        </is>
      </c>
      <c r="J14" s="4">
        <f>IF($K14="","",$K14-TODAY())</f>
        <v/>
      </c>
      <c r="K14" s="6" t="n">
        <v>46177</v>
      </c>
      <c r="L14" s="5" t="inlineStr">
        <is>
          <t>90 days</t>
        </is>
      </c>
      <c r="M14" s="5" t="inlineStr">
        <is>
          <t>BCBS</t>
        </is>
      </c>
      <c r="N14" s="5" t="n"/>
      <c r="O14" s="5" t="n"/>
      <c r="P14" s="5" t="n"/>
      <c r="Q14" s="4" t="n">
        <v>1</v>
      </c>
      <c r="R14" s="7" t="n">
        <v>1758.12</v>
      </c>
      <c r="S14" s="7" t="n">
        <v>0</v>
      </c>
      <c r="T14" s="7" t="n">
        <v>0</v>
      </c>
      <c r="U14" s="5" t="n"/>
      <c r="V14" s="7" t="n">
        <v>1758.12</v>
      </c>
      <c r="W14" s="4" t="n">
        <v>155</v>
      </c>
      <c r="X14" s="5" t="inlineStr">
        <is>
          <t>M4802</t>
        </is>
      </c>
      <c r="Y14" s="5" t="inlineStr">
        <is>
          <t>M50021</t>
        </is>
      </c>
      <c r="Z14" s="5" t="n"/>
      <c r="AA14" s="5" t="n"/>
      <c r="AB14" s="4" t="n"/>
      <c r="AC14" s="5" t="inlineStr">
        <is>
          <t>MAYURAN, VIKRAM</t>
        </is>
      </c>
      <c r="AD14" s="5" t="inlineStr">
        <is>
          <t>Banner Desert Medical Center</t>
        </is>
      </c>
      <c r="AE14" s="5" t="inlineStr">
        <is>
          <t>06/24/2026</t>
        </is>
      </c>
      <c r="AF14" s="5" t="inlineStr">
        <is>
          <t>ORTHO</t>
        </is>
      </c>
      <c r="AG14" s="8" t="inlineStr">
        <is>
          <t>BCBS AZ dropped from 365 to 90 days on 01/01/2026. All dates of service here are 2026, so 90 days applies.</t>
        </is>
      </c>
      <c r="AH14" s="4" t="n">
        <v>520</v>
      </c>
    </row>
    <row r="15">
      <c r="A15" s="2" t="n"/>
      <c r="B15" s="3" t="n"/>
      <c r="C15" s="4" t="n">
        <v>553643849</v>
      </c>
      <c r="D15" s="5" t="inlineStr">
        <is>
          <t>HF537038069</t>
        </is>
      </c>
      <c r="E15" s="5" t="inlineStr">
        <is>
          <t>03/06/2026</t>
        </is>
      </c>
      <c r="F15" s="5" t="inlineStr">
        <is>
          <t>Blue Cross Blue Shield of Arizona (BCBS AZ)</t>
        </is>
      </c>
      <c r="G15" s="5" t="inlineStr">
        <is>
          <t>Blue Cross Blue Shield of Arizona (BCBS AZ)</t>
        </is>
      </c>
      <c r="H15" s="5" t="inlineStr">
        <is>
          <t>No Payer</t>
        </is>
      </c>
      <c r="I15" s="5" t="inlineStr">
        <is>
          <t>22551</t>
        </is>
      </c>
      <c r="J15" s="4">
        <f>IF($K15="","",$K15-TODAY())</f>
        <v/>
      </c>
      <c r="K15" s="6" t="n">
        <v>46177</v>
      </c>
      <c r="L15" s="5" t="inlineStr">
        <is>
          <t>90 days</t>
        </is>
      </c>
      <c r="M15" s="5" t="inlineStr">
        <is>
          <t>BCBS</t>
        </is>
      </c>
      <c r="N15" s="5" t="n"/>
      <c r="O15" s="5" t="n"/>
      <c r="P15" s="5" t="n"/>
      <c r="Q15" s="4" t="n">
        <v>1</v>
      </c>
      <c r="R15" s="7" t="n">
        <v>11690.98</v>
      </c>
      <c r="S15" s="7" t="n">
        <v>0</v>
      </c>
      <c r="T15" s="7" t="n">
        <v>0</v>
      </c>
      <c r="U15" s="5" t="n"/>
      <c r="V15" s="7" t="n">
        <v>11690.98</v>
      </c>
      <c r="W15" s="4" t="n">
        <v>155</v>
      </c>
      <c r="X15" s="5" t="inlineStr">
        <is>
          <t>M4802</t>
        </is>
      </c>
      <c r="Y15" s="5" t="inlineStr">
        <is>
          <t>M50021</t>
        </is>
      </c>
      <c r="Z15" s="5" t="n"/>
      <c r="AA15" s="5" t="n"/>
      <c r="AB15" s="4" t="n"/>
      <c r="AC15" s="5" t="inlineStr">
        <is>
          <t>MAYURAN, VIKRAM</t>
        </is>
      </c>
      <c r="AD15" s="5" t="inlineStr">
        <is>
          <t>Banner Desert Medical Center</t>
        </is>
      </c>
      <c r="AE15" s="5" t="inlineStr">
        <is>
          <t>06/24/2026</t>
        </is>
      </c>
      <c r="AF15" s="5" t="inlineStr">
        <is>
          <t>ORTHO</t>
        </is>
      </c>
      <c r="AG15" s="8" t="inlineStr">
        <is>
          <t>BCBS AZ dropped from 365 to 90 days on 01/01/2026. All dates of service here are 2026, so 90 days applies.</t>
        </is>
      </c>
      <c r="AH15" s="4" t="n">
        <v>521</v>
      </c>
    </row>
    <row r="16">
      <c r="A16" s="2" t="n"/>
      <c r="B16" s="3" t="n"/>
      <c r="C16" s="4" t="n">
        <v>553643849</v>
      </c>
      <c r="D16" s="5" t="inlineStr">
        <is>
          <t>HF537038069</t>
        </is>
      </c>
      <c r="E16" s="5" t="inlineStr">
        <is>
          <t>03/06/2026</t>
        </is>
      </c>
      <c r="F16" s="5" t="inlineStr">
        <is>
          <t>Blue Cross Blue Shield of Arizona (BCBS AZ)</t>
        </is>
      </c>
      <c r="G16" s="5" t="inlineStr">
        <is>
          <t>Blue Cross Blue Shield of Arizona (BCBS AZ)</t>
        </is>
      </c>
      <c r="H16" s="5" t="inlineStr">
        <is>
          <t>No Payer</t>
        </is>
      </c>
      <c r="I16" s="5" t="inlineStr">
        <is>
          <t>22845</t>
        </is>
      </c>
      <c r="J16" s="4">
        <f>IF($K16="","",$K16-TODAY())</f>
        <v/>
      </c>
      <c r="K16" s="6" t="n">
        <v>46177</v>
      </c>
      <c r="L16" s="5" t="inlineStr">
        <is>
          <t>90 days</t>
        </is>
      </c>
      <c r="M16" s="5" t="inlineStr">
        <is>
          <t>BCBS</t>
        </is>
      </c>
      <c r="N16" s="5" t="inlineStr">
        <is>
          <t>59</t>
        </is>
      </c>
      <c r="O16" s="5" t="n"/>
      <c r="P16" s="5" t="n"/>
      <c r="Q16" s="4" t="n">
        <v>1</v>
      </c>
      <c r="R16" s="7" t="n">
        <v>4951.24</v>
      </c>
      <c r="S16" s="7" t="n">
        <v>0</v>
      </c>
      <c r="T16" s="7" t="n">
        <v>0</v>
      </c>
      <c r="U16" s="5" t="n"/>
      <c r="V16" s="7" t="n">
        <v>4951.24</v>
      </c>
      <c r="W16" s="4" t="n">
        <v>155</v>
      </c>
      <c r="X16" s="5" t="inlineStr">
        <is>
          <t>M4802</t>
        </is>
      </c>
      <c r="Y16" s="5" t="inlineStr">
        <is>
          <t>M50021</t>
        </is>
      </c>
      <c r="Z16" s="5" t="n"/>
      <c r="AA16" s="5" t="n"/>
      <c r="AB16" s="4" t="n"/>
      <c r="AC16" s="5" t="inlineStr">
        <is>
          <t>MAYURAN, VIKRAM</t>
        </is>
      </c>
      <c r="AD16" s="5" t="inlineStr">
        <is>
          <t>Banner Desert Medical Center</t>
        </is>
      </c>
      <c r="AE16" s="5" t="inlineStr">
        <is>
          <t>06/24/2026</t>
        </is>
      </c>
      <c r="AF16" s="5" t="inlineStr">
        <is>
          <t>ORTHO</t>
        </is>
      </c>
      <c r="AG16" s="8" t="inlineStr">
        <is>
          <t>BCBS AZ dropped from 365 to 90 days on 01/01/2026. All dates of service here are 2026, so 90 days applies.</t>
        </is>
      </c>
      <c r="AH16" s="4" t="n">
        <v>522</v>
      </c>
    </row>
    <row r="17">
      <c r="A17" s="2" t="n"/>
      <c r="B17" s="3" t="n"/>
      <c r="C17" s="4" t="n">
        <v>553652690</v>
      </c>
      <c r="D17" s="5" t="inlineStr">
        <is>
          <t>HF495165589</t>
        </is>
      </c>
      <c r="E17" s="5" t="inlineStr">
        <is>
          <t>03/12/2026</t>
        </is>
      </c>
      <c r="F17" s="5" t="inlineStr">
        <is>
          <t>Humana Gold Plus HMO</t>
        </is>
      </c>
      <c r="G17" s="5" t="inlineStr">
        <is>
          <t>Humana Gold Plus HMO</t>
        </is>
      </c>
      <c r="H17" s="5" t="inlineStr">
        <is>
          <t>No Payer</t>
        </is>
      </c>
      <c r="I17" s="5" t="inlineStr">
        <is>
          <t>22853</t>
        </is>
      </c>
      <c r="J17" s="4">
        <f>IF($K17="","",$K17-TODAY())</f>
        <v/>
      </c>
      <c r="K17" s="6" t="n">
        <v>46183</v>
      </c>
      <c r="L17" s="5" t="inlineStr">
        <is>
          <t>90 days</t>
        </is>
      </c>
      <c r="M17" s="5" t="inlineStr">
        <is>
          <t>HUMANA MA</t>
        </is>
      </c>
      <c r="N17" s="5" t="n"/>
      <c r="O17" s="5" t="n"/>
      <c r="P17" s="5" t="n"/>
      <c r="Q17" s="4" t="n">
        <v>1</v>
      </c>
      <c r="R17" s="7" t="n">
        <v>1758.12</v>
      </c>
      <c r="S17" s="7" t="n">
        <v>0</v>
      </c>
      <c r="T17" s="7" t="n">
        <v>0</v>
      </c>
      <c r="U17" s="5" t="inlineStr">
        <is>
          <t>03/27/2026</t>
        </is>
      </c>
      <c r="V17" s="7" t="n">
        <v>1758.12</v>
      </c>
      <c r="W17" s="4" t="n">
        <v>149</v>
      </c>
      <c r="X17" s="5" t="inlineStr">
        <is>
          <t>M5416</t>
        </is>
      </c>
      <c r="Y17" s="5" t="inlineStr">
        <is>
          <t>M4317</t>
        </is>
      </c>
      <c r="Z17" s="5" t="n"/>
      <c r="AA17" s="5" t="n"/>
      <c r="AB17" s="4" t="n"/>
      <c r="AC17" s="5" t="inlineStr">
        <is>
          <t>MAYURAN, VIKRAM</t>
        </is>
      </c>
      <c r="AD17" s="5" t="inlineStr">
        <is>
          <t>Banner Desert Medical Center</t>
        </is>
      </c>
      <c r="AE17" s="5" t="inlineStr">
        <is>
          <t>03/24/2026</t>
        </is>
      </c>
      <c r="AF17" s="5" t="inlineStr">
        <is>
          <t>ORTHO</t>
        </is>
      </c>
      <c r="AG17" s="8" t="inlineStr">
        <is>
          <t>Shorter of the two Humana limits (90 days ancillary vs 180 days physician). Confirm the rendering provider's category - if they bill as a physician the real deadline is 90 days later.</t>
        </is>
      </c>
      <c r="AH17" s="4" t="n">
        <v>47</v>
      </c>
    </row>
    <row r="18">
      <c r="A18" s="2" t="n"/>
      <c r="B18" s="3" t="n"/>
      <c r="C18" s="4" t="n">
        <v>553652690</v>
      </c>
      <c r="D18" s="5" t="inlineStr">
        <is>
          <t>HF495165589</t>
        </is>
      </c>
      <c r="E18" s="5" t="inlineStr">
        <is>
          <t>03/12/2026</t>
        </is>
      </c>
      <c r="F18" s="5" t="inlineStr">
        <is>
          <t>Humana Gold Plus HMO</t>
        </is>
      </c>
      <c r="G18" s="5" t="inlineStr">
        <is>
          <t>Humana Gold Plus HMO</t>
        </is>
      </c>
      <c r="H18" s="5" t="inlineStr">
        <is>
          <t>No Payer</t>
        </is>
      </c>
      <c r="I18" s="5" t="inlineStr">
        <is>
          <t>22845</t>
        </is>
      </c>
      <c r="J18" s="4">
        <f>IF($K18="","",$K18-TODAY())</f>
        <v/>
      </c>
      <c r="K18" s="6" t="n">
        <v>46183</v>
      </c>
      <c r="L18" s="5" t="inlineStr">
        <is>
          <t>90 days</t>
        </is>
      </c>
      <c r="M18" s="5" t="inlineStr">
        <is>
          <t>HUMANA MA</t>
        </is>
      </c>
      <c r="N18" s="5" t="inlineStr">
        <is>
          <t>59</t>
        </is>
      </c>
      <c r="O18" s="5" t="n"/>
      <c r="P18" s="5" t="n"/>
      <c r="Q18" s="4" t="n">
        <v>1</v>
      </c>
      <c r="R18" s="7" t="n">
        <v>4951.24</v>
      </c>
      <c r="S18" s="7" t="n">
        <v>0</v>
      </c>
      <c r="T18" s="7" t="n">
        <v>0</v>
      </c>
      <c r="U18" s="5" t="inlineStr">
        <is>
          <t>03/27/2026</t>
        </is>
      </c>
      <c r="V18" s="7" t="n">
        <v>4951.24</v>
      </c>
      <c r="W18" s="4" t="n">
        <v>149</v>
      </c>
      <c r="X18" s="5" t="inlineStr">
        <is>
          <t>M5416</t>
        </is>
      </c>
      <c r="Y18" s="5" t="inlineStr">
        <is>
          <t>M4317</t>
        </is>
      </c>
      <c r="Z18" s="5" t="n"/>
      <c r="AA18" s="5" t="n"/>
      <c r="AB18" s="4" t="n"/>
      <c r="AC18" s="5" t="inlineStr">
        <is>
          <t>MAYURAN, VIKRAM</t>
        </is>
      </c>
      <c r="AD18" s="5" t="inlineStr">
        <is>
          <t>Banner Desert Medical Center</t>
        </is>
      </c>
      <c r="AE18" s="5" t="inlineStr">
        <is>
          <t>03/24/2026</t>
        </is>
      </c>
      <c r="AF18" s="5" t="inlineStr">
        <is>
          <t>ORTHO</t>
        </is>
      </c>
      <c r="AG18" s="8" t="inlineStr">
        <is>
          <t>Shorter of the two Humana limits (90 days ancillary vs 180 days physician). Confirm the rendering provider's category - if they bill as a physician the real deadline is 90 days later.</t>
        </is>
      </c>
      <c r="AH18" s="4" t="n">
        <v>48</v>
      </c>
    </row>
    <row r="19">
      <c r="A19" s="2" t="n"/>
      <c r="B19" s="3" t="n"/>
      <c r="C19" s="4" t="n">
        <v>553652690</v>
      </c>
      <c r="D19" s="5" t="inlineStr">
        <is>
          <t>HF495165589</t>
        </is>
      </c>
      <c r="E19" s="5" t="inlineStr">
        <is>
          <t>03/12/2026</t>
        </is>
      </c>
      <c r="F19" s="5" t="inlineStr">
        <is>
          <t>Humana Gold Plus HMO</t>
        </is>
      </c>
      <c r="G19" s="5" t="inlineStr">
        <is>
          <t>Humana Gold Plus HMO</t>
        </is>
      </c>
      <c r="H19" s="5" t="inlineStr">
        <is>
          <t>No Payer</t>
        </is>
      </c>
      <c r="I19" s="5" t="inlineStr">
        <is>
          <t>22551</t>
        </is>
      </c>
      <c r="J19" s="4">
        <f>IF($K19="","",$K19-TODAY())</f>
        <v/>
      </c>
      <c r="K19" s="6" t="n">
        <v>46183</v>
      </c>
      <c r="L19" s="5" t="inlineStr">
        <is>
          <t>90 days</t>
        </is>
      </c>
      <c r="M19" s="5" t="inlineStr">
        <is>
          <t>HUMANA MA</t>
        </is>
      </c>
      <c r="N19" s="5" t="n"/>
      <c r="O19" s="5" t="n"/>
      <c r="P19" s="5" t="n"/>
      <c r="Q19" s="4" t="n">
        <v>1</v>
      </c>
      <c r="R19" s="7" t="n">
        <v>11690.98</v>
      </c>
      <c r="S19" s="7" t="n">
        <v>0</v>
      </c>
      <c r="T19" s="7" t="n">
        <v>0</v>
      </c>
      <c r="U19" s="5" t="inlineStr">
        <is>
          <t>03/27/2026</t>
        </is>
      </c>
      <c r="V19" s="7" t="n">
        <v>11690.98</v>
      </c>
      <c r="W19" s="4" t="n">
        <v>149</v>
      </c>
      <c r="X19" s="5" t="inlineStr">
        <is>
          <t>M5416</t>
        </is>
      </c>
      <c r="Y19" s="5" t="inlineStr">
        <is>
          <t>M4317</t>
        </is>
      </c>
      <c r="Z19" s="5" t="n"/>
      <c r="AA19" s="5" t="n"/>
      <c r="AB19" s="4" t="n"/>
      <c r="AC19" s="5" t="inlineStr">
        <is>
          <t>MAYURAN, VIKRAM</t>
        </is>
      </c>
      <c r="AD19" s="5" t="inlineStr">
        <is>
          <t>Banner Desert Medical Center</t>
        </is>
      </c>
      <c r="AE19" s="5" t="inlineStr">
        <is>
          <t>03/24/2026</t>
        </is>
      </c>
      <c r="AF19" s="5" t="inlineStr">
        <is>
          <t>ORTHO</t>
        </is>
      </c>
      <c r="AG19" s="8" t="inlineStr">
        <is>
          <t>Shorter of the two Humana limits (90 days ancillary vs 180 days physician). Confirm the rendering provider's category - if they bill as a physician the real deadline is 90 days later.</t>
        </is>
      </c>
      <c r="AH19" s="4" t="n">
        <v>49</v>
      </c>
    </row>
    <row r="20">
      <c r="A20" s="2" t="n"/>
      <c r="B20" s="3" t="n"/>
      <c r="C20" s="4" t="n">
        <v>553656838</v>
      </c>
      <c r="D20" s="5" t="inlineStr">
        <is>
          <t>HF536440270</t>
        </is>
      </c>
      <c r="E20" s="5" t="inlineStr">
        <is>
          <t>03/12/2026</t>
        </is>
      </c>
      <c r="F20" s="5" t="inlineStr">
        <is>
          <t>Humana Gold Plus HMO</t>
        </is>
      </c>
      <c r="G20" s="5" t="inlineStr">
        <is>
          <t>Humana Gold Plus HMO</t>
        </is>
      </c>
      <c r="H20" s="5" t="inlineStr">
        <is>
          <t>No Payer</t>
        </is>
      </c>
      <c r="I20" s="5" t="inlineStr">
        <is>
          <t>22853</t>
        </is>
      </c>
      <c r="J20" s="4">
        <f>IF($K20="","",$K20-TODAY())</f>
        <v/>
      </c>
      <c r="K20" s="6" t="n">
        <v>46183</v>
      </c>
      <c r="L20" s="5" t="inlineStr">
        <is>
          <t>90 days</t>
        </is>
      </c>
      <c r="M20" s="5" t="inlineStr">
        <is>
          <t>HUMANA MA</t>
        </is>
      </c>
      <c r="N20" s="5" t="n"/>
      <c r="O20" s="5" t="n"/>
      <c r="P20" s="5" t="n"/>
      <c r="Q20" s="4" t="n">
        <v>1</v>
      </c>
      <c r="R20" s="7" t="n">
        <v>1758.12</v>
      </c>
      <c r="S20" s="7" t="n">
        <v>0</v>
      </c>
      <c r="T20" s="7" t="n">
        <v>0</v>
      </c>
      <c r="U20" s="5" t="inlineStr">
        <is>
          <t>07/17/2026</t>
        </is>
      </c>
      <c r="V20" s="7" t="n">
        <v>1758.12</v>
      </c>
      <c r="W20" s="4" t="n">
        <v>149</v>
      </c>
      <c r="X20" s="5" t="inlineStr">
        <is>
          <t>M5416</t>
        </is>
      </c>
      <c r="Y20" s="5" t="inlineStr">
        <is>
          <t>M48061</t>
        </is>
      </c>
      <c r="Z20" s="5" t="n"/>
      <c r="AA20" s="5" t="n"/>
      <c r="AB20" s="4" t="n"/>
      <c r="AC20" s="5" t="inlineStr">
        <is>
          <t>MAYURAN, VIKRAM</t>
        </is>
      </c>
      <c r="AD20" s="5" t="inlineStr">
        <is>
          <t>Banner Desert Medical Center</t>
        </is>
      </c>
      <c r="AE20" s="5" t="inlineStr">
        <is>
          <t>03/24/2026</t>
        </is>
      </c>
      <c r="AF20" s="5" t="inlineStr">
        <is>
          <t>ORTHO</t>
        </is>
      </c>
      <c r="AG20" s="8" t="inlineStr">
        <is>
          <t>Shorter of the two Humana limits (90 days ancillary vs 180 days physician). Confirm the rendering provider's category - if they bill as a physician the real deadline is 90 days later.</t>
        </is>
      </c>
      <c r="AH20" s="4" t="n">
        <v>50</v>
      </c>
    </row>
    <row r="21">
      <c r="A21" s="2" t="n"/>
      <c r="B21" s="3" t="n"/>
      <c r="C21" s="4" t="n">
        <v>553656838</v>
      </c>
      <c r="D21" s="5" t="inlineStr">
        <is>
          <t>HF536440270</t>
        </is>
      </c>
      <c r="E21" s="5" t="inlineStr">
        <is>
          <t>03/12/2026</t>
        </is>
      </c>
      <c r="F21" s="5" t="inlineStr">
        <is>
          <t>Humana Gold Plus HMO</t>
        </is>
      </c>
      <c r="G21" s="5" t="inlineStr">
        <is>
          <t>Humana Gold Plus HMO</t>
        </is>
      </c>
      <c r="H21" s="5" t="inlineStr">
        <is>
          <t>No Payer</t>
        </is>
      </c>
      <c r="I21" s="5" t="inlineStr">
        <is>
          <t>22612</t>
        </is>
      </c>
      <c r="J21" s="4">
        <f>IF($K21="","",$K21-TODAY())</f>
        <v/>
      </c>
      <c r="K21" s="6" t="n">
        <v>46183</v>
      </c>
      <c r="L21" s="5" t="inlineStr">
        <is>
          <t>90 days</t>
        </is>
      </c>
      <c r="M21" s="5" t="inlineStr">
        <is>
          <t>HUMANA MA</t>
        </is>
      </c>
      <c r="N21" s="5" t="n"/>
      <c r="O21" s="5" t="n"/>
      <c r="P21" s="5" t="n"/>
      <c r="Q21" s="4" t="n">
        <v>1</v>
      </c>
      <c r="R21" s="7" t="n">
        <v>10892.84</v>
      </c>
      <c r="S21" s="7" t="n">
        <v>0</v>
      </c>
      <c r="T21" s="7" t="n">
        <v>0</v>
      </c>
      <c r="U21" s="5" t="inlineStr">
        <is>
          <t>07/17/2026</t>
        </is>
      </c>
      <c r="V21" s="7" t="n">
        <v>10892.84</v>
      </c>
      <c r="W21" s="4" t="n">
        <v>149</v>
      </c>
      <c r="X21" s="5" t="inlineStr">
        <is>
          <t>M5416</t>
        </is>
      </c>
      <c r="Y21" s="5" t="inlineStr">
        <is>
          <t>M48061</t>
        </is>
      </c>
      <c r="Z21" s="5" t="n"/>
      <c r="AA21" s="5" t="n"/>
      <c r="AB21" s="4" t="n"/>
      <c r="AC21" s="5" t="inlineStr">
        <is>
          <t>MAYURAN, VIKRAM</t>
        </is>
      </c>
      <c r="AD21" s="5" t="inlineStr">
        <is>
          <t>Banner Desert Medical Center</t>
        </is>
      </c>
      <c r="AE21" s="5" t="inlineStr">
        <is>
          <t>03/24/2026</t>
        </is>
      </c>
      <c r="AF21" s="5" t="inlineStr">
        <is>
          <t>ORTHO</t>
        </is>
      </c>
      <c r="AG21" s="8" t="inlineStr">
        <is>
          <t>Shorter of the two Humana limits (90 days ancillary vs 180 days physician). Confirm the rendering provider's category - if they bill as a physician the real deadline is 90 days later.</t>
        </is>
      </c>
      <c r="AH21" s="4" t="n">
        <v>104</v>
      </c>
    </row>
    <row r="22">
      <c r="A22" s="2" t="n"/>
      <c r="B22" s="3" t="n"/>
      <c r="C22" s="4" t="n">
        <v>555351211</v>
      </c>
      <c r="D22" s="5" t="inlineStr">
        <is>
          <t>HF404885397</t>
        </is>
      </c>
      <c r="E22" s="5" t="inlineStr">
        <is>
          <t>03/12/2026</t>
        </is>
      </c>
      <c r="F22" s="5" t="inlineStr">
        <is>
          <t>UnitedHealthcare Community Plan / Arizona Long Term Care</t>
        </is>
      </c>
      <c r="G22" s="5" t="inlineStr">
        <is>
          <t>UnitedHealthcare Community Plan / Arizona Long Term Care</t>
        </is>
      </c>
      <c r="H22" s="5" t="inlineStr">
        <is>
          <t>No Payer</t>
        </is>
      </c>
      <c r="I22" s="5" t="inlineStr">
        <is>
          <t>63655</t>
        </is>
      </c>
      <c r="J22" s="4">
        <f>IF($K22="","",$K22-TODAY())</f>
        <v/>
      </c>
      <c r="K22" s="6" t="n">
        <v>46183</v>
      </c>
      <c r="L22" s="5" t="inlineStr">
        <is>
          <t>90 days</t>
        </is>
      </c>
      <c r="M22" s="5" t="inlineStr">
        <is>
          <t>UHC COMMUNITY</t>
        </is>
      </c>
      <c r="N22" s="5" t="n"/>
      <c r="O22" s="5" t="n"/>
      <c r="P22" s="5" t="n"/>
      <c r="Q22" s="4" t="n">
        <v>1</v>
      </c>
      <c r="R22" s="7" t="n">
        <v>5784.24</v>
      </c>
      <c r="S22" s="7" t="n">
        <v>0</v>
      </c>
      <c r="T22" s="7" t="n">
        <v>0</v>
      </c>
      <c r="U22" s="5" t="inlineStr">
        <is>
          <t>06/17/2026</t>
        </is>
      </c>
      <c r="V22" s="7" t="n">
        <v>5784.24</v>
      </c>
      <c r="W22" s="4" t="n">
        <v>149</v>
      </c>
      <c r="X22" s="5" t="inlineStr">
        <is>
          <t>M961</t>
        </is>
      </c>
      <c r="Y22" s="5" t="inlineStr">
        <is>
          <t>M5416</t>
        </is>
      </c>
      <c r="Z22" s="5" t="n"/>
      <c r="AA22" s="5" t="n"/>
      <c r="AB22" s="4" t="n"/>
      <c r="AC22" s="5" t="inlineStr">
        <is>
          <t>LUKE, TIMOTHY</t>
        </is>
      </c>
      <c r="AD22" s="5" t="inlineStr">
        <is>
          <t>ASAP Surgery Centers North Valley LLC</t>
        </is>
      </c>
      <c r="AE22" s="5" t="inlineStr">
        <is>
          <t>04/08/2026</t>
        </is>
      </c>
      <c r="AF22" s="5" t="inlineStr">
        <is>
          <t>ORTHO</t>
        </is>
      </c>
      <c r="AG22" s="8" t="n"/>
      <c r="AH22" s="4" t="n">
        <v>650</v>
      </c>
    </row>
    <row r="23">
      <c r="A23" s="2" t="n"/>
      <c r="B23" s="3" t="n"/>
      <c r="C23" s="4" t="n">
        <v>555351211</v>
      </c>
      <c r="D23" s="5" t="inlineStr">
        <is>
          <t>HF404885397</t>
        </is>
      </c>
      <c r="E23" s="5" t="inlineStr">
        <is>
          <t>03/12/2026</t>
        </is>
      </c>
      <c r="F23" s="5" t="inlineStr">
        <is>
          <t>UnitedHealthcare Community Plan / Arizona Long Term Care</t>
        </is>
      </c>
      <c r="G23" s="5" t="inlineStr">
        <is>
          <t>UnitedHealthcare Community Plan / Arizona Long Term Care</t>
        </is>
      </c>
      <c r="H23" s="5" t="inlineStr">
        <is>
          <t>No Payer</t>
        </is>
      </c>
      <c r="I23" s="5" t="inlineStr">
        <is>
          <t>63685</t>
        </is>
      </c>
      <c r="J23" s="4">
        <f>IF($K23="","",$K23-TODAY())</f>
        <v/>
      </c>
      <c r="K23" s="6" t="n">
        <v>46183</v>
      </c>
      <c r="L23" s="5" t="inlineStr">
        <is>
          <t>90 days</t>
        </is>
      </c>
      <c r="M23" s="5" t="inlineStr">
        <is>
          <t>UHC COMMUNITY</t>
        </is>
      </c>
      <c r="N23" s="5" t="n"/>
      <c r="O23" s="5" t="n"/>
      <c r="P23" s="5" t="n"/>
      <c r="Q23" s="4" t="n">
        <v>1</v>
      </c>
      <c r="R23" s="7" t="n">
        <v>2493.33</v>
      </c>
      <c r="S23" s="7" t="n">
        <v>0</v>
      </c>
      <c r="T23" s="7" t="n">
        <v>0</v>
      </c>
      <c r="U23" s="5" t="inlineStr">
        <is>
          <t>04/15/2026</t>
        </is>
      </c>
      <c r="V23" s="7" t="n">
        <v>2493.33</v>
      </c>
      <c r="W23" s="4" t="n">
        <v>149</v>
      </c>
      <c r="X23" s="5" t="inlineStr">
        <is>
          <t>M961</t>
        </is>
      </c>
      <c r="Y23" s="5" t="inlineStr">
        <is>
          <t>M5416</t>
        </is>
      </c>
      <c r="Z23" s="5" t="n"/>
      <c r="AA23" s="5" t="n"/>
      <c r="AB23" s="4" t="n"/>
      <c r="AC23" s="5" t="inlineStr">
        <is>
          <t>LUKE, TIMOTHY</t>
        </is>
      </c>
      <c r="AD23" s="5" t="inlineStr">
        <is>
          <t>ASAP Surgery Centers North Valley LLC</t>
        </is>
      </c>
      <c r="AE23" s="5" t="inlineStr">
        <is>
          <t>04/08/2026</t>
        </is>
      </c>
      <c r="AF23" s="5" t="inlineStr">
        <is>
          <t>ORTHO</t>
        </is>
      </c>
      <c r="AG23" s="8" t="n"/>
      <c r="AH23" s="4" t="n">
        <v>651</v>
      </c>
    </row>
    <row r="24">
      <c r="A24" s="2" t="n"/>
      <c r="B24" s="3" t="n"/>
      <c r="C24" s="4" t="n">
        <v>553172544</v>
      </c>
      <c r="D24" s="5" t="inlineStr">
        <is>
          <t>HF551760467</t>
        </is>
      </c>
      <c r="E24" s="5" t="inlineStr">
        <is>
          <t>03/16/2026</t>
        </is>
      </c>
      <c r="F24" s="5" t="inlineStr">
        <is>
          <t>Humana</t>
        </is>
      </c>
      <c r="G24" s="5" t="inlineStr">
        <is>
          <t>Humana</t>
        </is>
      </c>
      <c r="H24" s="5" t="inlineStr">
        <is>
          <t>No Payer</t>
        </is>
      </c>
      <c r="I24" s="5" t="inlineStr">
        <is>
          <t>63030</t>
        </is>
      </c>
      <c r="J24" s="4">
        <f>IF($K24="","",$K24-TODAY())</f>
        <v/>
      </c>
      <c r="K24" s="6" t="n">
        <v>46187</v>
      </c>
      <c r="L24" s="5" t="inlineStr">
        <is>
          <t>90 days</t>
        </is>
      </c>
      <c r="M24" s="5" t="inlineStr">
        <is>
          <t>HUMANA COMMERCIAL</t>
        </is>
      </c>
      <c r="N24" s="5" t="inlineStr">
        <is>
          <t>50</t>
        </is>
      </c>
      <c r="O24" s="5" t="n"/>
      <c r="P24" s="5" t="n"/>
      <c r="Q24" s="4" t="n">
        <v>1</v>
      </c>
      <c r="R24" s="7" t="n">
        <v>6297.27</v>
      </c>
      <c r="S24" s="7" t="n">
        <v>0</v>
      </c>
      <c r="T24" s="7" t="n">
        <v>0</v>
      </c>
      <c r="U24" s="5" t="inlineStr">
        <is>
          <t>03/20/2026</t>
        </is>
      </c>
      <c r="V24" s="7" t="n">
        <v>6297.27</v>
      </c>
      <c r="W24" s="4" t="n">
        <v>145</v>
      </c>
      <c r="X24" s="5" t="inlineStr">
        <is>
          <t>M48062</t>
        </is>
      </c>
      <c r="Y24" s="5" t="inlineStr">
        <is>
          <t>M5416</t>
        </is>
      </c>
      <c r="Z24" s="5" t="inlineStr">
        <is>
          <t>M9963</t>
        </is>
      </c>
      <c r="AA24" s="5" t="inlineStr">
        <is>
          <t>M5126</t>
        </is>
      </c>
      <c r="AB24" s="4" t="n"/>
      <c r="AC24" s="5" t="inlineStr">
        <is>
          <t>LUKE, TIMOTHY</t>
        </is>
      </c>
      <c r="AD24" s="5" t="inlineStr">
        <is>
          <t>ASAP Surgery Centers North Valley LLC</t>
        </is>
      </c>
      <c r="AE24" s="5" t="inlineStr">
        <is>
          <t>03/19/2026</t>
        </is>
      </c>
      <c r="AF24" s="5" t="inlineStr">
        <is>
          <t>ORTHO</t>
        </is>
      </c>
      <c r="AG24" s="8" t="inlineStr">
        <is>
          <t>Shorter of the two Humana limits (90 days ancillary vs 180 days physician). Confirm the rendering provider's category - if they bill as a physician the real deadline is 90 days later.</t>
        </is>
      </c>
      <c r="AH24" s="4" t="n">
        <v>138</v>
      </c>
    </row>
    <row r="25">
      <c r="A25" s="2" t="n"/>
      <c r="B25" s="3" t="n"/>
      <c r="C25" s="4" t="n">
        <v>553172544</v>
      </c>
      <c r="D25" s="5" t="inlineStr">
        <is>
          <t>HF551760467</t>
        </is>
      </c>
      <c r="E25" s="5" t="inlineStr">
        <is>
          <t>03/16/2026</t>
        </is>
      </c>
      <c r="F25" s="5" t="inlineStr">
        <is>
          <t>Humana</t>
        </is>
      </c>
      <c r="G25" s="5" t="inlineStr">
        <is>
          <t>Humana</t>
        </is>
      </c>
      <c r="H25" s="5" t="inlineStr">
        <is>
          <t>No Payer</t>
        </is>
      </c>
      <c r="I25" s="5" t="inlineStr">
        <is>
          <t>63035</t>
        </is>
      </c>
      <c r="J25" s="4">
        <f>IF($K25="","",$K25-TODAY())</f>
        <v/>
      </c>
      <c r="K25" s="6" t="n">
        <v>46187</v>
      </c>
      <c r="L25" s="5" t="inlineStr">
        <is>
          <t>90 days</t>
        </is>
      </c>
      <c r="M25" s="5" t="inlineStr">
        <is>
          <t>HUMANA COMMERCIAL</t>
        </is>
      </c>
      <c r="N25" s="5" t="inlineStr">
        <is>
          <t>LT</t>
        </is>
      </c>
      <c r="O25" s="5" t="n"/>
      <c r="P25" s="5" t="n"/>
      <c r="Q25" s="4" t="n">
        <v>1</v>
      </c>
      <c r="R25" s="7" t="n">
        <v>1595.58</v>
      </c>
      <c r="S25" s="7" t="n">
        <v>0</v>
      </c>
      <c r="T25" s="7" t="n">
        <v>0</v>
      </c>
      <c r="U25" s="5" t="inlineStr">
        <is>
          <t>03/20/2026</t>
        </is>
      </c>
      <c r="V25" s="7" t="n">
        <v>1595.58</v>
      </c>
      <c r="W25" s="4" t="n">
        <v>145</v>
      </c>
      <c r="X25" s="5" t="inlineStr">
        <is>
          <t>M48062</t>
        </is>
      </c>
      <c r="Y25" s="5" t="inlineStr">
        <is>
          <t>M5416</t>
        </is>
      </c>
      <c r="Z25" s="5" t="inlineStr">
        <is>
          <t>M9963</t>
        </is>
      </c>
      <c r="AA25" s="5" t="inlineStr">
        <is>
          <t>M5126</t>
        </is>
      </c>
      <c r="AB25" s="4" t="n"/>
      <c r="AC25" s="5" t="inlineStr">
        <is>
          <t>LUKE, TIMOTHY</t>
        </is>
      </c>
      <c r="AD25" s="5" t="inlineStr">
        <is>
          <t>ASAP Surgery Centers North Valley LLC</t>
        </is>
      </c>
      <c r="AE25" s="5" t="inlineStr">
        <is>
          <t>03/19/2026</t>
        </is>
      </c>
      <c r="AF25" s="5" t="inlineStr">
        <is>
          <t>ORTHO</t>
        </is>
      </c>
      <c r="AG25" s="8" t="inlineStr">
        <is>
          <t>Shorter of the two Humana limits (90 days ancillary vs 180 days physician). Confirm the rendering provider's category - if they bill as a physician the real deadline is 90 days later.</t>
        </is>
      </c>
      <c r="AH25" s="4" t="n">
        <v>139</v>
      </c>
    </row>
    <row r="26">
      <c r="A26" s="2" t="n"/>
      <c r="B26" s="3" t="n"/>
      <c r="C26" s="4" t="n">
        <v>553378154</v>
      </c>
      <c r="D26" s="5" t="inlineStr">
        <is>
          <t>HF518096784</t>
        </is>
      </c>
      <c r="E26" s="5" t="inlineStr">
        <is>
          <t>03/20/2026</t>
        </is>
      </c>
      <c r="F26" s="5" t="inlineStr">
        <is>
          <t>Aetna Legacy</t>
        </is>
      </c>
      <c r="G26" s="5" t="inlineStr">
        <is>
          <t>Aetna Legacy</t>
        </is>
      </c>
      <c r="H26" s="5" t="inlineStr">
        <is>
          <t>No Payer</t>
        </is>
      </c>
      <c r="I26" s="5" t="inlineStr">
        <is>
          <t>63047</t>
        </is>
      </c>
      <c r="J26" s="4">
        <f>IF($K26="","",$K26-TODAY())</f>
        <v/>
      </c>
      <c r="K26" s="6" t="n">
        <v>46221</v>
      </c>
      <c r="L26" s="5" t="inlineStr">
        <is>
          <t>120 days</t>
        </is>
      </c>
      <c r="M26" s="5" t="inlineStr">
        <is>
          <t>AETNA</t>
        </is>
      </c>
      <c r="N26" s="5" t="n"/>
      <c r="O26" s="5" t="n"/>
      <c r="P26" s="5" t="n"/>
      <c r="Q26" s="4" t="n">
        <v>1</v>
      </c>
      <c r="R26" s="7" t="n">
        <v>7623.07</v>
      </c>
      <c r="S26" s="7" t="n">
        <v>0</v>
      </c>
      <c r="T26" s="7" t="n">
        <v>0</v>
      </c>
      <c r="U26" s="5" t="inlineStr">
        <is>
          <t>05/21/2026</t>
        </is>
      </c>
      <c r="V26" s="7" t="n">
        <v>7623.07</v>
      </c>
      <c r="W26" s="4" t="n">
        <v>141</v>
      </c>
      <c r="X26" s="5" t="inlineStr">
        <is>
          <t>M48062</t>
        </is>
      </c>
      <c r="Y26" s="5" t="n"/>
      <c r="Z26" s="5" t="n"/>
      <c r="AA26" s="5" t="n"/>
      <c r="AB26" s="4" t="n"/>
      <c r="AC26" s="5" t="inlineStr">
        <is>
          <t>LEATHEM, JARRETT</t>
        </is>
      </c>
      <c r="AD26" s="5" t="inlineStr">
        <is>
          <t>Premier Endoscopy Center, LLC</t>
        </is>
      </c>
      <c r="AE26" s="5" t="inlineStr">
        <is>
          <t>03/24/2026</t>
        </is>
      </c>
      <c r="AF26" s="5" t="inlineStr">
        <is>
          <t>ORTHO</t>
        </is>
      </c>
      <c r="AG26" s="8" t="inlineStr">
        <is>
          <t>120 days is per our contract rather than a published Aetna policy.</t>
        </is>
      </c>
      <c r="AH26" s="4" t="n">
        <v>347</v>
      </c>
    </row>
  </sheetData>
  <autoFilter ref="A1:AH26"/>
  <conditionalFormatting sqref="J2:M26">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H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8" customWidth="1" min="3" max="3"/>
    <col width="14" customWidth="1" min="4" max="4"/>
    <col width="17" customWidth="1" min="5" max="5"/>
    <col width="40" customWidth="1" min="6" max="6"/>
    <col width="34" customWidth="1" min="7" max="7"/>
    <col width="40" customWidth="1" min="8" max="8"/>
    <col width="16" customWidth="1" min="9" max="9"/>
    <col width="12" customWidth="1" min="10" max="10"/>
    <col width="17" customWidth="1" min="11" max="11"/>
    <col width="14" customWidth="1" min="12" max="12"/>
    <col width="30" customWidth="1" min="13" max="13"/>
    <col width="12" customWidth="1" min="14" max="14"/>
    <col width="12" customWidth="1" min="15" max="15"/>
    <col width="12" customWidth="1" min="16" max="16"/>
    <col width="9" customWidth="1" min="17" max="17"/>
    <col width="15" customWidth="1" min="18" max="18"/>
    <col width="12" customWidth="1" min="19" max="19"/>
    <col width="19" customWidth="1" min="20" max="20"/>
    <col width="22" customWidth="1" min="21" max="21"/>
    <col width="19" customWidth="1" min="22" max="22"/>
    <col width="24" customWidth="1" min="23" max="23"/>
    <col width="18" customWidth="1" min="24" max="24"/>
    <col width="18" customWidth="1" min="25" max="25"/>
    <col width="18" customWidth="1" min="26" max="26"/>
    <col width="18" customWidth="1" min="27" max="27"/>
    <col width="20" customWidth="1" min="28" max="28"/>
    <col width="22" customWidth="1" min="29" max="29"/>
    <col width="24" customWidth="1" min="30" max="30"/>
    <col width="14" customWidth="1" min="31" max="31"/>
    <col width="11" customWidth="1" min="32" max="32"/>
    <col width="60" customWidth="1" min="33" max="33"/>
    <col width="9" customWidth="1" min="34" max="34"/>
  </cols>
  <sheetData>
    <row r="1" ht="30" customHeight="1">
      <c r="A1" s="1" t="inlineStr">
        <is>
          <t>Claim Status</t>
        </is>
      </c>
      <c r="B1" s="1" t="inlineStr">
        <is>
          <t>Notes</t>
        </is>
      </c>
      <c r="C1" s="1" t="inlineStr">
        <is>
          <t>Primary Claim ID</t>
        </is>
      </c>
      <c r="D1" s="1" t="inlineStr">
        <is>
          <t>Chart Number</t>
        </is>
      </c>
      <c r="E1" s="1" t="inlineStr">
        <is>
          <t>Date of Service</t>
        </is>
      </c>
      <c r="F1" s="1" t="inlineStr">
        <is>
          <t>Responsible Payer</t>
        </is>
      </c>
      <c r="G1" s="1" t="inlineStr">
        <is>
          <t>Primary Payer Name</t>
        </is>
      </c>
      <c r="H1" s="1" t="inlineStr">
        <is>
          <t>Secondary Payer Name</t>
        </is>
      </c>
      <c r="I1" s="1" t="inlineStr">
        <is>
          <t>Procedure Code</t>
        </is>
      </c>
      <c r="J1" s="1" t="inlineStr">
        <is>
          <t>Days Until Deadline</t>
        </is>
      </c>
      <c r="K1" s="1" t="inlineStr">
        <is>
          <t>Filing Deadline</t>
        </is>
      </c>
      <c r="L1" s="1" t="inlineStr">
        <is>
          <t>Filing Limit</t>
        </is>
      </c>
      <c r="M1" s="1" t="inlineStr">
        <is>
          <t>Limit Carrier</t>
        </is>
      </c>
      <c r="N1" s="1" t="inlineStr">
        <is>
          <t>Modifier 1</t>
        </is>
      </c>
      <c r="O1" s="1" t="inlineStr">
        <is>
          <t>Modifier 2</t>
        </is>
      </c>
      <c r="P1" s="1" t="inlineStr">
        <is>
          <t>Modifier 3</t>
        </is>
      </c>
      <c r="Q1" s="1" t="inlineStr">
        <is>
          <t>Units</t>
        </is>
      </c>
      <c r="R1" s="1" t="inlineStr">
        <is>
          <t>Charge Amount</t>
        </is>
      </c>
      <c r="S1" s="1" t="inlineStr">
        <is>
          <t>Adjustment</t>
        </is>
      </c>
      <c r="T1" s="1" t="inlineStr">
        <is>
          <t>Insurance Payment</t>
        </is>
      </c>
      <c r="U1" s="1" t="inlineStr">
        <is>
          <t>Insurance Check Date</t>
        </is>
      </c>
      <c r="V1" s="1" t="inlineStr">
        <is>
          <t>Insurance Balance</t>
        </is>
      </c>
      <c r="W1" s="1" t="inlineStr">
        <is>
          <t>AR Age by Service Date</t>
        </is>
      </c>
      <c r="X1" s="1" t="inlineStr">
        <is>
          <t>Diagnosis Code 1</t>
        </is>
      </c>
      <c r="Y1" s="1" t="inlineStr">
        <is>
          <t>Diagnosis Code 2</t>
        </is>
      </c>
      <c r="Z1" s="1" t="inlineStr">
        <is>
          <t>Diagnosis Code 3</t>
        </is>
      </c>
      <c r="AA1" s="1" t="inlineStr">
        <is>
          <t>Diagnosis Code 4</t>
        </is>
      </c>
      <c r="AB1" s="1" t="inlineStr">
        <is>
          <t>Secondary Claim ID</t>
        </is>
      </c>
      <c r="AC1" s="1" t="inlineStr">
        <is>
          <t>Rendering Provider</t>
        </is>
      </c>
      <c r="AD1" s="1" t="inlineStr">
        <is>
          <t>Location Name</t>
        </is>
      </c>
      <c r="AE1" s="1" t="inlineStr">
        <is>
          <t>Created Date</t>
        </is>
      </c>
      <c r="AF1" s="1" t="inlineStr">
        <is>
          <t>Specialty</t>
        </is>
      </c>
      <c r="AG1" s="1" t="inlineStr">
        <is>
          <t>Limit Caveat</t>
        </is>
      </c>
      <c r="AH1" s="1" t="inlineStr">
        <is>
          <t>Line ID</t>
        </is>
      </c>
    </row>
    <row r="2">
      <c r="A2" s="2" t="n"/>
      <c r="B2" s="3" t="n"/>
      <c r="C2" s="4" t="n">
        <v>567164585</v>
      </c>
      <c r="D2" s="5" t="inlineStr">
        <is>
          <t>HF330249847</t>
        </is>
      </c>
      <c r="E2" s="5" t="inlineStr">
        <is>
          <t>03/17/2026</t>
        </is>
      </c>
      <c r="F2" s="5" t="inlineStr">
        <is>
          <t>Mercy Care RBHA</t>
        </is>
      </c>
      <c r="G2" s="5" t="inlineStr">
        <is>
          <t>Mercy Care RBHA</t>
        </is>
      </c>
      <c r="H2" s="5" t="inlineStr">
        <is>
          <t>No Payer</t>
        </is>
      </c>
      <c r="I2" s="5" t="inlineStr">
        <is>
          <t>93923</t>
        </is>
      </c>
      <c r="J2" s="4">
        <f>IF($K2="","",$K2-TODAY())</f>
        <v/>
      </c>
      <c r="K2" s="6" t="n">
        <v>46278</v>
      </c>
      <c r="L2" s="5" t="inlineStr">
        <is>
          <t>180 days</t>
        </is>
      </c>
      <c r="M2" s="5" t="inlineStr">
        <is>
          <t>MERCY CARE MEDICAID</t>
        </is>
      </c>
      <c r="N2" s="5" t="n"/>
      <c r="O2" s="5" t="n"/>
      <c r="P2" s="5" t="n"/>
      <c r="Q2" s="4" t="n">
        <v>1</v>
      </c>
      <c r="R2" s="7" t="n">
        <v>879.0599999999999</v>
      </c>
      <c r="S2" s="7" t="n">
        <v>0</v>
      </c>
      <c r="T2" s="7" t="n">
        <v>0</v>
      </c>
      <c r="U2" s="5" t="inlineStr">
        <is>
          <t>04/01/2026</t>
        </is>
      </c>
      <c r="V2" s="7" t="n">
        <v>879.0599999999999</v>
      </c>
      <c r="W2" s="4" t="n">
        <v>144</v>
      </c>
      <c r="X2" s="5" t="inlineStr">
        <is>
          <t>M5417</t>
        </is>
      </c>
      <c r="Y2" s="5" t="inlineStr">
        <is>
          <t>E1142</t>
        </is>
      </c>
      <c r="Z2" s="5" t="n"/>
      <c r="AA2" s="5" t="n"/>
      <c r="AB2" s="4" t="n"/>
      <c r="AC2" s="5" t="inlineStr">
        <is>
          <t>LEATHEM, JARRETT</t>
        </is>
      </c>
      <c r="AD2" s="5" t="inlineStr">
        <is>
          <t>ASAP - Gilbert</t>
        </is>
      </c>
      <c r="AE2" s="5" t="inlineStr">
        <is>
          <t>03/25/2026</t>
        </is>
      </c>
      <c r="AF2" s="5" t="inlineStr">
        <is>
          <t>US</t>
        </is>
      </c>
      <c r="AG2" s="8" t="n"/>
      <c r="AH2" s="4" t="n">
        <v>553</v>
      </c>
    </row>
    <row r="3">
      <c r="A3" s="2" t="n"/>
      <c r="B3" s="3" t="n"/>
      <c r="C3" s="4" t="n">
        <v>567164585</v>
      </c>
      <c r="D3" s="5" t="inlineStr">
        <is>
          <t>HF330249847</t>
        </is>
      </c>
      <c r="E3" s="5" t="inlineStr">
        <is>
          <t>03/17/2026</t>
        </is>
      </c>
      <c r="F3" s="5" t="inlineStr">
        <is>
          <t>Mercy Care RBHA</t>
        </is>
      </c>
      <c r="G3" s="5" t="inlineStr">
        <is>
          <t>Mercy Care RBHA</t>
        </is>
      </c>
      <c r="H3" s="5" t="inlineStr">
        <is>
          <t>No Payer</t>
        </is>
      </c>
      <c r="I3" s="5" t="inlineStr">
        <is>
          <t>93925</t>
        </is>
      </c>
      <c r="J3" s="4">
        <f>IF($K3="","",$K3-TODAY())</f>
        <v/>
      </c>
      <c r="K3" s="6" t="n">
        <v>46278</v>
      </c>
      <c r="L3" s="5" t="inlineStr">
        <is>
          <t>180 days</t>
        </is>
      </c>
      <c r="M3" s="5" t="inlineStr">
        <is>
          <t>MERCY CARE MEDICAID</t>
        </is>
      </c>
      <c r="N3" s="5" t="n"/>
      <c r="O3" s="5" t="n"/>
      <c r="P3" s="5" t="n"/>
      <c r="Q3" s="4" t="n">
        <v>1</v>
      </c>
      <c r="R3" s="7" t="n">
        <v>1649.2</v>
      </c>
      <c r="S3" s="7" t="n">
        <v>0</v>
      </c>
      <c r="T3" s="7" t="n">
        <v>0</v>
      </c>
      <c r="U3" s="5" t="inlineStr">
        <is>
          <t>04/01/2026</t>
        </is>
      </c>
      <c r="V3" s="7" t="n">
        <v>1649.2</v>
      </c>
      <c r="W3" s="4" t="n">
        <v>144</v>
      </c>
      <c r="X3" s="5" t="inlineStr">
        <is>
          <t>M5417</t>
        </is>
      </c>
      <c r="Y3" s="5" t="inlineStr">
        <is>
          <t>E1142</t>
        </is>
      </c>
      <c r="Z3" s="5" t="n"/>
      <c r="AA3" s="5" t="n"/>
      <c r="AB3" s="4" t="n"/>
      <c r="AC3" s="5" t="inlineStr">
        <is>
          <t>LEATHEM, JARRETT</t>
        </is>
      </c>
      <c r="AD3" s="5" t="inlineStr">
        <is>
          <t>ASAP - Gilbert</t>
        </is>
      </c>
      <c r="AE3" s="5" t="inlineStr">
        <is>
          <t>03/25/2026</t>
        </is>
      </c>
      <c r="AF3" s="5" t="inlineStr">
        <is>
          <t>US</t>
        </is>
      </c>
      <c r="AG3" s="8" t="n"/>
      <c r="AH3" s="4" t="n">
        <v>554</v>
      </c>
    </row>
    <row r="4">
      <c r="A4" s="2" t="n"/>
      <c r="B4" s="3" t="n"/>
      <c r="C4" s="4" t="n">
        <v>566164852</v>
      </c>
      <c r="D4" s="5" t="inlineStr">
        <is>
          <t>HF497596195</t>
        </is>
      </c>
      <c r="E4" s="5" t="inlineStr">
        <is>
          <t>03/10/2026</t>
        </is>
      </c>
      <c r="F4" s="5" t="inlineStr">
        <is>
          <t>Medicare Part B Arizona *</t>
        </is>
      </c>
      <c r="G4" s="5" t="inlineStr">
        <is>
          <t>Medicare Part B Arizona *</t>
        </is>
      </c>
      <c r="H4" s="5" t="inlineStr">
        <is>
          <t>AARP United Healthcare</t>
        </is>
      </c>
      <c r="I4" s="5" t="inlineStr">
        <is>
          <t>93970</t>
        </is>
      </c>
      <c r="J4" s="4">
        <f>IF($K4="","",$K4-TODAY())</f>
        <v/>
      </c>
      <c r="K4" s="6" t="n">
        <v>46456</v>
      </c>
      <c r="L4" s="5" t="inlineStr">
        <is>
          <t>365 days</t>
        </is>
      </c>
      <c r="M4" s="5" t="inlineStr">
        <is>
          <t>MEDICARE</t>
        </is>
      </c>
      <c r="N4" s="5" t="n"/>
      <c r="O4" s="5" t="n"/>
      <c r="P4" s="5" t="n"/>
      <c r="Q4" s="4" t="n">
        <v>1</v>
      </c>
      <c r="R4" s="7" t="n">
        <v>1294.23</v>
      </c>
      <c r="S4" s="7" t="n">
        <v>0</v>
      </c>
      <c r="T4" s="7" t="n">
        <v>0</v>
      </c>
      <c r="U4" s="5" t="inlineStr">
        <is>
          <t>04/01/2026</t>
        </is>
      </c>
      <c r="V4" s="7" t="n">
        <v>1294.23</v>
      </c>
      <c r="W4" s="4" t="n">
        <v>151</v>
      </c>
      <c r="X4" s="5" t="inlineStr">
        <is>
          <t>I8312</t>
        </is>
      </c>
      <c r="Y4" s="5" t="inlineStr">
        <is>
          <t>I872</t>
        </is>
      </c>
      <c r="Z4" s="5" t="inlineStr">
        <is>
          <t>M1712</t>
        </is>
      </c>
      <c r="AA4" s="5" t="n"/>
      <c r="AB4" s="4" t="n"/>
      <c r="AC4" s="5" t="inlineStr">
        <is>
          <t>LEATHEM, JARRETT</t>
        </is>
      </c>
      <c r="AD4" s="5" t="inlineStr">
        <is>
          <t>ASAP - Gilbert</t>
        </is>
      </c>
      <c r="AE4" s="5" t="inlineStr">
        <is>
          <t>03/25/2026</t>
        </is>
      </c>
      <c r="AF4" s="5" t="inlineStr">
        <is>
          <t>US</t>
        </is>
      </c>
      <c r="AG4" s="8" t="n"/>
      <c r="AH4" s="4" t="n">
        <v>460</v>
      </c>
    </row>
    <row r="5">
      <c r="A5" s="2" t="n"/>
      <c r="B5" s="3" t="n"/>
      <c r="C5" s="4" t="n">
        <v>555443022</v>
      </c>
      <c r="D5" s="5" t="inlineStr">
        <is>
          <t>HF553586044</t>
        </is>
      </c>
      <c r="E5" s="5" t="inlineStr">
        <is>
          <t>03/31/2026</t>
        </is>
      </c>
      <c r="F5" s="5" t="inlineStr">
        <is>
          <t>Medicare Part B Arizona *</t>
        </is>
      </c>
      <c r="G5" s="5" t="inlineStr">
        <is>
          <t>Medicare Part B Arizona *</t>
        </is>
      </c>
      <c r="H5" s="5" t="inlineStr">
        <is>
          <t>United Healthcare</t>
        </is>
      </c>
      <c r="I5" s="5" t="inlineStr">
        <is>
          <t>93970</t>
        </is>
      </c>
      <c r="J5" s="4">
        <f>IF($K5="","",$K5-TODAY())</f>
        <v/>
      </c>
      <c r="K5" s="6" t="n">
        <v>46477</v>
      </c>
      <c r="L5" s="5" t="inlineStr">
        <is>
          <t>365 days</t>
        </is>
      </c>
      <c r="M5" s="5" t="inlineStr">
        <is>
          <t>MEDICARE</t>
        </is>
      </c>
      <c r="N5" s="5" t="n"/>
      <c r="O5" s="5" t="n"/>
      <c r="P5" s="5" t="n"/>
      <c r="Q5" s="4" t="n">
        <v>1</v>
      </c>
      <c r="R5" s="7" t="n">
        <v>1294.23</v>
      </c>
      <c r="S5" s="7" t="n">
        <v>0</v>
      </c>
      <c r="T5" s="7" t="n">
        <v>0</v>
      </c>
      <c r="U5" s="5" t="n"/>
      <c r="V5" s="7" t="n">
        <v>1294.23</v>
      </c>
      <c r="W5" s="4" t="n">
        <v>130</v>
      </c>
      <c r="X5" s="5" t="inlineStr">
        <is>
          <t>I4891</t>
        </is>
      </c>
      <c r="Y5" s="5" t="inlineStr">
        <is>
          <t>I83893</t>
        </is>
      </c>
      <c r="Z5" s="5" t="inlineStr">
        <is>
          <t>I872</t>
        </is>
      </c>
      <c r="AA5" s="5" t="n"/>
      <c r="AB5" s="4" t="n"/>
      <c r="AC5" s="5" t="inlineStr">
        <is>
          <t>LEATHEM, JARRETT</t>
        </is>
      </c>
      <c r="AD5" s="5" t="inlineStr">
        <is>
          <t>ASAP - Gilbert</t>
        </is>
      </c>
      <c r="AE5" s="5" t="inlineStr">
        <is>
          <t>04/09/2026</t>
        </is>
      </c>
      <c r="AF5" s="5" t="inlineStr">
        <is>
          <t>US</t>
        </is>
      </c>
      <c r="AG5" s="8" t="n"/>
      <c r="AH5" s="4" t="n">
        <v>116</v>
      </c>
    </row>
    <row r="6">
      <c r="A6" s="2" t="n"/>
      <c r="B6" s="3" t="n"/>
      <c r="C6" s="4" t="n">
        <v>555443022</v>
      </c>
      <c r="D6" s="5" t="inlineStr">
        <is>
          <t>HF553586044</t>
        </is>
      </c>
      <c r="E6" s="5" t="inlineStr">
        <is>
          <t>03/31/2026</t>
        </is>
      </c>
      <c r="F6" s="5" t="inlineStr">
        <is>
          <t>Medicare Part B Arizona *</t>
        </is>
      </c>
      <c r="G6" s="5" t="inlineStr">
        <is>
          <t>Medicare Part B Arizona *</t>
        </is>
      </c>
      <c r="H6" s="5" t="inlineStr">
        <is>
          <t>United Healthcare</t>
        </is>
      </c>
      <c r="I6" s="5" t="inlineStr">
        <is>
          <t>93923</t>
        </is>
      </c>
      <c r="J6" s="4">
        <f>IF($K6="","",$K6-TODAY())</f>
        <v/>
      </c>
      <c r="K6" s="6" t="n">
        <v>46477</v>
      </c>
      <c r="L6" s="5" t="inlineStr">
        <is>
          <t>365 days</t>
        </is>
      </c>
      <c r="M6" s="5" t="inlineStr">
        <is>
          <t>MEDICARE</t>
        </is>
      </c>
      <c r="N6" s="5" t="n"/>
      <c r="O6" s="5" t="n"/>
      <c r="P6" s="5" t="n"/>
      <c r="Q6" s="4" t="n">
        <v>1</v>
      </c>
      <c r="R6" s="7" t="n">
        <v>879.0599999999999</v>
      </c>
      <c r="S6" s="7" t="n">
        <v>0</v>
      </c>
      <c r="T6" s="7" t="n">
        <v>0</v>
      </c>
      <c r="U6" s="5" t="inlineStr">
        <is>
          <t>04/14/2026</t>
        </is>
      </c>
      <c r="V6" s="7" t="n">
        <v>879.0599999999999</v>
      </c>
      <c r="W6" s="4" t="n">
        <v>130</v>
      </c>
      <c r="X6" s="5" t="inlineStr">
        <is>
          <t>I4891</t>
        </is>
      </c>
      <c r="Y6" s="5" t="inlineStr">
        <is>
          <t>I83893</t>
        </is>
      </c>
      <c r="Z6" s="5" t="inlineStr">
        <is>
          <t>I872</t>
        </is>
      </c>
      <c r="AA6" s="5" t="n"/>
      <c r="AB6" s="4" t="n"/>
      <c r="AC6" s="5" t="inlineStr">
        <is>
          <t>LEATHEM, JARRETT</t>
        </is>
      </c>
      <c r="AD6" s="5" t="inlineStr">
        <is>
          <t>ASAP - Gilbert</t>
        </is>
      </c>
      <c r="AE6" s="5" t="inlineStr">
        <is>
          <t>04/09/2026</t>
        </is>
      </c>
      <c r="AF6" s="5" t="inlineStr">
        <is>
          <t>US</t>
        </is>
      </c>
      <c r="AG6" s="8" t="n"/>
      <c r="AH6" s="4" t="n">
        <v>117</v>
      </c>
    </row>
    <row r="7">
      <c r="A7" s="2" t="n"/>
      <c r="B7" s="3" t="n"/>
      <c r="C7" s="4" t="n">
        <v>553770568</v>
      </c>
      <c r="D7" s="5" t="inlineStr">
        <is>
          <t>HF508997880</t>
        </is>
      </c>
      <c r="E7" s="5" t="inlineStr">
        <is>
          <t>03/03/2026</t>
        </is>
      </c>
      <c r="F7" s="5" t="inlineStr">
        <is>
          <t>Banner Health Physician Hospital Organization Plan Administration</t>
        </is>
      </c>
      <c r="G7" s="5" t="inlineStr">
        <is>
          <t>Banner Health Physician Hospital Organization Plan Administration</t>
        </is>
      </c>
      <c r="H7" s="5" t="inlineStr">
        <is>
          <t>No Payer</t>
        </is>
      </c>
      <c r="I7" s="5" t="inlineStr">
        <is>
          <t>93970</t>
        </is>
      </c>
      <c r="J7" s="4">
        <f>IF($K7="","",$K7-TODAY())</f>
        <v/>
      </c>
      <c r="K7" s="6" t="n">
        <v>46144</v>
      </c>
      <c r="L7" s="5" t="inlineStr">
        <is>
          <t>60 days</t>
        </is>
      </c>
      <c r="M7" s="5" t="inlineStr">
        <is>
          <t>BANNER HEALTH NETWORK (BHN)</t>
        </is>
      </c>
      <c r="N7" s="5" t="n"/>
      <c r="O7" s="5" t="n"/>
      <c r="P7" s="5" t="n"/>
      <c r="Q7" s="4" t="n">
        <v>1</v>
      </c>
      <c r="R7" s="7" t="n">
        <v>1294.23</v>
      </c>
      <c r="S7" s="7" t="n">
        <v>0</v>
      </c>
      <c r="T7" s="7" t="n">
        <v>0</v>
      </c>
      <c r="U7" s="5" t="inlineStr">
        <is>
          <t>05/14/2026</t>
        </is>
      </c>
      <c r="V7" s="7" t="n">
        <v>1294.23</v>
      </c>
      <c r="W7" s="4" t="n">
        <v>158</v>
      </c>
      <c r="X7" s="5" t="inlineStr">
        <is>
          <t>M5416</t>
        </is>
      </c>
      <c r="Y7" s="5" t="inlineStr">
        <is>
          <t>E785</t>
        </is>
      </c>
      <c r="Z7" s="5" t="inlineStr">
        <is>
          <t>I10</t>
        </is>
      </c>
      <c r="AA7" s="5" t="inlineStr">
        <is>
          <t>I739</t>
        </is>
      </c>
      <c r="AB7" s="4" t="n"/>
      <c r="AC7" s="5" t="inlineStr">
        <is>
          <t>LEATHEM, JARRETT</t>
        </is>
      </c>
      <c r="AD7" s="5" t="inlineStr">
        <is>
          <t>ASAP - Gilbert</t>
        </is>
      </c>
      <c r="AE7" s="5" t="inlineStr">
        <is>
          <t>03/25/2026</t>
        </is>
      </c>
      <c r="AF7" s="5" t="inlineStr">
        <is>
          <t>US</t>
        </is>
      </c>
      <c r="AG7" s="8" t="n"/>
      <c r="AH7" s="4" t="n">
        <v>613</v>
      </c>
    </row>
    <row r="8">
      <c r="A8" s="2" t="n"/>
      <c r="B8" s="3" t="n"/>
      <c r="C8" s="4" t="n">
        <v>553766486</v>
      </c>
      <c r="D8" s="5" t="inlineStr">
        <is>
          <t>HF539049375</t>
        </is>
      </c>
      <c r="E8" s="5" t="inlineStr">
        <is>
          <t>03/03/2026</t>
        </is>
      </c>
      <c r="F8" s="5" t="inlineStr">
        <is>
          <t>CIGNA HealthSprings</t>
        </is>
      </c>
      <c r="G8" s="5" t="inlineStr">
        <is>
          <t>CIGNA HealthSprings</t>
        </is>
      </c>
      <c r="H8" s="5" t="inlineStr">
        <is>
          <t>No Payer</t>
        </is>
      </c>
      <c r="I8" s="5" t="inlineStr">
        <is>
          <t>93970</t>
        </is>
      </c>
      <c r="J8" s="4">
        <f>IF($K8="","",$K8-TODAY())</f>
        <v/>
      </c>
      <c r="K8" s="6" t="n">
        <v>46174</v>
      </c>
      <c r="L8" s="5" t="inlineStr">
        <is>
          <t>90 days</t>
        </is>
      </c>
      <c r="M8" s="5" t="inlineStr">
        <is>
          <t>CIGNA / CIGNA MEDICARE</t>
        </is>
      </c>
      <c r="N8" s="5" t="n"/>
      <c r="O8" s="5" t="n"/>
      <c r="P8" s="5" t="n"/>
      <c r="Q8" s="4" t="n">
        <v>1</v>
      </c>
      <c r="R8" s="7" t="n">
        <v>1294.23</v>
      </c>
      <c r="S8" s="7" t="n">
        <v>0</v>
      </c>
      <c r="T8" s="7" t="n">
        <v>0</v>
      </c>
      <c r="U8" s="5" t="inlineStr">
        <is>
          <t>04/01/2026</t>
        </is>
      </c>
      <c r="V8" s="7" t="n">
        <v>1294.23</v>
      </c>
      <c r="W8" s="4" t="n">
        <v>158</v>
      </c>
      <c r="X8" s="5" t="inlineStr">
        <is>
          <t>M5416</t>
        </is>
      </c>
      <c r="Y8" s="5" t="inlineStr">
        <is>
          <t>R600</t>
        </is>
      </c>
      <c r="Z8" s="5" t="inlineStr">
        <is>
          <t>E139</t>
        </is>
      </c>
      <c r="AA8" s="5" t="inlineStr">
        <is>
          <t>I10</t>
        </is>
      </c>
      <c r="AB8" s="4" t="n"/>
      <c r="AC8" s="5" t="inlineStr">
        <is>
          <t>LEATHEM, JARRETT</t>
        </is>
      </c>
      <c r="AD8" s="5" t="inlineStr">
        <is>
          <t>ASAP - Gilbert</t>
        </is>
      </c>
      <c r="AE8" s="5" t="inlineStr">
        <is>
          <t>03/25/2026</t>
        </is>
      </c>
      <c r="AF8" s="5" t="inlineStr">
        <is>
          <t>US</t>
        </is>
      </c>
      <c r="AG8" s="8" t="n"/>
      <c r="AH8" s="4" t="n">
        <v>658</v>
      </c>
    </row>
    <row r="9">
      <c r="A9" s="2" t="n"/>
      <c r="B9" s="3" t="n"/>
      <c r="C9" s="4" t="n">
        <v>553766486</v>
      </c>
      <c r="D9" s="5" t="inlineStr">
        <is>
          <t>HF539049375</t>
        </is>
      </c>
      <c r="E9" s="5" t="inlineStr">
        <is>
          <t>03/03/2026</t>
        </is>
      </c>
      <c r="F9" s="5" t="inlineStr">
        <is>
          <t>CIGNA HealthSprings</t>
        </is>
      </c>
      <c r="G9" s="5" t="inlineStr">
        <is>
          <t>CIGNA HealthSprings</t>
        </is>
      </c>
      <c r="H9" s="5" t="inlineStr">
        <is>
          <t>No Payer</t>
        </is>
      </c>
      <c r="I9" s="5" t="inlineStr">
        <is>
          <t>93923</t>
        </is>
      </c>
      <c r="J9" s="4">
        <f>IF($K9="","",$K9-TODAY())</f>
        <v/>
      </c>
      <c r="K9" s="6" t="n">
        <v>46174</v>
      </c>
      <c r="L9" s="5" t="inlineStr">
        <is>
          <t>90 days</t>
        </is>
      </c>
      <c r="M9" s="5" t="inlineStr">
        <is>
          <t>CIGNA / CIGNA MEDICARE</t>
        </is>
      </c>
      <c r="N9" s="5" t="n"/>
      <c r="O9" s="5" t="n"/>
      <c r="P9" s="5" t="n"/>
      <c r="Q9" s="4" t="n">
        <v>1</v>
      </c>
      <c r="R9" s="7" t="n">
        <v>879.0599999999999</v>
      </c>
      <c r="S9" s="7" t="n">
        <v>0</v>
      </c>
      <c r="T9" s="7" t="n">
        <v>0</v>
      </c>
      <c r="U9" s="5" t="inlineStr">
        <is>
          <t>04/01/2026</t>
        </is>
      </c>
      <c r="V9" s="7" t="n">
        <v>879.0599999999999</v>
      </c>
      <c r="W9" s="4" t="n">
        <v>158</v>
      </c>
      <c r="X9" s="5" t="inlineStr">
        <is>
          <t>M5416</t>
        </is>
      </c>
      <c r="Y9" s="5" t="inlineStr">
        <is>
          <t>R600</t>
        </is>
      </c>
      <c r="Z9" s="5" t="inlineStr">
        <is>
          <t>E139</t>
        </is>
      </c>
      <c r="AA9" s="5" t="inlineStr">
        <is>
          <t>I10</t>
        </is>
      </c>
      <c r="AB9" s="4" t="n"/>
      <c r="AC9" s="5" t="inlineStr">
        <is>
          <t>LEATHEM, JARRETT</t>
        </is>
      </c>
      <c r="AD9" s="5" t="inlineStr">
        <is>
          <t>ASAP - Gilbert</t>
        </is>
      </c>
      <c r="AE9" s="5" t="inlineStr">
        <is>
          <t>03/25/2026</t>
        </is>
      </c>
      <c r="AF9" s="5" t="inlineStr">
        <is>
          <t>US</t>
        </is>
      </c>
      <c r="AG9" s="8" t="n"/>
      <c r="AH9" s="4" t="n">
        <v>659</v>
      </c>
    </row>
    <row r="10">
      <c r="A10" s="2" t="n"/>
      <c r="B10" s="3" t="n"/>
      <c r="C10" s="4" t="n">
        <v>555085468</v>
      </c>
      <c r="D10" s="5" t="inlineStr">
        <is>
          <t>HF470511781</t>
        </is>
      </c>
      <c r="E10" s="5" t="inlineStr">
        <is>
          <t>03/17/2026</t>
        </is>
      </c>
      <c r="F10" s="5" t="inlineStr">
        <is>
          <t>Blue Cross Blue Shield of Arizona (BCBS AZ)</t>
        </is>
      </c>
      <c r="G10" s="5" t="inlineStr">
        <is>
          <t>Blue Cross Blue Shield of Arizona (BCBS AZ)</t>
        </is>
      </c>
      <c r="H10" s="5" t="inlineStr">
        <is>
          <t>United Healthcare</t>
        </is>
      </c>
      <c r="I10" s="5" t="inlineStr">
        <is>
          <t>93970</t>
        </is>
      </c>
      <c r="J10" s="4">
        <f>IF($K10="","",$K10-TODAY())</f>
        <v/>
      </c>
      <c r="K10" s="6" t="n">
        <v>46188</v>
      </c>
      <c r="L10" s="5" t="inlineStr">
        <is>
          <t>90 days</t>
        </is>
      </c>
      <c r="M10" s="5" t="inlineStr">
        <is>
          <t>BCBS</t>
        </is>
      </c>
      <c r="N10" s="5" t="n"/>
      <c r="O10" s="5" t="n"/>
      <c r="P10" s="5" t="n"/>
      <c r="Q10" s="4" t="n">
        <v>1</v>
      </c>
      <c r="R10" s="7" t="n">
        <v>1294.23</v>
      </c>
      <c r="S10" s="7" t="n">
        <v>0</v>
      </c>
      <c r="T10" s="7" t="n">
        <v>0</v>
      </c>
      <c r="U10" s="5" t="inlineStr">
        <is>
          <t>04/23/2026</t>
        </is>
      </c>
      <c r="V10" s="7" t="n">
        <v>1294.23</v>
      </c>
      <c r="W10" s="4" t="n">
        <v>144</v>
      </c>
      <c r="X10" s="5" t="inlineStr">
        <is>
          <t>M5412</t>
        </is>
      </c>
      <c r="Y10" s="5" t="inlineStr">
        <is>
          <t>R609</t>
        </is>
      </c>
      <c r="Z10" s="5" t="n"/>
      <c r="AA10" s="5" t="n"/>
      <c r="AB10" s="4" t="n"/>
      <c r="AC10" s="5" t="inlineStr">
        <is>
          <t>LEATHEM, JARRETT</t>
        </is>
      </c>
      <c r="AD10" s="5" t="inlineStr">
        <is>
          <t>ASAP - Gilbert</t>
        </is>
      </c>
      <c r="AE10" s="5" t="inlineStr">
        <is>
          <t>04/07/2026</t>
        </is>
      </c>
      <c r="AF10" s="5" t="inlineStr">
        <is>
          <t>US</t>
        </is>
      </c>
      <c r="AG10" s="8" t="inlineStr">
        <is>
          <t>BCBS AZ dropped from 365 to 90 days on 01/01/2026. All dates of service here are 2026, so 90 days applies.</t>
        </is>
      </c>
      <c r="AH10" s="4" t="n">
        <v>649</v>
      </c>
    </row>
    <row r="11">
      <c r="A11" s="2" t="n"/>
      <c r="B11" s="3" t="n"/>
      <c r="C11" s="4" t="n">
        <v>553063753</v>
      </c>
      <c r="D11" s="5" t="inlineStr">
        <is>
          <t>HF419953579</t>
        </is>
      </c>
      <c r="E11" s="5" t="inlineStr">
        <is>
          <t>03/18/2026</t>
        </is>
      </c>
      <c r="F11" s="5" t="inlineStr">
        <is>
          <t>Humana Gold Plus HMO</t>
        </is>
      </c>
      <c r="G11" s="5" t="inlineStr">
        <is>
          <t>Humana Gold Plus HMO</t>
        </is>
      </c>
      <c r="H11" s="5" t="inlineStr">
        <is>
          <t>No Payer</t>
        </is>
      </c>
      <c r="I11" s="5" t="inlineStr">
        <is>
          <t>93970</t>
        </is>
      </c>
      <c r="J11" s="4">
        <f>IF($K11="","",$K11-TODAY())</f>
        <v/>
      </c>
      <c r="K11" s="6" t="n">
        <v>46189</v>
      </c>
      <c r="L11" s="5" t="inlineStr">
        <is>
          <t>90 days</t>
        </is>
      </c>
      <c r="M11" s="5" t="inlineStr">
        <is>
          <t>HUMANA MA</t>
        </is>
      </c>
      <c r="N11" s="5" t="n"/>
      <c r="O11" s="5" t="n"/>
      <c r="P11" s="5" t="n"/>
      <c r="Q11" s="4" t="n">
        <v>1</v>
      </c>
      <c r="R11" s="7" t="n">
        <v>1294.23</v>
      </c>
      <c r="S11" s="7" t="n">
        <v>0</v>
      </c>
      <c r="T11" s="7" t="n">
        <v>0</v>
      </c>
      <c r="U11" s="5" t="inlineStr">
        <is>
          <t>07/17/2026</t>
        </is>
      </c>
      <c r="V11" s="7" t="n">
        <v>1294.23</v>
      </c>
      <c r="W11" s="4" t="n">
        <v>143</v>
      </c>
      <c r="X11" s="5" t="inlineStr">
        <is>
          <t>M47816</t>
        </is>
      </c>
      <c r="Y11" s="5" t="inlineStr">
        <is>
          <t>M47817</t>
        </is>
      </c>
      <c r="Z11" s="5" t="inlineStr">
        <is>
          <t>Z79891</t>
        </is>
      </c>
      <c r="AA11" s="5" t="inlineStr">
        <is>
          <t>I872</t>
        </is>
      </c>
      <c r="AB11" s="4" t="n"/>
      <c r="AC11" s="5" t="inlineStr">
        <is>
          <t>ADLER, STEVEN</t>
        </is>
      </c>
      <c r="AD11" s="5" t="inlineStr">
        <is>
          <t>ASAP - DEER VALLEY</t>
        </is>
      </c>
      <c r="AE11" s="5" t="inlineStr">
        <is>
          <t>04/13/2026</t>
        </is>
      </c>
      <c r="AF11" s="5" t="inlineStr">
        <is>
          <t>US</t>
        </is>
      </c>
      <c r="AG11" s="8" t="inlineStr">
        <is>
          <t>Shorter of the two Humana limits (90 days ancillary vs 180 days physician). Confirm the rendering provider's category - if they bill as a physician the real deadline is 90 days later.</t>
        </is>
      </c>
      <c r="AH11" s="4" t="n">
        <v>387</v>
      </c>
    </row>
    <row r="12">
      <c r="A12" s="2" t="n"/>
      <c r="B12" s="3" t="n"/>
      <c r="C12" s="4" t="n">
        <v>553063753</v>
      </c>
      <c r="D12" s="5" t="inlineStr">
        <is>
          <t>HF419953579</t>
        </is>
      </c>
      <c r="E12" s="5" t="inlineStr">
        <is>
          <t>03/18/2026</t>
        </is>
      </c>
      <c r="F12" s="5" t="inlineStr">
        <is>
          <t>Humana Gold Plus HMO</t>
        </is>
      </c>
      <c r="G12" s="5" t="inlineStr">
        <is>
          <t>Humana Gold Plus HMO</t>
        </is>
      </c>
      <c r="H12" s="5" t="inlineStr">
        <is>
          <t>No Payer</t>
        </is>
      </c>
      <c r="I12" s="5" t="inlineStr">
        <is>
          <t>93923</t>
        </is>
      </c>
      <c r="J12" s="4">
        <f>IF($K12="","",$K12-TODAY())</f>
        <v/>
      </c>
      <c r="K12" s="6" t="n">
        <v>46189</v>
      </c>
      <c r="L12" s="5" t="inlineStr">
        <is>
          <t>90 days</t>
        </is>
      </c>
      <c r="M12" s="5" t="inlineStr">
        <is>
          <t>HUMANA MA</t>
        </is>
      </c>
      <c r="N12" s="5" t="n"/>
      <c r="O12" s="5" t="n"/>
      <c r="P12" s="5" t="n"/>
      <c r="Q12" s="4" t="n">
        <v>1</v>
      </c>
      <c r="R12" s="7" t="n">
        <v>879.0599999999999</v>
      </c>
      <c r="S12" s="7" t="n">
        <v>0</v>
      </c>
      <c r="T12" s="7" t="n">
        <v>0</v>
      </c>
      <c r="U12" s="5" t="inlineStr">
        <is>
          <t>07/17/2026</t>
        </is>
      </c>
      <c r="V12" s="7" t="n">
        <v>879.0599999999999</v>
      </c>
      <c r="W12" s="4" t="n">
        <v>143</v>
      </c>
      <c r="X12" s="5" t="inlineStr">
        <is>
          <t>M47816</t>
        </is>
      </c>
      <c r="Y12" s="5" t="inlineStr">
        <is>
          <t>M47817</t>
        </is>
      </c>
      <c r="Z12" s="5" t="inlineStr">
        <is>
          <t>Z79891</t>
        </is>
      </c>
      <c r="AA12" s="5" t="inlineStr">
        <is>
          <t>I872</t>
        </is>
      </c>
      <c r="AB12" s="4" t="n"/>
      <c r="AC12" s="5" t="inlineStr">
        <is>
          <t>ADLER, STEVEN</t>
        </is>
      </c>
      <c r="AD12" s="5" t="inlineStr">
        <is>
          <t>ASAP - DEER VALLEY</t>
        </is>
      </c>
      <c r="AE12" s="5" t="inlineStr">
        <is>
          <t>04/13/2026</t>
        </is>
      </c>
      <c r="AF12" s="5" t="inlineStr">
        <is>
          <t>US</t>
        </is>
      </c>
      <c r="AG12" s="8" t="inlineStr">
        <is>
          <t>Shorter of the two Humana limits (90 days ancillary vs 180 days physician). Confirm the rendering provider's category - if they bill as a physician the real deadline is 90 days later.</t>
        </is>
      </c>
      <c r="AH12" s="4" t="n">
        <v>388</v>
      </c>
    </row>
    <row r="13">
      <c r="A13" s="2" t="n"/>
      <c r="B13" s="3" t="n"/>
      <c r="C13" s="4" t="n">
        <v>553063753</v>
      </c>
      <c r="D13" s="5" t="inlineStr">
        <is>
          <t>HF419953579</t>
        </is>
      </c>
      <c r="E13" s="5" t="inlineStr">
        <is>
          <t>03/18/2026</t>
        </is>
      </c>
      <c r="F13" s="5" t="inlineStr">
        <is>
          <t>Humana Gold Plus HMO</t>
        </is>
      </c>
      <c r="G13" s="5" t="inlineStr">
        <is>
          <t>Humana Gold Plus HMO</t>
        </is>
      </c>
      <c r="H13" s="5" t="inlineStr">
        <is>
          <t>No Payer</t>
        </is>
      </c>
      <c r="I13" s="5" t="inlineStr">
        <is>
          <t>93925</t>
        </is>
      </c>
      <c r="J13" s="4">
        <f>IF($K13="","",$K13-TODAY())</f>
        <v/>
      </c>
      <c r="K13" s="6" t="n">
        <v>46189</v>
      </c>
      <c r="L13" s="5" t="inlineStr">
        <is>
          <t>90 days</t>
        </is>
      </c>
      <c r="M13" s="5" t="inlineStr">
        <is>
          <t>HUMANA MA</t>
        </is>
      </c>
      <c r="N13" s="5" t="n"/>
      <c r="O13" s="5" t="n"/>
      <c r="P13" s="5" t="n"/>
      <c r="Q13" s="4" t="n">
        <v>1</v>
      </c>
      <c r="R13" s="7" t="n">
        <v>1649.2</v>
      </c>
      <c r="S13" s="7" t="n">
        <v>0</v>
      </c>
      <c r="T13" s="7" t="n">
        <v>0</v>
      </c>
      <c r="U13" s="5" t="inlineStr">
        <is>
          <t>07/17/2026</t>
        </is>
      </c>
      <c r="V13" s="7" t="n">
        <v>1649.2</v>
      </c>
      <c r="W13" s="4" t="n">
        <v>143</v>
      </c>
      <c r="X13" s="5" t="inlineStr">
        <is>
          <t>M47816</t>
        </is>
      </c>
      <c r="Y13" s="5" t="inlineStr">
        <is>
          <t>M47817</t>
        </is>
      </c>
      <c r="Z13" s="5" t="inlineStr">
        <is>
          <t>Z79891</t>
        </is>
      </c>
      <c r="AA13" s="5" t="inlineStr">
        <is>
          <t>I872</t>
        </is>
      </c>
      <c r="AB13" s="4" t="n"/>
      <c r="AC13" s="5" t="inlineStr">
        <is>
          <t>ADLER, STEVEN</t>
        </is>
      </c>
      <c r="AD13" s="5" t="inlineStr">
        <is>
          <t>ASAP - DEER VALLEY</t>
        </is>
      </c>
      <c r="AE13" s="5" t="inlineStr">
        <is>
          <t>04/13/2026</t>
        </is>
      </c>
      <c r="AF13" s="5" t="inlineStr">
        <is>
          <t>US</t>
        </is>
      </c>
      <c r="AG13" s="8" t="inlineStr">
        <is>
          <t>Shorter of the two Humana limits (90 days ancillary vs 180 days physician). Confirm the rendering provider's category - if they bill as a physician the real deadline is 90 days later.</t>
        </is>
      </c>
      <c r="AH13" s="4" t="n">
        <v>389</v>
      </c>
    </row>
    <row r="14">
      <c r="A14" s="2" t="inlineStr">
        <is>
          <t>Finalized</t>
        </is>
      </c>
      <c r="B14" s="3" t="n"/>
      <c r="C14" s="4" t="n">
        <v>553857983</v>
      </c>
      <c r="D14" s="5" t="inlineStr">
        <is>
          <t>HF546700195</t>
        </is>
      </c>
      <c r="E14" s="5" t="inlineStr">
        <is>
          <t>03/18/2026</t>
        </is>
      </c>
      <c r="F14" s="5" t="inlineStr">
        <is>
          <t>Tricare West</t>
        </is>
      </c>
      <c r="G14" s="5" t="inlineStr">
        <is>
          <t>CIGNA HealthSprings</t>
        </is>
      </c>
      <c r="H14" s="5" t="inlineStr">
        <is>
          <t>Tricare West</t>
        </is>
      </c>
      <c r="I14" s="5" t="inlineStr">
        <is>
          <t>93925</t>
        </is>
      </c>
      <c r="J14" s="4">
        <f>IF($K14="","",$K14-TODAY())</f>
        <v/>
      </c>
      <c r="K14" s="6" t="n">
        <v>46189</v>
      </c>
      <c r="L14" s="5" t="inlineStr">
        <is>
          <t>90 days</t>
        </is>
      </c>
      <c r="M14" s="5" t="inlineStr">
        <is>
          <t>CIGNA / CIGNA MEDICARE</t>
        </is>
      </c>
      <c r="N14" s="5" t="n"/>
      <c r="O14" s="5" t="n"/>
      <c r="P14" s="5" t="n"/>
      <c r="Q14" s="4" t="n">
        <v>1</v>
      </c>
      <c r="R14" s="7" t="n">
        <v>1649.2</v>
      </c>
      <c r="S14" s="7" t="n">
        <v>1420.82</v>
      </c>
      <c r="T14" s="7" t="n">
        <v>160.93</v>
      </c>
      <c r="U14" s="5" t="inlineStr">
        <is>
          <t>04/02/2026</t>
        </is>
      </c>
      <c r="V14" s="7" t="n">
        <v>67.45</v>
      </c>
      <c r="W14" s="4" t="n">
        <v>143</v>
      </c>
      <c r="X14" s="5" t="inlineStr">
        <is>
          <t>I70213</t>
        </is>
      </c>
      <c r="Y14" s="5" t="n"/>
      <c r="Z14" s="5" t="n"/>
      <c r="AA14" s="5" t="n"/>
      <c r="AB14" s="4" t="n">
        <v>555928717</v>
      </c>
      <c r="AC14" s="5" t="inlineStr">
        <is>
          <t>BURGHER, ABRAM</t>
        </is>
      </c>
      <c r="AD14" s="5" t="inlineStr">
        <is>
          <t>ASAP - Surprise - Reems</t>
        </is>
      </c>
      <c r="AE14" s="5" t="inlineStr">
        <is>
          <t>03/25/2026</t>
        </is>
      </c>
      <c r="AF14" s="5" t="inlineStr">
        <is>
          <t>US</t>
        </is>
      </c>
      <c r="AG14" s="8" t="n"/>
      <c r="AH14" s="4" t="n">
        <v>270</v>
      </c>
    </row>
    <row r="15">
      <c r="A15" s="2" t="n"/>
      <c r="B15" s="3" t="n"/>
      <c r="C15" s="4" t="n">
        <v>555431454</v>
      </c>
      <c r="D15" s="5" t="inlineStr">
        <is>
          <t>HF537299610</t>
        </is>
      </c>
      <c r="E15" s="5" t="inlineStr">
        <is>
          <t>03/24/2026</t>
        </is>
      </c>
      <c r="F15" s="5" t="inlineStr">
        <is>
          <t>CIGNA HealthSprings</t>
        </is>
      </c>
      <c r="G15" s="5" t="inlineStr">
        <is>
          <t>CIGNA HealthSprings</t>
        </is>
      </c>
      <c r="H15" s="5" t="inlineStr">
        <is>
          <t>No Payer</t>
        </is>
      </c>
      <c r="I15" s="5" t="inlineStr">
        <is>
          <t>93970</t>
        </is>
      </c>
      <c r="J15" s="4">
        <f>IF($K15="","",$K15-TODAY())</f>
        <v/>
      </c>
      <c r="K15" s="6" t="n">
        <v>46195</v>
      </c>
      <c r="L15" s="5" t="inlineStr">
        <is>
          <t>90 days</t>
        </is>
      </c>
      <c r="M15" s="5" t="inlineStr">
        <is>
          <t>CIGNA / CIGNA MEDICARE</t>
        </is>
      </c>
      <c r="N15" s="5" t="n"/>
      <c r="O15" s="5" t="n"/>
      <c r="P15" s="5" t="n"/>
      <c r="Q15" s="4" t="n">
        <v>1</v>
      </c>
      <c r="R15" s="7" t="n">
        <v>1294.23</v>
      </c>
      <c r="S15" s="7" t="n">
        <v>0</v>
      </c>
      <c r="T15" s="7" t="n">
        <v>0</v>
      </c>
      <c r="U15" s="5" t="n"/>
      <c r="V15" s="7" t="n">
        <v>1294.23</v>
      </c>
      <c r="W15" s="4" t="n">
        <v>137</v>
      </c>
      <c r="X15" s="5" t="inlineStr">
        <is>
          <t>M1711</t>
        </is>
      </c>
      <c r="Y15" s="5" t="inlineStr">
        <is>
          <t>I872</t>
        </is>
      </c>
      <c r="Z15" s="5" t="inlineStr">
        <is>
          <t>I83811</t>
        </is>
      </c>
      <c r="AA15" s="5" t="n"/>
      <c r="AB15" s="4" t="n"/>
      <c r="AC15" s="5" t="inlineStr">
        <is>
          <t>LEATHEM, JARRETT</t>
        </is>
      </c>
      <c r="AD15" s="5" t="inlineStr">
        <is>
          <t>ASAP - Gilbert</t>
        </is>
      </c>
      <c r="AE15" s="5" t="inlineStr">
        <is>
          <t>04/09/2026</t>
        </is>
      </c>
      <c r="AF15" s="5" t="inlineStr">
        <is>
          <t>US</t>
        </is>
      </c>
      <c r="AG15" s="8" t="n"/>
      <c r="AH15" s="4" t="n">
        <v>821</v>
      </c>
    </row>
    <row r="16">
      <c r="A16" s="2" t="n"/>
      <c r="B16" s="3" t="n"/>
      <c r="C16" s="4" t="n">
        <v>555432879</v>
      </c>
      <c r="D16" s="5" t="inlineStr">
        <is>
          <t>HF545494297</t>
        </is>
      </c>
      <c r="E16" s="5" t="inlineStr">
        <is>
          <t>03/24/2026</t>
        </is>
      </c>
      <c r="F16" s="5" t="inlineStr">
        <is>
          <t>Optum Care Medical Network of Arizona, Utah, &amp; Washington (LifePrint)</t>
        </is>
      </c>
      <c r="G16" s="5" t="inlineStr">
        <is>
          <t>Optum Care Medical Network of Arizona, Utah, &amp; Washington (LifePrint)</t>
        </is>
      </c>
      <c r="H16" s="5" t="inlineStr">
        <is>
          <t>No Payer</t>
        </is>
      </c>
      <c r="I16" s="5" t="inlineStr">
        <is>
          <t>93970</t>
        </is>
      </c>
      <c r="J16" s="4">
        <f>IF($K16="","",$K16-TODAY())</f>
        <v/>
      </c>
      <c r="K16" s="6" t="n">
        <v>46195</v>
      </c>
      <c r="L16" s="5" t="inlineStr">
        <is>
          <t>90 days</t>
        </is>
      </c>
      <c r="M16" s="5" t="inlineStr">
        <is>
          <t>OPTUM</t>
        </is>
      </c>
      <c r="N16" s="5" t="n"/>
      <c r="O16" s="5" t="n"/>
      <c r="P16" s="5" t="n"/>
      <c r="Q16" s="4" t="n">
        <v>1</v>
      </c>
      <c r="R16" s="7" t="n">
        <v>1294.23</v>
      </c>
      <c r="S16" s="7" t="n">
        <v>0</v>
      </c>
      <c r="T16" s="7" t="n">
        <v>0</v>
      </c>
      <c r="U16" s="5" t="inlineStr">
        <is>
          <t>04/14/2026</t>
        </is>
      </c>
      <c r="V16" s="7" t="n">
        <v>1294.23</v>
      </c>
      <c r="W16" s="4" t="n">
        <v>137</v>
      </c>
      <c r="X16" s="5" t="inlineStr">
        <is>
          <t>M1712</t>
        </is>
      </c>
      <c r="Y16" s="5" t="inlineStr">
        <is>
          <t>G894</t>
        </is>
      </c>
      <c r="Z16" s="5" t="inlineStr">
        <is>
          <t>E785</t>
        </is>
      </c>
      <c r="AA16" s="5" t="n"/>
      <c r="AB16" s="4" t="n"/>
      <c r="AC16" s="5" t="inlineStr">
        <is>
          <t>LEATHEM, JARRETT</t>
        </is>
      </c>
      <c r="AD16" s="5" t="inlineStr">
        <is>
          <t>ASAP - Gilbert</t>
        </is>
      </c>
      <c r="AE16" s="5" t="inlineStr">
        <is>
          <t>04/09/2026</t>
        </is>
      </c>
      <c r="AF16" s="5" t="inlineStr">
        <is>
          <t>US</t>
        </is>
      </c>
      <c r="AG16" s="8" t="n"/>
      <c r="AH16" s="4" t="n">
        <v>629</v>
      </c>
    </row>
    <row r="17">
      <c r="A17" s="2" t="n"/>
      <c r="B17" s="3" t="n"/>
      <c r="C17" s="4" t="n">
        <v>553787632</v>
      </c>
      <c r="D17" s="5" t="inlineStr">
        <is>
          <t>HF442066976</t>
        </is>
      </c>
      <c r="E17" s="5" t="inlineStr">
        <is>
          <t>03/04/2026</t>
        </is>
      </c>
      <c r="F17" s="5" t="inlineStr">
        <is>
          <t>Aetna Medicare PPO</t>
        </is>
      </c>
      <c r="G17" s="5" t="inlineStr">
        <is>
          <t>Aetna Medicare PPO</t>
        </is>
      </c>
      <c r="H17" s="5" t="inlineStr">
        <is>
          <t>No Payer</t>
        </is>
      </c>
      <c r="I17" s="5" t="inlineStr">
        <is>
          <t>93970</t>
        </is>
      </c>
      <c r="J17" s="4">
        <f>IF($K17="","",$K17-TODAY())</f>
        <v/>
      </c>
      <c r="K17" s="6" t="n">
        <v>46205</v>
      </c>
      <c r="L17" s="5" t="inlineStr">
        <is>
          <t>120 days</t>
        </is>
      </c>
      <c r="M17" s="5" t="inlineStr">
        <is>
          <t>AETNA</t>
        </is>
      </c>
      <c r="N17" s="5" t="n"/>
      <c r="O17" s="5" t="n"/>
      <c r="P17" s="5" t="n"/>
      <c r="Q17" s="4" t="n">
        <v>1</v>
      </c>
      <c r="R17" s="7" t="n">
        <v>1294.23</v>
      </c>
      <c r="S17" s="7" t="n">
        <v>0</v>
      </c>
      <c r="T17" s="7" t="n">
        <v>0</v>
      </c>
      <c r="U17" s="5" t="inlineStr">
        <is>
          <t>04/01/2026</t>
        </is>
      </c>
      <c r="V17" s="7" t="n">
        <v>1294.23</v>
      </c>
      <c r="W17" s="4" t="n">
        <v>157</v>
      </c>
      <c r="X17" s="5" t="inlineStr">
        <is>
          <t>I70213</t>
        </is>
      </c>
      <c r="Y17" s="5" t="inlineStr">
        <is>
          <t>I739</t>
        </is>
      </c>
      <c r="Z17" s="5" t="n"/>
      <c r="AA17" s="5" t="n"/>
      <c r="AB17" s="4" t="n"/>
      <c r="AC17" s="5" t="inlineStr">
        <is>
          <t>BURGHER, ABRAM</t>
        </is>
      </c>
      <c r="AD17" s="5" t="inlineStr">
        <is>
          <t>ASAP - Surprise - Reems</t>
        </is>
      </c>
      <c r="AE17" s="5" t="inlineStr">
        <is>
          <t>03/25/2026</t>
        </is>
      </c>
      <c r="AF17" s="5" t="inlineStr">
        <is>
          <t>US</t>
        </is>
      </c>
      <c r="AG17" s="8" t="inlineStr">
        <is>
          <t>120 days is per our contract rather than a published Aetna policy.</t>
        </is>
      </c>
      <c r="AH17" s="4" t="n">
        <v>348</v>
      </c>
    </row>
    <row r="18">
      <c r="A18" s="2" t="n"/>
      <c r="B18" s="3" t="n"/>
      <c r="C18" s="4" t="n">
        <v>553787632</v>
      </c>
      <c r="D18" s="5" t="inlineStr">
        <is>
          <t>HF442066976</t>
        </is>
      </c>
      <c r="E18" s="5" t="inlineStr">
        <is>
          <t>03/04/2026</t>
        </is>
      </c>
      <c r="F18" s="5" t="inlineStr">
        <is>
          <t>Aetna Medicare PPO</t>
        </is>
      </c>
      <c r="G18" s="5" t="inlineStr">
        <is>
          <t>Aetna Medicare PPO</t>
        </is>
      </c>
      <c r="H18" s="5" t="inlineStr">
        <is>
          <t>No Payer</t>
        </is>
      </c>
      <c r="I18" s="5" t="inlineStr">
        <is>
          <t>93925</t>
        </is>
      </c>
      <c r="J18" s="4">
        <f>IF($K18="","",$K18-TODAY())</f>
        <v/>
      </c>
      <c r="K18" s="6" t="n">
        <v>46205</v>
      </c>
      <c r="L18" s="5" t="inlineStr">
        <is>
          <t>120 days</t>
        </is>
      </c>
      <c r="M18" s="5" t="inlineStr">
        <is>
          <t>AETNA</t>
        </is>
      </c>
      <c r="N18" s="5" t="n"/>
      <c r="O18" s="5" t="n"/>
      <c r="P18" s="5" t="n"/>
      <c r="Q18" s="4" t="n">
        <v>1</v>
      </c>
      <c r="R18" s="7" t="n">
        <v>1649.2</v>
      </c>
      <c r="S18" s="7" t="n">
        <v>0</v>
      </c>
      <c r="T18" s="7" t="n">
        <v>0</v>
      </c>
      <c r="U18" s="5" t="inlineStr">
        <is>
          <t>04/01/2026</t>
        </is>
      </c>
      <c r="V18" s="7" t="n">
        <v>1649.2</v>
      </c>
      <c r="W18" s="4" t="n">
        <v>157</v>
      </c>
      <c r="X18" s="5" t="inlineStr">
        <is>
          <t>I70213</t>
        </is>
      </c>
      <c r="Y18" s="5" t="inlineStr">
        <is>
          <t>I739</t>
        </is>
      </c>
      <c r="Z18" s="5" t="n"/>
      <c r="AA18" s="5" t="n"/>
      <c r="AB18" s="4" t="n"/>
      <c r="AC18" s="5" t="inlineStr">
        <is>
          <t>BURGHER, ABRAM</t>
        </is>
      </c>
      <c r="AD18" s="5" t="inlineStr">
        <is>
          <t>ASAP - Surprise - Reems</t>
        </is>
      </c>
      <c r="AE18" s="5" t="inlineStr">
        <is>
          <t>03/25/2026</t>
        </is>
      </c>
      <c r="AF18" s="5" t="inlineStr">
        <is>
          <t>US</t>
        </is>
      </c>
      <c r="AG18" s="8" t="inlineStr">
        <is>
          <t>120 days is per our contract rather than a published Aetna policy.</t>
        </is>
      </c>
      <c r="AH18" s="4" t="n">
        <v>349</v>
      </c>
    </row>
    <row r="19">
      <c r="A19" s="2" t="n"/>
      <c r="B19" s="3" t="n"/>
      <c r="C19" s="4" t="n">
        <v>553810379</v>
      </c>
      <c r="D19" s="5" t="inlineStr">
        <is>
          <t>HF550437353</t>
        </is>
      </c>
      <c r="E19" s="5" t="inlineStr">
        <is>
          <t>03/11/2026</t>
        </is>
      </c>
      <c r="F19" s="5" t="inlineStr">
        <is>
          <t>Banner Health &amp; Aetna Health Insurance Company</t>
        </is>
      </c>
      <c r="G19" s="5" t="inlineStr">
        <is>
          <t>Banner Health &amp; Aetna Health Insurance Company</t>
        </is>
      </c>
      <c r="H19" s="5" t="inlineStr">
        <is>
          <t>No Payer</t>
        </is>
      </c>
      <c r="I19" s="5" t="inlineStr">
        <is>
          <t>93923</t>
        </is>
      </c>
      <c r="J19" s="4">
        <f>IF($K19="","",$K19-TODAY())</f>
        <v/>
      </c>
      <c r="K19" s="6" t="n">
        <v>46212</v>
      </c>
      <c r="L19" s="5" t="inlineStr">
        <is>
          <t>120 days</t>
        </is>
      </c>
      <c r="M19" s="5" t="inlineStr">
        <is>
          <t>BANNER HEALTH &amp; AETNA</t>
        </is>
      </c>
      <c r="N19" s="5" t="n"/>
      <c r="O19" s="5" t="n"/>
      <c r="P19" s="5" t="n"/>
      <c r="Q19" s="4" t="n">
        <v>1</v>
      </c>
      <c r="R19" s="7" t="n">
        <v>879.0599999999999</v>
      </c>
      <c r="S19" s="7" t="n">
        <v>0</v>
      </c>
      <c r="T19" s="7" t="n">
        <v>0</v>
      </c>
      <c r="U19" s="5" t="inlineStr">
        <is>
          <t>04/17/2026</t>
        </is>
      </c>
      <c r="V19" s="7" t="n">
        <v>879.0599999999999</v>
      </c>
      <c r="W19" s="4" t="n">
        <v>150</v>
      </c>
      <c r="X19" s="5" t="inlineStr">
        <is>
          <t>I70213</t>
        </is>
      </c>
      <c r="Y19" s="5" t="inlineStr">
        <is>
          <t>I739</t>
        </is>
      </c>
      <c r="Z19" s="5" t="n"/>
      <c r="AA19" s="5" t="n"/>
      <c r="AB19" s="4" t="n"/>
      <c r="AC19" s="5" t="inlineStr">
        <is>
          <t>BURGHER, ABRAM</t>
        </is>
      </c>
      <c r="AD19" s="5" t="inlineStr">
        <is>
          <t>ASAP - Surprise - Reems</t>
        </is>
      </c>
      <c r="AE19" s="5" t="inlineStr">
        <is>
          <t>03/25/2026</t>
        </is>
      </c>
      <c r="AF19" s="5" t="inlineStr">
        <is>
          <t>US</t>
        </is>
      </c>
      <c r="AG19" s="8" t="n"/>
      <c r="AH19" s="4" t="n">
        <v>708</v>
      </c>
    </row>
    <row r="20">
      <c r="A20" s="2" t="n"/>
      <c r="B20" s="3" t="n"/>
      <c r="C20" s="4" t="n">
        <v>555438747</v>
      </c>
      <c r="D20" s="5" t="inlineStr">
        <is>
          <t>HF518754066</t>
        </is>
      </c>
      <c r="E20" s="5" t="inlineStr">
        <is>
          <t>03/31/2026</t>
        </is>
      </c>
      <c r="F20" s="5" t="inlineStr">
        <is>
          <t>Aetna Medicare PPO</t>
        </is>
      </c>
      <c r="G20" s="5" t="inlineStr">
        <is>
          <t>Aetna Medicare PPO</t>
        </is>
      </c>
      <c r="H20" s="5" t="inlineStr">
        <is>
          <t>No Payer</t>
        </is>
      </c>
      <c r="I20" s="5" t="inlineStr">
        <is>
          <t>93923</t>
        </is>
      </c>
      <c r="J20" s="4">
        <f>IF($K20="","",$K20-TODAY())</f>
        <v/>
      </c>
      <c r="K20" s="6" t="n">
        <v>46232</v>
      </c>
      <c r="L20" s="5" t="inlineStr">
        <is>
          <t>120 days</t>
        </is>
      </c>
      <c r="M20" s="5" t="inlineStr">
        <is>
          <t>AETNA</t>
        </is>
      </c>
      <c r="N20" s="5" t="n"/>
      <c r="O20" s="5" t="n"/>
      <c r="P20" s="5" t="n"/>
      <c r="Q20" s="4" t="n">
        <v>1</v>
      </c>
      <c r="R20" s="7" t="n">
        <v>879.0599999999999</v>
      </c>
      <c r="S20" s="7" t="n">
        <v>0</v>
      </c>
      <c r="T20" s="7" t="n">
        <v>0</v>
      </c>
      <c r="U20" s="5" t="inlineStr">
        <is>
          <t>04/15/2026</t>
        </is>
      </c>
      <c r="V20" s="7" t="n">
        <v>879.0599999999999</v>
      </c>
      <c r="W20" s="4" t="n">
        <v>130</v>
      </c>
      <c r="X20" s="5" t="inlineStr">
        <is>
          <t>I739</t>
        </is>
      </c>
      <c r="Y20" s="5" t="inlineStr">
        <is>
          <t>I872</t>
        </is>
      </c>
      <c r="Z20" s="5" t="n"/>
      <c r="AA20" s="5" t="n"/>
      <c r="AB20" s="4" t="n"/>
      <c r="AC20" s="5" t="inlineStr">
        <is>
          <t>LEATHEM, JARRETT</t>
        </is>
      </c>
      <c r="AD20" s="5" t="inlineStr">
        <is>
          <t>ASAP - Gilbert</t>
        </is>
      </c>
      <c r="AE20" s="5" t="inlineStr">
        <is>
          <t>04/09/2026</t>
        </is>
      </c>
      <c r="AF20" s="5" t="inlineStr">
        <is>
          <t>US</t>
        </is>
      </c>
      <c r="AG20" s="8" t="inlineStr">
        <is>
          <t>120 days is per our contract rather than a published Aetna policy.</t>
        </is>
      </c>
      <c r="AH20" s="4" t="n">
        <v>146</v>
      </c>
    </row>
    <row r="21">
      <c r="A21" s="2" t="n"/>
      <c r="B21" s="3" t="n"/>
      <c r="C21" s="4" t="n">
        <v>566781514</v>
      </c>
      <c r="D21" s="5" t="inlineStr">
        <is>
          <t>HF505830380</t>
        </is>
      </c>
      <c r="E21" s="5" t="inlineStr">
        <is>
          <t>03/17/2026</t>
        </is>
      </c>
      <c r="F21" s="5" t="inlineStr">
        <is>
          <t>AARP MedicareComplete (SecureHorizons &amp; Oxford Network)</t>
        </is>
      </c>
      <c r="G21" s="5" t="inlineStr">
        <is>
          <t>AARP MedicareComplete (SecureHorizons &amp; Oxford Network)</t>
        </is>
      </c>
      <c r="H21" s="5" t="inlineStr">
        <is>
          <t>No Payer</t>
        </is>
      </c>
      <c r="I21" s="5" t="inlineStr">
        <is>
          <t>93970</t>
        </is>
      </c>
      <c r="J21" s="4">
        <f>IF($K21="","",$K21-TODAY())</f>
        <v/>
      </c>
      <c r="K21" s="6" t="n"/>
      <c r="L21" s="5" t="n"/>
      <c r="M21" s="5" t="inlineStr">
        <is>
          <t>AARP MA CHOICE / MEDICARE COMPLETE</t>
        </is>
      </c>
      <c r="N21" s="5" t="n"/>
      <c r="O21" s="5" t="n"/>
      <c r="P21" s="5" t="n"/>
      <c r="Q21" s="4" t="n">
        <v>1</v>
      </c>
      <c r="R21" s="7" t="n">
        <v>1294.23</v>
      </c>
      <c r="S21" s="7" t="n">
        <v>0</v>
      </c>
      <c r="T21" s="7" t="n">
        <v>0</v>
      </c>
      <c r="U21" s="5" t="n"/>
      <c r="V21" s="7" t="n">
        <v>1294.23</v>
      </c>
      <c r="W21" s="4" t="n">
        <v>144</v>
      </c>
      <c r="X21" s="5" t="inlineStr">
        <is>
          <t>M79604</t>
        </is>
      </c>
      <c r="Y21" s="5" t="inlineStr">
        <is>
          <t>M79605</t>
        </is>
      </c>
      <c r="Z21" s="5" t="inlineStr">
        <is>
          <t>R600</t>
        </is>
      </c>
      <c r="AA21" s="5" t="n"/>
      <c r="AB21" s="4" t="n"/>
      <c r="AC21" s="5" t="inlineStr">
        <is>
          <t>LEATHEM, JARRETT</t>
        </is>
      </c>
      <c r="AD21" s="5" t="inlineStr">
        <is>
          <t>ASAP - Gilbert</t>
        </is>
      </c>
      <c r="AE21" s="5" t="inlineStr">
        <is>
          <t>03/25/2026</t>
        </is>
      </c>
      <c r="AF21" s="5" t="inlineStr">
        <is>
          <t>US</t>
        </is>
      </c>
      <c r="AG21" s="8" t="n"/>
      <c r="AH21" s="4" t="n">
        <v>867</v>
      </c>
    </row>
    <row r="22">
      <c r="A22" s="2" t="n"/>
      <c r="B22" s="3" t="n"/>
      <c r="C22" s="4" t="n">
        <v>566781514</v>
      </c>
      <c r="D22" s="5" t="inlineStr">
        <is>
          <t>HF505830380</t>
        </is>
      </c>
      <c r="E22" s="5" t="inlineStr">
        <is>
          <t>03/17/2026</t>
        </is>
      </c>
      <c r="F22" s="5" t="inlineStr">
        <is>
          <t>AARP MedicareComplete (SecureHorizons &amp; Oxford Network)</t>
        </is>
      </c>
      <c r="G22" s="5" t="inlineStr">
        <is>
          <t>AARP MedicareComplete (SecureHorizons &amp; Oxford Network)</t>
        </is>
      </c>
      <c r="H22" s="5" t="inlineStr">
        <is>
          <t>No Payer</t>
        </is>
      </c>
      <c r="I22" s="5" t="inlineStr">
        <is>
          <t>93923</t>
        </is>
      </c>
      <c r="J22" s="4">
        <f>IF($K22="","",$K22-TODAY())</f>
        <v/>
      </c>
      <c r="K22" s="6" t="n"/>
      <c r="L22" s="5" t="n"/>
      <c r="M22" s="5" t="inlineStr">
        <is>
          <t>AARP MA CHOICE / MEDICARE COMPLETE</t>
        </is>
      </c>
      <c r="N22" s="5" t="n"/>
      <c r="O22" s="5" t="n"/>
      <c r="P22" s="5" t="n"/>
      <c r="Q22" s="4" t="n">
        <v>1</v>
      </c>
      <c r="R22" s="7" t="n">
        <v>879.0599999999999</v>
      </c>
      <c r="S22" s="7" t="n">
        <v>0</v>
      </c>
      <c r="T22" s="7" t="n">
        <v>0</v>
      </c>
      <c r="U22" s="5" t="inlineStr">
        <is>
          <t>05/04/2026</t>
        </is>
      </c>
      <c r="V22" s="7" t="n">
        <v>879.0599999999999</v>
      </c>
      <c r="W22" s="4" t="n">
        <v>144</v>
      </c>
      <c r="X22" s="5" t="inlineStr">
        <is>
          <t>M79604</t>
        </is>
      </c>
      <c r="Y22" s="5" t="inlineStr">
        <is>
          <t>M79605</t>
        </is>
      </c>
      <c r="Z22" s="5" t="n"/>
      <c r="AA22" s="5" t="n"/>
      <c r="AB22" s="4" t="n"/>
      <c r="AC22" s="5" t="inlineStr">
        <is>
          <t>LEATHEM, JARRETT</t>
        </is>
      </c>
      <c r="AD22" s="5" t="inlineStr">
        <is>
          <t>ASAP - Gilbert</t>
        </is>
      </c>
      <c r="AE22" s="5" t="inlineStr">
        <is>
          <t>03/25/2026</t>
        </is>
      </c>
      <c r="AF22" s="5" t="inlineStr">
        <is>
          <t>US</t>
        </is>
      </c>
      <c r="AG22" s="8" t="n"/>
      <c r="AH22" s="4" t="n">
        <v>868</v>
      </c>
    </row>
    <row r="23">
      <c r="A23" s="2" t="n"/>
      <c r="B23" s="3" t="n"/>
      <c r="C23" s="4" t="n">
        <v>566781514</v>
      </c>
      <c r="D23" s="5" t="inlineStr">
        <is>
          <t>HF505830380</t>
        </is>
      </c>
      <c r="E23" s="5" t="inlineStr">
        <is>
          <t>03/17/2026</t>
        </is>
      </c>
      <c r="F23" s="5" t="inlineStr">
        <is>
          <t>AARP MedicareComplete (SecureHorizons &amp; Oxford Network)</t>
        </is>
      </c>
      <c r="G23" s="5" t="inlineStr">
        <is>
          <t>AARP MedicareComplete (SecureHorizons &amp; Oxford Network)</t>
        </is>
      </c>
      <c r="H23" s="5" t="inlineStr">
        <is>
          <t>No Payer</t>
        </is>
      </c>
      <c r="I23" s="5" t="inlineStr">
        <is>
          <t>93925</t>
        </is>
      </c>
      <c r="J23" s="4">
        <f>IF($K23="","",$K23-TODAY())</f>
        <v/>
      </c>
      <c r="K23" s="6" t="n"/>
      <c r="L23" s="5" t="n"/>
      <c r="M23" s="5" t="inlineStr">
        <is>
          <t>AARP MA CHOICE / MEDICARE COMPLETE</t>
        </is>
      </c>
      <c r="N23" s="5" t="n"/>
      <c r="O23" s="5" t="n"/>
      <c r="P23" s="5" t="n"/>
      <c r="Q23" s="4" t="n">
        <v>1</v>
      </c>
      <c r="R23" s="7" t="n">
        <v>1649.2</v>
      </c>
      <c r="S23" s="7" t="n">
        <v>0</v>
      </c>
      <c r="T23" s="7" t="n">
        <v>0</v>
      </c>
      <c r="U23" s="5" t="inlineStr">
        <is>
          <t>05/04/2026</t>
        </is>
      </c>
      <c r="V23" s="7" t="n">
        <v>1649.2</v>
      </c>
      <c r="W23" s="4" t="n">
        <v>144</v>
      </c>
      <c r="X23" s="5" t="inlineStr">
        <is>
          <t>M79604</t>
        </is>
      </c>
      <c r="Y23" s="5" t="inlineStr">
        <is>
          <t>M79605</t>
        </is>
      </c>
      <c r="Z23" s="5" t="n"/>
      <c r="AA23" s="5" t="n"/>
      <c r="AB23" s="4" t="n"/>
      <c r="AC23" s="5" t="inlineStr">
        <is>
          <t>LEATHEM, JARRETT</t>
        </is>
      </c>
      <c r="AD23" s="5" t="inlineStr">
        <is>
          <t>ASAP - Gilbert</t>
        </is>
      </c>
      <c r="AE23" s="5" t="inlineStr">
        <is>
          <t>03/25/2026</t>
        </is>
      </c>
      <c r="AF23" s="5" t="inlineStr">
        <is>
          <t>US</t>
        </is>
      </c>
      <c r="AG23" s="8" t="n"/>
      <c r="AH23" s="4" t="n">
        <v>869</v>
      </c>
    </row>
  </sheetData>
  <autoFilter ref="A1:AH23"/>
  <conditionalFormatting sqref="J2:M23">
    <cfRule type="expression" priority="1" dxfId="0" stopIfTrue="0">
      <formula>AND($J2&lt;&gt;"", $J2&gt;=0, $J2&lt;=5)</formula>
    </cfRule>
    <cfRule type="expression" priority="2" dxfId="1" stopIfTrue="0">
      <formula>AND($J2&lt;&gt;"", $J2&gt;5, $J2&lt;=30)</formula>
    </cfRule>
    <cfRule type="expression" priority="3" dxfId="2" stopIfTrue="0">
      <formula>AND($J2&lt;&gt;"", $J2&gt;30)</formula>
    </cfRule>
    <cfRule type="expression" priority="4" dxfId="3" stopIfTrue="0">
      <formula>AND($J2&lt;&gt;"", $J2&lt;0)</formula>
    </cfRule>
    <cfRule type="expression" priority="5" dxfId="4" stopIfTrue="0">
      <formula>$J2=""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28"/>
  <sheetViews>
    <sheetView showGridLines="0" workbookViewId="0">
      <selection activeCell="A1" sqref="A1"/>
    </sheetView>
  </sheetViews>
  <sheetFormatPr baseColWidth="8" defaultRowHeight="15"/>
  <cols>
    <col width="118" customWidth="1" min="1" max="1"/>
  </cols>
  <sheetData>
    <row r="1">
      <c r="A1" s="9" t="inlineStr">
        <is>
          <t>2026-03 March - Specialty Claims</t>
        </is>
      </c>
    </row>
    <row r="2">
      <c r="A2" s="10" t="inlineStr"/>
    </row>
    <row r="3">
      <c r="A3" s="10" t="inlineStr">
        <is>
          <t>127 claim lines with a date of service in 2026-03 March, split into one sheet per specialty: BH, DME, GAE, ORTHO, US.</t>
        </is>
      </c>
    </row>
    <row r="4">
      <c r="A4" s="10" t="inlineStr"/>
    </row>
    <row r="5">
      <c r="A5" s="11" t="inlineStr">
        <is>
          <t>Row order - timely filing deadline</t>
        </is>
      </c>
    </row>
    <row r="6">
      <c r="A6" s="10"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0" t="inlineStr">
        <is>
          <t>Order down the sheet, with the colour band each row gets:</t>
        </is>
      </c>
    </row>
    <row r="8">
      <c r="A8" s="10" t="inlineStr">
        <is>
          <t xml:space="preserve">    1 - Due in 5 days or less: 0</t>
        </is>
      </c>
    </row>
    <row r="9">
      <c r="A9" s="10" t="inlineStr">
        <is>
          <t xml:space="preserve">    2 - Due in 6-30 days: 0</t>
        </is>
      </c>
    </row>
    <row r="10">
      <c r="A10" s="10" t="inlineStr">
        <is>
          <t xml:space="preserve">    3 - Due in 31+ days: 43</t>
        </is>
      </c>
    </row>
    <row r="11">
      <c r="A11" s="10" t="inlineStr">
        <is>
          <t xml:space="preserve">    4 - Past deadline: 66</t>
        </is>
      </c>
    </row>
    <row r="12">
      <c r="A12" s="10" t="inlineStr">
        <is>
          <t xml:space="preserve">    5 - No limit on file: 18</t>
        </is>
      </c>
    </row>
    <row r="13">
      <c r="A13" s="10" t="inlineStr"/>
    </row>
    <row r="14">
      <c r="A14" s="10" t="inlineStr">
        <is>
          <t>Past due rows sit below the claims that can still be filed on time rather than at the very top, so the actionable work stays first. That is why the numbers run up to the longest window and then restart at the negatives.</t>
        </is>
      </c>
    </row>
    <row r="15">
      <c r="A15" s="10"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0"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0" t="inlineStr">
        <is>
          <t>Deadlines are counted from the date of service. Secondary claims are often counted from the primary payer's remittance date instead - that is not reflected here.</t>
        </is>
      </c>
    </row>
    <row r="18">
      <c r="A18" s="10" t="inlineStr"/>
    </row>
    <row r="19">
      <c r="A19" s="11" t="inlineStr">
        <is>
          <t>Cells you edit</t>
        </is>
      </c>
    </row>
    <row r="20">
      <c r="A20" s="10" t="inlineStr">
        <is>
          <t>Column A (Claim Status) and column B (Notes) are shaded pale yellow. Those are the two columns meant to be edited here. Claim Status has a drop-down of the statuses already in use - it is a suggestion, not a restriction, so you can type anything.</t>
        </is>
      </c>
    </row>
    <row r="21">
      <c r="A21" s="10" t="inlineStr">
        <is>
          <t>Statuses currently in use: Denied, Finalized, PAID, Pending, Received, Rejected.</t>
        </is>
      </c>
    </row>
    <row r="22">
      <c r="A22" s="10" t="inlineStr">
        <is>
          <t>Example of the expected format - Claim Status: "Denied";  Notes: "Corrected service line 1 - resubmitted 05/14/2026".</t>
        </is>
      </c>
    </row>
    <row r="23">
      <c r="A23" s="10" t="inlineStr"/>
    </row>
    <row r="24">
      <c r="A24" s="11" t="inlineStr">
        <is>
          <t>How this file feeds the master</t>
        </is>
      </c>
    </row>
    <row r="25">
      <c r="A25" s="10"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6">
      <c r="A26" s="10" t="inlineStr">
        <is>
          <t>The link is matched on Line ID (last column), not on row position, so sorting and filtering these sheets is safe. Do not edit or delete the Line ID column, and do not rename the specialty sheet tabs.</t>
        </is>
      </c>
    </row>
    <row r="27">
      <c r="A27" s="10" t="inlineStr"/>
    </row>
    <row r="28">
      <c r="A28" s="10"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2026-08-12T15:22:19Z</dcterms:created>
  <dcterms:modified xsi:type="dcterms:W3CDTF">2026-08-12T15:22:19Z</dcterms:modified>
</cp:coreProperties>
</file>