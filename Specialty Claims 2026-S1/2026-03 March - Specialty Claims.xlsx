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<sst xmlns="http://schemas.openxmlformats.org/spreadsheetml/2006/main" count="1671" uniqueCount="498">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</sst>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c r="AO2" s="5" t="s">
        <v>54</v>
      </c>
    </row>
    <row r="3" spans="1:41"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c r="AO3" s="5" t="s">
        <v>63</v>
      </c>
    </row>
    <row r="4" spans="1:41"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c r="AO4" s="5" t="s">
        <v>73</v>
      </c>
    </row>
    <row r="5" spans="1:41"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c r="AO5" s="5" t="s">
        <v>84</v>
      </c>
    </row>
    <row r="6" spans="1:41"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c r="AO6" s="5" t="s">
        <v>90</v>
      </c>
    </row>
    <row r="7" spans="1:41"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c r="AO7" s="5" t="s">
        <v>95</v>
      </c>
    </row>
    <row r="8" spans="1:41"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c r="AO8" s="5" t="s">
        <v>99</v>
      </c>
    </row>
    <row r="9" spans="1:41"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c r="AO9" s="5" t="s">
        <v>104</v>
      </c>
    </row>
    <row r="10" spans="1:41" x14ac:dyDescent="0.25">
      <c r="A10" s="2" t="s">
        <v>459</v>
      </c>
      <c r="B10" s="2" t="s">
        <v>473</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c r="AO10" s="5" t="s">
        <v>106</v>
      </c>
    </row>
    <row r="11" spans="1:41"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c r="AO11" s="5" t="s">
        <v>110</v>
      </c>
    </row>
    <row r="12" spans="1:41"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IF($C12="","",$C12+365-TODAY())</f>
        <v>217</v>
      </c>
      <c r="N12" s="12">
        <f ca="1">IF($C12="","",$C12+365-TODAY())</f>
        <v>217</v>
      </c>
      <c r="O12" s="6">
        <v>46175</v>
      </c>
      <c r="P12" s="5" t="s">
        <v>112</v>
      </c>
      <c r="Q12" s="5" t="s">
        <v>113</v>
      </c>
      <c r="R12" s="5" t="s">
        <v>59</v>
      </c>
      <c r="S12" s="5" t="s">
        <v>48</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c r="AO12" s="5" t="s">
        <v>115</v>
      </c>
    </row>
    <row r="13" spans="1:41"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c r="AO13" s="5" t="s">
        <v>119</v>
      </c>
    </row>
    <row r="14" spans="1:41"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c r="AO14" s="5" t="s">
        <v>125</v>
      </c>
    </row>
    <row r="15" spans="1:41"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c r="AO15" s="5" t="s">
        <v>127</v>
      </c>
    </row>
    <row r="16" spans="1:41"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c r="AO16" s="5" t="s">
        <v>129</v>
      </c>
    </row>
    <row r="17" spans="1:41"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c r="AO17" s="5" t="s">
        <v>135</v>
      </c>
    </row>
    <row r="18" spans="1:41"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IF($C18="","",$C18+365-TODAY())</f>
        <v>218</v>
      </c>
      <c r="N18" s="12">
        <f ca="1">IF($C18="","",$C18+365-TODAY())</f>
        <v>218</v>
      </c>
      <c r="O18" s="6">
        <v>46187</v>
      </c>
      <c r="P18" s="5" t="s">
        <v>112</v>
      </c>
      <c r="Q18" s="5" t="s">
        <v>113</v>
      </c>
      <c r="R18" s="5" t="s">
        <v>59</v>
      </c>
      <c r="S18" s="5" t="s">
        <v>48</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c r="AO18" s="5" t="s">
        <v>137</v>
      </c>
    </row>
    <row r="19" spans="1:41"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c r="AO19" s="5" t="s">
        <v>139</v>
      </c>
    </row>
    <row r="20" spans="1:41"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c r="AO20" s="5" t="s">
        <v>142</v>
      </c>
    </row>
    <row r="21" spans="1:41"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c r="AO21" s="5" t="s">
        <v>144</v>
      </c>
    </row>
    <row r="22" spans="1:41" x14ac:dyDescent="0.25">
      <c r="A22" s="2" t="s">
        <v>250</v>
      </c>
      <c r="B22" s="2" t="s">
        <v>466</v>
      </c>
      <c r="C22" s="3">
        <v>46124</v>
      </c>
      <c r="D22" s="4">
        <v>553498942</v>
      </c>
      <c r="E22" s="5" t="s">
        <v>145</v>
      </c>
      <c r="F22" s="6">
        <v>46101</v>
      </c>
      <c r="G22" s="5" t="s">
        <v>75</v>
      </c>
      <c r="H22" s="5" t="s">
        <v>75</v>
      </c>
      <c r="I22" s="5" t="s">
        <v>43</v>
      </c>
      <c r="J22" s="5" t="s">
        <v>68</v>
      </c>
      <c r="K22" s="3">
        <v>46268</v>
      </c>
      <c r="L22" s="12">
        <f ca="1">IF($O22="","",$O22-TODAY())</f>
        <v>-91</v>
      </c>
      <c r="M22" s="12">
        <f ca="1">IF($C22="","",$C22+365-TODAY())</f>
        <v>207</v>
      </c>
      <c r="N22" s="12">
        <f ca="1">IF($C22="","",$C22+365-TODAY())</f>
        <v>207</v>
      </c>
      <c r="O22" s="6">
        <v>46191</v>
      </c>
      <c r="P22" s="5" t="s">
        <v>112</v>
      </c>
      <c r="Q22" s="5" t="s">
        <v>113</v>
      </c>
      <c r="R22" s="5" t="s">
        <v>59</v>
      </c>
      <c r="S22" s="5" t="s">
        <v>48</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c r="AO22" s="5" t="s">
        <v>147</v>
      </c>
    </row>
    <row r="23" spans="1:41"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c r="AO23" s="5" t="s">
        <v>152</v>
      </c>
    </row>
    <row r="24" spans="1:41"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-86</v>
      </c>
      <c r="N24" s="12">
        <f ca="1">IF($C24="","",$C24+60-TODAY())</f>
        <v>-99</v>
      </c>
      <c r="O24" s="6">
        <v>46196</v>
      </c>
      <c r="P24" s="5" t="s">
        <v>112</v>
      </c>
      <c r="Q24" s="5" t="s">
        <v>156</v>
      </c>
      <c r="R24" s="5" t="s">
        <v>112</v>
      </c>
      <c r="S24" s="5" t="s">
        <v>47</v>
      </c>
      <c r="T24" s="5" t="s">
        <v>157</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c r="AO24" s="5" t="s">
        <v>158</v>
      </c>
    </row>
    <row r="25" spans="1:41"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c r="AO25" s="5" t="s">
        <v>160</v>
      </c>
    </row>
    <row r="26" spans="1:41"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c r="AO26" s="5" t="s">
        <v>163</v>
      </c>
    </row>
    <row r="27" spans="1:41"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c r="AO27" s="5" t="s">
        <v>167</v>
      </c>
    </row>
    <row r="28" spans="1:41"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c r="AO28" s="5" t="s">
        <v>172</v>
      </c>
    </row>
    <row r="29" spans="1:41"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c r="AO29" s="5" t="s">
        <v>176</v>
      </c>
    </row>
    <row r="30" spans="1:41"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c r="AO30" s="5" t="s">
        <v>182</v>
      </c>
    </row>
  </sheetData>
  <autoFilter ref="A1:AO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c r="AO2" s="5" t="s">
        <v>195</v>
      </c>
    </row>
    <row r="3" spans="1:41"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c r="AO3" s="5" t="s">
        <v>202</v>
      </c>
    </row>
    <row r="4" spans="1:41"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c r="AO4" s="5" t="s">
        <v>211</v>
      </c>
    </row>
    <row r="5" spans="1:41"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c r="AO5" s="5" t="s">
        <v>216</v>
      </c>
    </row>
    <row r="6" spans="1:41"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c r="AO6" s="5" t="s">
        <v>223</v>
      </c>
    </row>
    <row r="7" spans="1:41"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c r="AO7" s="5" t="s">
        <v>226</v>
      </c>
    </row>
    <row r="8" spans="1:41"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c r="AO8" s="5" t="s">
        <v>232</v>
      </c>
    </row>
    <row r="9" spans="1:41"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c r="AO9" s="5" t="s">
        <v>237</v>
      </c>
    </row>
    <row r="10" spans="1:41"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c r="AO10" s="5" t="s">
        <v>244</v>
      </c>
    </row>
    <row r="11" spans="1:41"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c r="AO11" s="5" t="s">
        <v>249</v>
      </c>
    </row>
  </sheetData>
  <autoFilter ref="A1:AO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c r="AO2" s="5" t="s">
        <v>263</v>
      </c>
    </row>
    <row r="3" spans="1:41" x14ac:dyDescent="0.25">
      <c r="A3" s="2" t="s">
        <v>250</v>
      </c>
      <c r="B3" s="2" t="s">
        <v>485</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c r="AO3" s="5" t="s">
        <v>278</v>
      </c>
    </row>
  </sheetData>
  <autoFilter ref="A1:AO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c r="AO2" s="5" t="s">
        <v>283</v>
      </c>
    </row>
    <row r="3" spans="1:41"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c r="AO3" s="5" t="s">
        <v>291</v>
      </c>
    </row>
    <row r="4" spans="1:41"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c r="AO4" s="5" t="s">
        <v>299</v>
      </c>
    </row>
    <row r="5" spans="1:41"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c r="AO5" s="5" t="s">
        <v>305</v>
      </c>
    </row>
    <row r="6" spans="1:41"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c r="AO6" s="5" t="s">
        <v>308</v>
      </c>
    </row>
    <row r="7" spans="1:41"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c r="AO7" s="5" t="s">
        <v>207</v>
      </c>
    </row>
    <row r="8" spans="1:41"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c r="AO8" s="5" t="s">
        <v>318</v>
      </c>
    </row>
    <row r="9" spans="1:41"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-105</v>
      </c>
      <c r="N9" s="12">
        <f ca="1">IF($C9="","",$C9+60-TODAY())</f>
        <v>-125</v>
      </c>
      <c r="O9" s="6">
        <v>46177</v>
      </c>
      <c r="P9" s="5" t="s">
        <v>112</v>
      </c>
      <c r="Q9" s="5" t="s">
        <v>156</v>
      </c>
      <c r="R9" s="5" t="s">
        <v>112</v>
      </c>
      <c r="S9" s="5" t="s">
        <v>47</v>
      </c>
      <c r="T9" s="5" t="s">
        <v>157</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c r="AO9" s="5" t="s">
        <v>321</v>
      </c>
    </row>
    <row r="10" spans="1:41"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IF($C10="","",$C10+365-TODAY())</f>
        <v>286</v>
      </c>
      <c r="N10" s="12">
        <f ca="1">IF($C10="","",$C10+365-TODAY())</f>
        <v>286</v>
      </c>
      <c r="O10" s="6">
        <v>46177</v>
      </c>
      <c r="P10" s="5" t="s">
        <v>112</v>
      </c>
      <c r="Q10" s="5" t="s">
        <v>113</v>
      </c>
      <c r="R10" s="5" t="s">
        <v>59</v>
      </c>
      <c r="S10" s="5" t="s">
        <v>48</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c r="AO10" s="5" t="s">
        <v>329</v>
      </c>
    </row>
    <row r="11" spans="1:41"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-99</v>
      </c>
      <c r="N11" s="12">
        <f ca="1">IF($C11="","",$C11+60-TODAY())</f>
        <v>-114</v>
      </c>
      <c r="O11" s="6">
        <v>46183</v>
      </c>
      <c r="P11" s="5" t="s">
        <v>112</v>
      </c>
      <c r="Q11" s="5" t="s">
        <v>156</v>
      </c>
      <c r="R11" s="5" t="s">
        <v>112</v>
      </c>
      <c r="S11" s="5" t="s">
        <v>47</v>
      </c>
      <c r="T11" s="5" t="s">
        <v>157</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c r="AO11" s="5" t="s">
        <v>333</v>
      </c>
    </row>
    <row r="12" spans="1:41"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-99</v>
      </c>
      <c r="N12" s="12">
        <f ca="1">IF($C12="","",$C12+60-TODAY())</f>
        <v>-2</v>
      </c>
      <c r="O12" s="6">
        <v>46183</v>
      </c>
      <c r="P12" s="5" t="s">
        <v>112</v>
      </c>
      <c r="Q12" s="5" t="s">
        <v>156</v>
      </c>
      <c r="R12" s="5" t="s">
        <v>112</v>
      </c>
      <c r="S12" s="5" t="s">
        <v>47</v>
      </c>
      <c r="T12" s="5" t="s">
        <v>157</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c r="AO12" s="5" t="s">
        <v>337</v>
      </c>
    </row>
    <row r="13" spans="1:41"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c r="AO13" s="5" t="s">
        <v>340</v>
      </c>
    </row>
    <row r="14" spans="1:41"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c r="AO14" s="5" t="s">
        <v>350</v>
      </c>
    </row>
  </sheetData>
  <autoFilter ref="A1:AO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c r="AO2" s="5" t="s">
        <v>362</v>
      </c>
    </row>
    <row r="3" spans="1:41"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c r="AO3" s="5" t="s">
        <v>367</v>
      </c>
    </row>
    <row r="4" spans="1:41"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c r="AO4" s="5" t="s">
        <v>379</v>
      </c>
    </row>
    <row r="5" spans="1:41"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IF($C5="","",$C5+365-TODAY())</f>
        <v>218</v>
      </c>
      <c r="N5" s="12">
        <f ca="1">IF($C5="","",$C5+365-TODAY())</f>
        <v>218</v>
      </c>
      <c r="O5" s="6">
        <v>46188</v>
      </c>
      <c r="P5" s="5" t="s">
        <v>112</v>
      </c>
      <c r="Q5" s="5" t="s">
        <v>113</v>
      </c>
      <c r="R5" s="5" t="s">
        <v>59</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c r="AO5" s="5" t="s">
        <v>383</v>
      </c>
    </row>
    <row r="6" spans="1:41" x14ac:dyDescent="0.25">
      <c r="A6" s="2" t="s">
        <v>250</v>
      </c>
      <c r="B6" s="13" t="s">
        <v>478</v>
      </c>
      <c r="C6" s="3">
        <v>46220</v>
      </c>
      <c r="D6" s="4">
        <v>553063753</v>
      </c>
      <c r="E6" s="5" t="s">
        <v>384</v>
      </c>
      <c r="F6" s="6">
        <v>46099</v>
      </c>
      <c r="G6" s="5" t="s">
        <v>154</v>
      </c>
      <c r="H6" s="5" t="s">
        <v>154</v>
      </c>
      <c r="I6" s="5" t="s">
        <v>43</v>
      </c>
      <c r="J6" s="5" t="s">
        <v>385</v>
      </c>
      <c r="K6" s="3"/>
      <c r="L6" s="12">
        <f ca="1">IF($O6="","",$O6-TODAY())</f>
        <v>-93</v>
      </c>
      <c r="M6" s="12">
        <f ca="1">IF($F6="","",$F6+90-TODAY())</f>
        <v>-93</v>
      </c>
      <c r="N6" s="12">
        <f ca="1">IF($C6="","",$C6+60-TODAY())</f>
        <v>-2</v>
      </c>
      <c r="O6" s="6">
        <v>46189</v>
      </c>
      <c r="P6" s="5" t="s">
        <v>112</v>
      </c>
      <c r="Q6" s="5" t="s">
        <v>156</v>
      </c>
      <c r="R6" s="5" t="s">
        <v>112</v>
      </c>
      <c r="S6" s="5" t="s">
        <v>47</v>
      </c>
      <c r="T6" s="5" t="s">
        <v>157</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c r="AO6" s="5" t="s">
        <v>387</v>
      </c>
    </row>
    <row r="7" spans="1:41" x14ac:dyDescent="0.25">
      <c r="A7" s="13" t="s">
        <v>479</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c r="AO7" s="5" t="s">
        <v>393</v>
      </c>
    </row>
    <row r="8" spans="1:41"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c r="AO8" s="5" t="s">
        <v>396</v>
      </c>
    </row>
    <row r="9" spans="1:41"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c r="AO9" s="5" t="s">
        <v>398</v>
      </c>
    </row>
    <row r="10" spans="1:41"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c r="AO10" s="5" t="s">
        <v>401</v>
      </c>
    </row>
    <row r="11" spans="1:41"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c r="AO11" s="5" t="s">
        <v>405</v>
      </c>
    </row>
    <row r="12" spans="1:41"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c r="AO12" s="5" t="s">
        <v>407</v>
      </c>
    </row>
    <row r="13" spans="1:41" x14ac:dyDescent="0.25">
      <c r="A13" s="2" t="s">
        <v>250</v>
      </c>
      <c r="B13" s="2" t="s">
        <v>484</v>
      </c>
      <c r="C13" s="3">
        <v>46146</v>
      </c>
      <c r="D13" s="4">
        <v>571612561</v>
      </c>
      <c r="E13" s="5" t="s">
        <v>408</v>
      </c>
      <c r="F13" s="6">
        <v>46098</v>
      </c>
      <c r="G13" s="5" t="s">
        <v>409</v>
      </c>
      <c r="H13" s="5" t="s">
        <v>409</v>
      </c>
      <c r="I13" s="5" t="s">
        <v>43</v>
      </c>
      <c r="J13" s="5" t="s">
        <v>385</v>
      </c>
      <c r="K13" s="16">
        <v>46278</v>
      </c>
      <c r="L13" s="12" t="str">
        <f ca="1">IF($O13="","",$O13-TODAY())</f>
        <v/>
      </c>
      <c r="M13" s="12">
        <f ca="1">IF($C13="","",$C13+180-TODAY())</f>
        <v>44</v>
      </c>
      <c r="N13" s="12">
        <f ca="1">IF($C13="","",$C13+365-TODAY())</f>
        <v>229</v>
      </c>
      <c r="O13" s="6"/>
      <c r="P13" s="5"/>
      <c r="Q13" s="5" t="s">
        <v>410</v>
      </c>
      <c r="R13" s="5" t="s">
        <v>45</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c r="AO13" s="5" t="s">
        <v>413</v>
      </c>
    </row>
  </sheetData>
  <autoFilter ref="A1:AO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415</v>
      </c>
    </row>
    <row r="4" spans="1:1" x14ac:dyDescent="0.25">
      <c r="A4" s="9"/>
    </row>
    <row r="5" spans="1:1" x14ac:dyDescent="0.25">
      <c r="A5" s="10" t="s">
        <v>416</v>
      </c>
    </row>
    <row r="6" spans="1:1" ht="45" x14ac:dyDescent="0.25">
      <c r="A6" s="9" t="s">
        <v>417</v>
      </c>
    </row>
    <row r="7" spans="1:1" x14ac:dyDescent="0.25">
      <c r="A7" s="9" t="s">
        <v>418</v>
      </c>
    </row>
    <row r="8" spans="1:1" x14ac:dyDescent="0.25">
      <c r="A8" s="9" t="s">
        <v>419</v>
      </c>
    </row>
    <row r="9" spans="1:1" x14ac:dyDescent="0.25">
      <c r="A9" s="9" t="s">
        <v>420</v>
      </c>
    </row>
    <row r="10" spans="1:1" x14ac:dyDescent="0.25">
      <c r="A10" s="9" t="s">
        <v>421</v>
      </c>
    </row>
    <row r="11" spans="1:1" x14ac:dyDescent="0.25">
      <c r="A11" s="9" t="s">
        <v>422</v>
      </c>
    </row>
    <row r="12" spans="1:1" x14ac:dyDescent="0.25">
      <c r="A12" s="9" t="s">
        <v>423</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430</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440</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