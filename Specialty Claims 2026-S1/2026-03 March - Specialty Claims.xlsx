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<sst xmlns="http://schemas.openxmlformats.org/spreadsheetml/2006/main" count="1708" uniqueCount="513">
  <si>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</si>
  <si>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</si>
  <si>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</si>
  <si>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</si>
  <si>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</si>
  <si>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</si>
  <si>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</si>
  <si>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</si>
  <si>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</si>
  <si>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</si>
  <si>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</si>
  <si>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</si>
  <si>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</si>
  <si>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</si>
  <si>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</si>
  <si>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</si>
  <si>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</si>
  <si>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</si>
  <si>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</si>
  <si>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</si>
  <si>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</si>
  <si>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</si>
  <si>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</si>
  <si>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</si>
  <si>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</si>
  <si>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</si>
  <si>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</si>
  <si>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</si>
  <si>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</si>
  <si>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</si>
  <si>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</si>
  <si>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</si>
  <si>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</si>
  <si>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</si>
  <si>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</si>
  <si>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</si>
  <si>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</si>
  <si>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</si>
  <si>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</si>
  <si>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</si>
  <si>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</si>
  <si>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</si>
  <si>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</si>
  <si>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</si>
  <si>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</si>
  <si>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</si>
  <si>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</si>
  <si>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</si>
  <si>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</si>
  <si>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</si>
  <si>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</si>
  <si>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</si>
  <si>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</si>
  <si>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</si>
  <si>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</si>
  <si>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</si>
  <si>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</si>
  <si>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</si>
  <si>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</si>
  <si>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</si>
  <si>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</si>
  <si>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</si>
  <si>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</si>
  <si>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</si>
  <si>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</si>
  <si>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</si>
  <si>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</si>
  <si>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</si>
  <si>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</si>
  <si>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</si>
  <si>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</si>
  <si>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</si>
  <si>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</si>
  <si>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</si>
  <si>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</si>
  <si>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</si>
  <si>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</si>
  <si>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</si>
  <si>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</si>
  <si>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</si>
  <si>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</si>
  <si>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</si>
  <si>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</si>
  <si>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</si>
  <si>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</si>
  <si>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</si>
  <si>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</si>
  <si>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</si>
  <si>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</si>
  <si>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</si>
  <si>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</si>
  <si>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</si>
  <si>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</si>
  <si>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</si>
  <si>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</si>
  <si>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</si>
  <si>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</si>
  <si>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</si>
  <si>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</si>
  <si>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</si>
  <si>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</si>
  <si>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</si>
  <si>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</si>
  <si>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</si>
  <si>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</si>
  <si>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</si>
  <si>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</si>
  <si>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</si>
  <si>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</si>
  <si>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</si>
  <si>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</si>
  <si>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</si>
  <si>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</si>
  <si>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</si>
  <si>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</si>
  <si>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</si>
  <si>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</si>
  <si>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</si>
  <si>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</si>
  <si>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</si>
  <si>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</si>
  <si>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</si>
  <si>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</si>
  <si>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</si>
  <si>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</si>
  <si>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</si>
  <si>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</si>
  <si>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</si>
  <si>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</si>
  <si>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</si>
  <si>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</si>
  <si>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</si>
  <si>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</si>
  <si>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</si>
  <si>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</si>
  <si>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</si>
  <si>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</si>
  <si>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</si>
  <si>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</si>
  <si>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</si>
  <si>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</si>
  <si>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</si>
  <si>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</si>
  <si>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</si>
  <si>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</si>
  <si>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</si>
  <si>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</si>
  <si>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</si>
  <si>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</si>
  <si>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</si>
  <si>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</si>
  <si>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</si>
  <si>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</si>
  <si>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</si>
  <si>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</si>
  <si>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</si>
  <si>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</si>
  <si>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</si>
  <si>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</si>
  <si>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</si>
  <si>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</si>
  <si>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</si>
  <si>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</si>
  <si>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</si>
  <si>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</si>
  <si>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</si>
  <si>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</si>
  <si>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</si>
  <si>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</si>
  <si>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</si>
  <si>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</si>
  <si>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</si>
  <si>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</si>
  <si>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</si>
  <si>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</si>
  <si>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</si>
  <si>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</si>
  <si>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</si>
  <si>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</si>
  <si>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</si>
  <si>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</si>
  <si>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</si>
  <si>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</si>
  <si>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</si>
  <si>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</si>
  <si>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</si>
  <si>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</si>
  <si>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</si>
  <si>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</si>
  <si>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</si>
  <si>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</si>
  <si>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</si>
  <si>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</si>
  <si>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</si>
  <si>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</si>
  <si>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</si>
  <si>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</si>
  <si>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</si>
  <si>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</si>
  <si>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</si>
  <si>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</si>
  <si>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</si>
  <si>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</si>
  <si>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</si>
  <si>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</si>
  <si>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</si>
  <si>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</si>
  <si>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</si>
  <si>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</si>
  <si>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</si>
  <si>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</si>
  <si>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</si>
  <si>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</si>
  <si>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</si>
  <si>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</si>
  <si>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</si>
  <si>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</si>
  <si>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</si>
  <si>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</si>
  <si>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</si>
  <si>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</si>
  <si>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</si>
  <si>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</si>
  <si>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</si>
  <si>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</si>
  <si>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</si>
  <si>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</si>
  <si>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</si>
  <si>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</si>
  <si>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</si>
  <si>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</si>
  <si>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</si>
  <si>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</si>
  <si>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</si>
  <si>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</si>
  <si>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</si>
  <si>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</si>
  <si>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</si>
  <si>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</si>
  <si>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</si>
  <si>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</si>
  <si>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</si>
  <si>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</si>
  <si>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</si>
  <si>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</si>
  <si>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</si>
  <si>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</si>
  <si>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</si>
  <si>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</si>
  <si>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</si>
  <si>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</si>
  <si>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</si>
  <si>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</si>
  <si>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</si>
  <si>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</si>
  <si>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</si>
  <si>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</si>
  <si>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</si>
  <si>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</si>
  <si>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</si>
  <si>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</si>
  <si>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</si>
  <si>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</si>
  <si>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</si>
  <si>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</si>
  <si>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</si>
  <si>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</si>
  <si>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</si>
  <si>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</si>
  <si>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</si>
  <si>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</si>
  <si>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</si>
  <si>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</si>
  <si>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</si>
  <si>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</si>
  <si>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</si>
  <si>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</si>
  <si>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</si>
  <si>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</si>
  <si>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</si>
  <si>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</si>
  <si>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</si>
  <si>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</si>
  <si>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</si>
  <si>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</si>
  <si>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</si>
  <si>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</si>
  <si>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</si>
  <si>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</si>
  <si>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</si>
  <si>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</si>
  <si>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</si>
  <si>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</si>
  <si>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</si>
  <si>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</si>
  <si>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</si>
  <si>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</si>
  <si>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</si>
  <si>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</si>
  <si>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</si>
  <si>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</si>
  <si>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</si>
  <si>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</si>
  <si>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</si>
  <si>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</si>
  <si>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</si>
  <si>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</si>
  <si>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</si>
  <si>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</si>
  <si>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</si>
  <si>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</si>
  <si>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</si>
  <si>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</si>
  <si>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</si>
  <si>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</si>
  <si>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</si>
  <si>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</si>
  <si>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</si>
  <si>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</si>
  <si>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</si>
  <si>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</si>
  <si>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</si>
  <si>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</si>
  <si>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</si>
  <si>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</si>
  <si>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</si>
  <si>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</si>
  <si>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</si>
  <si>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</si>
  <si>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</si>
  <si>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</si>
  <si>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</si>
  <si>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</si>
  <si>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</si>
  <si>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</si>
  <si>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</si>
  <si>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</si>
  <si>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</si>
  <si>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</si>
  <si>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</si>
  <si>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</si>
  <si>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</si>
  <si>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</si>
  <si>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</si>
  <si>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</si>
  <si>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</si>
  <si>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</si>
  <si>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</si>
  <si>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</si>
  <si>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</si>
  <si>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</si>
  <si>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</si>
  <si>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</si>
  <si>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</si>
  <si>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</si>
  <si>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</si>
  <si>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</si>
  <si>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</si>
  <si>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</si>
  <si>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</si>
  <si>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</si>
  <si>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</si>
  <si>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</si>
  <si>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</si>
  <si>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</si>
  <si>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</si>
  <si>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</si>
  <si>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</si>
  <si>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</si>
  <si>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</si>
  <si>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</si>
  <si>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</si>
  <si>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</si>
  <si>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</si>
  <si>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</si>
  <si>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</si>
  <si>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</si>
  <si>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</si>
  <si>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</si>
  <si>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</si>
  <si>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</si>
  <si>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</si>
  <si>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</si>
  <si>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</si>
  <si>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</si>
  <si>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</si>
  <si>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</si>
  <si>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</si>
  <si>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</si>
  <si>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</si>
  <si>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</si>
  <si>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</si>
  <si>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</si>
  <si>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</si>
  <si>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</si>
  <si>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</si>
  <si>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</si>
  <si>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</si>
  <si>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</si>
  <si>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</si>
  <si>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</si>
  <si>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</si>
  <si>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</si>
  <si>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</si>
  <si>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</si>
  <si>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</si>
  <si>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</si>
  <si>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</si>
  <si>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</si>
  <si>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</si>
  <si>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</si>
  <si>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</si>
  <si>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</si>
  <si>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</si>
  <si>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</si>
  <si>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</si>
  <si>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</si>
  <si>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</si>
  <si>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</si>
  <si>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</si>
  <si>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</si>
  <si>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</si>
  <si>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</si>
  <si>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</si>
  <si>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</si>
  <si>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</si>
  <si>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</si>
  <si>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</si>
  <si>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</si>
  <si>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</si>
  <si>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</si>
  <si>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</si>
  <si>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</si>
  <si>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</si>
  <si>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</si>
  <si>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</si>
  <si>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</si>
  <si>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</si>
  <si>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</si>
  <si>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</si>
  <si>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</si>
  <si>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</si>
  <si>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</si>
  <si>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</si>
  <si>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</si>
  <si>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</si>
  <si>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</si>
  <si>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</si>
  <si>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</si>
  <si>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</si>
  <si>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</si>
  <si>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</si>
  <si>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</si>
  <si>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</si>
  <si>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</si>
  <si>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</si>
  <si>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</si>
  <si>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</si>
  <si>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</si>
  <si>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</si>
  <si>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</si>
  <si>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</si>
  <si>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</si>
  <si>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</si>
  <si>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</si>
  <si>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</si>
  <si>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</si>
  <si>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</si>
  <si>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</si>
  <si>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</si>
  <si>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</si>
  <si>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</si>
  <si>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</si>
  <si>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</si>
  <si>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</si>
  <si>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</si>
  <si>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</si>
  <si>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</si>
  <si>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</si>
  <si>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</si>
  <si>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</si>
  <si>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</si>
  <si>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</si>
  <si>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</si>
  <si>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</si>
  <si>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</si>
  <si>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</si>
  <si>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</si>
  <si>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</si>
  <si>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</si>
  <si>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</si>
  <si>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</si>
  <si>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</si>
  <si>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</si>
  <si>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</si>
  <si>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</si>
  <si>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</si>
  <si>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</si>
  <si>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</si>
  <si>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</si>
  <si>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</si>
  <si>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</si>
  <si>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</si>
  <si>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</si>
  <si>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</si>
  <si>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</si>
  <si>
    <t xml:space="preserve">540 days</t>
  </si>
  <si>
    <t xml:space="preserve">66 claims with a date of service in 2026-03 March,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</si>
  <si>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</si>
  <si>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</si>
  <si>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3 - Due in 31+ days: 23</t>
  </si>
  <si>
    <t xml:space="preserve">    5 - No limit on file: 3</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</si>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</sst>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row>
    <row r="3" spans="1:40"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row>
    <row r="4" spans="1:40"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row>
    <row r="5" spans="1:40"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row>
    <row r="6" spans="1:40"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row>
    <row r="7" spans="1:40"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row>
    <row r="8" spans="1:40"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row>
    <row r="9" spans="1:40"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row>
    <row r="10" spans="1:40"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row>
    <row r="11" spans="1:40"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row>
    <row r="12" spans="1:40"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IF($F12="","",$F12+90-TODAY())</f>
        <v>-108</v>
      </c>
      <c r="N12" s="12">
        <f ca="1">IF($C12="","",$C12+365-TODAY())</f>
        <v>216</v>
      </c>
      <c r="O12" s="6">
        <v>46175</v>
      </c>
      <c r="P12" s="5" t="s">
        <v>112</v>
      </c>
      <c r="Q12" s="5" t="s">
        <v>113</v>
      </c>
      <c r="R12" s="5" t="s">
        <v>112</v>
      </c>
      <c r="S12" s="5" t="s">
        <v>47</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row>
    <row r="13" spans="1:40"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row>
    <row r="14" spans="1:40"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row>
    <row r="15" spans="1:40"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row>
    <row r="16" spans="1:40"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row>
    <row r="17" spans="1:40"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row>
    <row r="18" spans="1:40"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IF($F18="","",$F18+90-TODAY())</f>
        <v>-96</v>
      </c>
      <c r="N18" s="12">
        <f ca="1">IF($C18="","",$C18+365-TODAY())</f>
        <v>217</v>
      </c>
      <c r="O18" s="6">
        <v>46187</v>
      </c>
      <c r="P18" s="5" t="s">
        <v>112</v>
      </c>
      <c r="Q18" s="5" t="s">
        <v>113</v>
      </c>
      <c r="R18" s="5" t="s">
        <v>112</v>
      </c>
      <c r="S18" s="5" t="s">
        <v>47</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row>
    <row r="19" spans="1:40"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row>
    <row r="20" spans="1:40"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row>
    <row r="21" spans="1:40"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row>
    <row r="22" spans="1:40"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IF($F22="","",$F22+90-TODAY())</f>
        <v>-92</v>
      </c>
      <c r="N22" s="12">
        <f ca="1">IF($C22="","",$C22+365-TODAY())</f>
        <v>206</v>
      </c>
      <c r="O22" s="6">
        <v>46191</v>
      </c>
      <c r="P22" s="5" t="s">
        <v>112</v>
      </c>
      <c r="Q22" s="5" t="s">
        <v>113</v>
      </c>
      <c r="R22" s="5" t="s">
        <v>112</v>
      </c>
      <c r="S22" s="5" t="s">
        <v>47</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row>
    <row r="23" spans="1:40"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row>
    <row r="24" spans="1:40"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-87</v>
      </c>
      <c r="N24" s="12">
        <f ca="1">IF($C24="","",$C24+540-TODAY())</f>
        <v>380</v>
      </c>
      <c r="O24" s="6">
        <v>46196</v>
      </c>
      <c r="P24" s="5" t="s">
        <v>112</v>
      </c>
      <c r="Q24" s="5" t="s">
        <v>156</v>
      </c>
      <c r="R24" s="5" t="s">
        <v>112</v>
      </c>
      <c r="S24" s="5" t="s">
        <v>47</v>
      </c>
      <c r="T24" s="5" t="s">
        <v>506</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row>
    <row r="25" spans="1:40"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row>
    <row r="26" spans="1:40"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row>
    <row r="27" spans="1:40"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row>
    <row r="28" spans="1:40"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row>
    <row r="29" spans="1:40"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row>
    <row r="30" spans="1:40"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row>
    <row r="3" spans="1:40"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row>
    <row r="4" spans="1:40"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row>
    <row r="5" spans="1:40"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row>
    <row r="6" spans="1:40"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row>
    <row r="7" spans="1:40"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row>
    <row r="8" spans="1:40"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row>
    <row r="9" spans="1:40"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row>
    <row r="10" spans="1:40"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row>
    <row r="11" spans="1:40"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row>
    <row r="3" spans="1:40" x14ac:dyDescent="0.25">
      <c r="A3" s="2" t="s">
        <v>498</v>
      </c>
      <c r="B3" s="2" t="s">
        <v>501</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row>
    <row r="3" spans="1:40"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row>
    <row r="4" spans="1:40"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row>
    <row r="5" spans="1:40"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row>
    <row r="6" spans="1:40"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row>
    <row r="7" spans="1:40"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row>
    <row r="8" spans="1:40"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row>
    <row r="9" spans="1:40"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-106</v>
      </c>
      <c r="N9" s="12">
        <f ca="1">IF($C9="","",$C9+540-TODAY())</f>
        <v>354</v>
      </c>
      <c r="O9" s="6">
        <v>46177</v>
      </c>
      <c r="P9" s="5" t="s">
        <v>112</v>
      </c>
      <c r="Q9" s="5" t="s">
        <v>156</v>
      </c>
      <c r="R9" s="5" t="s">
        <v>112</v>
      </c>
      <c r="S9" s="5" t="s">
        <v>47</v>
      </c>
      <c r="T9" s="5" t="s">
        <v>506</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row>
    <row r="10" spans="1:40"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IF($F10="","",$F10+90-TODAY())</f>
        <v>-106</v>
      </c>
      <c r="N10" s="12">
        <f ca="1">IF($C10="","",$C10+365-TODAY())</f>
        <v>285</v>
      </c>
      <c r="O10" s="6">
        <v>46177</v>
      </c>
      <c r="P10" s="5" t="s">
        <v>112</v>
      </c>
      <c r="Q10" s="5" t="s">
        <v>113</v>
      </c>
      <c r="R10" s="5" t="s">
        <v>112</v>
      </c>
      <c r="S10" s="5" t="s">
        <v>47</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row>
    <row r="11" spans="1:40"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-100</v>
      </c>
      <c r="N11" s="12">
        <f ca="1">IF($C11="","",$C11+540-TODAY())</f>
        <v>365</v>
      </c>
      <c r="O11" s="6">
        <v>46183</v>
      </c>
      <c r="P11" s="5" t="s">
        <v>112</v>
      </c>
      <c r="Q11" s="5" t="s">
        <v>156</v>
      </c>
      <c r="R11" s="5" t="s">
        <v>112</v>
      </c>
      <c r="S11" s="5" t="s">
        <v>47</v>
      </c>
      <c r="T11" s="5" t="s">
        <v>506</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row>
    <row r="12" spans="1:40"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-100</v>
      </c>
      <c r="N12" s="12">
        <f ca="1">IF($C12="","",$C12+540-TODAY())</f>
        <v>477</v>
      </c>
      <c r="O12" s="6">
        <v>46183</v>
      </c>
      <c r="P12" s="5" t="s">
        <v>112</v>
      </c>
      <c r="Q12" s="5" t="s">
        <v>156</v>
      </c>
      <c r="R12" s="5" t="s">
        <v>112</v>
      </c>
      <c r="S12" s="5" t="s">
        <v>47</v>
      </c>
      <c r="T12" s="5" t="s">
        <v>506</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row>
    <row r="13" spans="1:40"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row>
    <row r="14" spans="1:40"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row>
    <row r="3" spans="1:40"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row>
    <row r="4" spans="1:40"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row>
    <row r="5" spans="1:40"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IF($C5="","",$C5+180-TODAY())</f>
        <v>32</v>
      </c>
      <c r="N5" s="12">
        <f ca="1">IF($C5="","",$C5+365-TODAY())</f>
        <v>217</v>
      </c>
      <c r="O5" s="6">
        <v>46188</v>
      </c>
      <c r="P5" s="5" t="s">
        <v>112</v>
      </c>
      <c r="Q5" s="5" t="s">
        <v>124</v>
      </c>
      <c r="R5" s="5" t="s">
        <v>45</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row>
    <row r="6" spans="1:40"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-94</v>
      </c>
      <c r="N6" s="12">
        <f ca="1">IF($C6="","",$C6+540-TODAY())</f>
        <v>477</v>
      </c>
      <c r="O6" s="6">
        <v>46189</v>
      </c>
      <c r="P6" s="5" t="s">
        <v>112</v>
      </c>
      <c r="Q6" s="5" t="s">
        <v>156</v>
      </c>
      <c r="R6" s="5" t="s">
        <v>112</v>
      </c>
      <c r="S6" s="5" t="s">
        <v>47</v>
      </c>
      <c r="T6" s="5" t="s">
        <v>506</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row>
    <row r="7" spans="1:40"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row>
    <row r="8" spans="1:40"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row>
    <row r="9" spans="1:40"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row>
    <row r="10" spans="1:40"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row>
    <row r="11" spans="1:40"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row>
    <row r="12" spans="1:40"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row>
    <row r="13" spans="1:40" x14ac:dyDescent="0.25">
      <c r="A13" s="2" t="s">
        <v>250</v>
      </c>
      <c r="B13" s="2" t="s">
        <v>484</v>
      </c>
      <c r="C13" s="3">
        <v>46146</v>
      </c>
      <c r="D13" s="4">
        <v>571612561</v>
      </c>
      <c r="E13" s="5" t="s">
        <v>408</v>
      </c>
      <c r="F13" s="6">
        <v>46098</v>
      </c>
      <c r="G13" s="5" t="s">
        <v>409</v>
      </c>
      <c r="H13" s="5" t="s">
        <v>409</v>
      </c>
      <c r="I13" s="5" t="s">
        <v>43</v>
      </c>
      <c r="J13" s="5" t="s">
        <v>385</v>
      </c>
      <c r="K13" s="16">
        <v>46278</v>
      </c>
      <c r="L13" s="12">
        <f ca="1">IF($O13="","",$O13-TODAY())</f>
        <v>-95</v>
      </c>
      <c r="M13" s="12">
        <f ca="1">IF($C13="","",$C13+365-TODAY())</f>
        <v>228</v>
      </c>
      <c r="N13" s="12">
        <f ca="1">IF($C13="","",$C13+365-TODAY())</f>
        <v>228</v>
      </c>
      <c r="O13" s="6">
        <v>46188</v>
      </c>
      <c r="P13" s="5" t="s">
        <v>112</v>
      </c>
      <c r="Q13" s="5" t="s">
        <v>410</v>
      </c>
      <c r="R13" s="5" t="s">
        <v>59</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507</v>
      </c>
    </row>
    <row r="4" spans="1:1" x14ac:dyDescent="0.25">
      <c r="A4" s="9"/>
    </row>
    <row r="5" spans="1:1" x14ac:dyDescent="0.25">
      <c r="A5" s="10" t="s">
        <v>416</v>
      </c>
    </row>
    <row r="6" spans="1:1" ht="45" x14ac:dyDescent="0.25">
      <c r="A6" s="9" t="s">
        <v>508</v>
      </c>
    </row>
    <row r="7" spans="1:1" x14ac:dyDescent="0.25">
      <c r="A7" s="9" t="s">
        <v>509</v>
      </c>
    </row>
    <row r="8" spans="1:1" x14ac:dyDescent="0.25">
      <c r="A8" s="9" t="s">
        <v>419</v>
      </c>
    </row>
    <row r="9" spans="1:1" x14ac:dyDescent="0.25">
      <c r="A9" s="9" t="s">
        <v>420</v>
      </c>
    </row>
    <row r="10" spans="1:1" x14ac:dyDescent="0.25">
      <c r="A10" s="9" t="s">
        <v>510</v>
      </c>
    </row>
    <row r="11" spans="1:1" x14ac:dyDescent="0.25">
      <c r="A11" s="9" t="s">
        <v>422</v>
      </c>
    </row>
    <row r="12" spans="1:1" x14ac:dyDescent="0.25">
      <c r="A12" s="9" t="s">
        <v>511</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512</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