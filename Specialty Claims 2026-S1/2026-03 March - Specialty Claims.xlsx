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'BH'!$A$1:$AO$32</definedName>
    <definedName name="_xlnm._FilterDatabase" localSheetId="1" hidden="1">'DME'!$A$1:$AO$11</definedName>
    <definedName name="_xlnm._FilterDatabase" localSheetId="2" hidden="1">'GAE'!$A$1:$AO$4</definedName>
    <definedName name="_xlnm._FilterDatabase" localSheetId="3" hidden="1">'ORTHO'!$A$1:$AO$16</definedName>
    <definedName name="_xlnm._FilterDatabase" localSheetId="4" hidden="1">'US'!$A$1:$AO$15</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5"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0" fontId="2" fillId="0" borderId="1" applyAlignment="1" pivotButton="0" quotePrefix="0" xfId="0">
      <alignment vertical="top" wrapText="1"/>
    </xf>
    <xf numFmtId="4" fontId="2" fillId="0" borderId="1" applyAlignment="1" pivotButton="0" quotePrefix="0" xfId="0">
      <alignment vertical="top"/>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O3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v>46126</v>
      </c>
      <c r="D2" s="5" t="n">
        <v>555140726</v>
      </c>
      <c r="E2" s="6" t="inlineStr">
        <is>
          <t>HF522230488</t>
        </is>
      </c>
      <c r="F2" s="7" t="n">
        <v>46098</v>
      </c>
      <c r="G2" s="6" t="inlineStr">
        <is>
          <t>Oscar Health</t>
        </is>
      </c>
      <c r="H2" s="6" t="inlineStr">
        <is>
          <t>Oscar Health</t>
        </is>
      </c>
      <c r="I2" s="6" t="inlineStr">
        <is>
          <t>No Payer</t>
        </is>
      </c>
      <c r="J2" s="8" t="inlineStr">
        <is>
          <t>99493 x1; 99494 x1</t>
        </is>
      </c>
      <c r="K2" s="4" t="n"/>
      <c r="L2" s="5">
        <f>IF($O2="","",$O2-TODAY())</f>
        <v/>
      </c>
      <c r="M2" s="5">
        <f>IF($F2="","",$F2+180-TODAY())</f>
        <v/>
      </c>
      <c r="N2" s="5">
        <f>IF($C2="","",$C2+180-TODAY())</f>
        <v/>
      </c>
      <c r="O2" s="7" t="n">
        <v>46278</v>
      </c>
      <c r="P2" s="6" t="inlineStr">
        <is>
          <t>180 days</t>
        </is>
      </c>
      <c r="Q2" s="6" t="inlineStr">
        <is>
          <t>OSCAR HEALTH</t>
        </is>
      </c>
      <c r="R2" s="6" t="inlineStr">
        <is>
          <t>180 days</t>
        </is>
      </c>
      <c r="S2" s="6" t="inlineStr">
        <is>
          <t>Date of service</t>
        </is>
      </c>
      <c r="T2" s="6" t="inlineStr">
        <is>
          <t>180 days</t>
        </is>
      </c>
      <c r="U2" s="6" t="inlineStr">
        <is>
          <t>Processed date</t>
        </is>
      </c>
      <c r="V2" s="6" t="n"/>
      <c r="W2" s="6" t="n"/>
      <c r="X2" s="6" t="n"/>
      <c r="Y2" s="6" t="inlineStr">
        <is>
          <t>1</t>
        </is>
      </c>
      <c r="Z2" s="9" t="n">
        <v>1372.91</v>
      </c>
      <c r="AA2" s="9" t="n">
        <v>0</v>
      </c>
      <c r="AB2" s="9" t="n">
        <v>0</v>
      </c>
      <c r="AC2" s="7" t="n">
        <v>46126</v>
      </c>
      <c r="AD2" s="9" t="n">
        <v>1372.91</v>
      </c>
      <c r="AE2" s="5" t="n">
        <v>144</v>
      </c>
      <c r="AF2" s="6" t="inlineStr">
        <is>
          <t>F4323</t>
        </is>
      </c>
      <c r="AG2" s="6" t="n"/>
      <c r="AH2" s="6" t="n"/>
      <c r="AI2" s="6" t="n"/>
      <c r="AJ2" s="5" t="n"/>
      <c r="AK2" s="6" t="inlineStr">
        <is>
          <t>HUERTA, KARLA</t>
        </is>
      </c>
      <c r="AL2" s="6" t="inlineStr">
        <is>
          <t>ASAP Peoria</t>
        </is>
      </c>
      <c r="AM2" s="7" t="n">
        <v>46119</v>
      </c>
      <c r="AN2" s="6" t="inlineStr">
        <is>
          <t>BH</t>
        </is>
      </c>
      <c r="AO2" s="6" t="inlineStr">
        <is>
          <t>391, 427</t>
        </is>
      </c>
    </row>
    <row r="3">
      <c r="A3" s="2" t="n"/>
      <c r="B3" s="3" t="n"/>
      <c r="C3" s="4" t="n">
        <v>46129</v>
      </c>
      <c r="D3" s="5" t="n">
        <v>553329086</v>
      </c>
      <c r="E3" s="6" t="inlineStr">
        <is>
          <t>HF524312806</t>
        </is>
      </c>
      <c r="F3" s="7" t="n">
        <v>46101</v>
      </c>
      <c r="G3" s="6" t="inlineStr">
        <is>
          <t>Medica Health Plan Solutions (Mayo Plan - CHI Health)</t>
        </is>
      </c>
      <c r="H3" s="6" t="inlineStr">
        <is>
          <t>Medica Health Plan Solutions (Mayo Plan - CHI Health)</t>
        </is>
      </c>
      <c r="I3" s="6" t="inlineStr">
        <is>
          <t>No Payer</t>
        </is>
      </c>
      <c r="J3" s="8" t="inlineStr">
        <is>
          <t>99494 x1; 99493 x1</t>
        </is>
      </c>
      <c r="K3" s="4" t="n"/>
      <c r="L3" s="5">
        <f>IF($O3="","",$O3-TODAY())</f>
        <v/>
      </c>
      <c r="M3" s="5">
        <f>IF($C3="","",$C3+365-TODAY())</f>
        <v/>
      </c>
      <c r="N3" s="5">
        <f>IF($C3="","",$C3+365-TODAY())</f>
        <v/>
      </c>
      <c r="O3" s="7" t="n">
        <v>46281</v>
      </c>
      <c r="P3" s="6" t="inlineStr">
        <is>
          <t>180 days</t>
        </is>
      </c>
      <c r="Q3" s="6" t="inlineStr">
        <is>
          <t>MEDICA</t>
        </is>
      </c>
      <c r="R3" s="6" t="inlineStr">
        <is>
          <t>365 days</t>
        </is>
      </c>
      <c r="S3" s="6" t="inlineStr">
        <is>
          <t>Processed date</t>
        </is>
      </c>
      <c r="T3" s="6" t="inlineStr">
        <is>
          <t>365 days</t>
        </is>
      </c>
      <c r="U3" s="6" t="inlineStr">
        <is>
          <t>Processed date</t>
        </is>
      </c>
      <c r="V3" s="6" t="n"/>
      <c r="W3" s="6" t="n"/>
      <c r="X3" s="6" t="n"/>
      <c r="Y3" s="6" t="inlineStr">
        <is>
          <t>1</t>
        </is>
      </c>
      <c r="Z3" s="9" t="n">
        <v>1372.91</v>
      </c>
      <c r="AA3" s="9" t="n">
        <v>0</v>
      </c>
      <c r="AB3" s="9" t="n">
        <v>0</v>
      </c>
      <c r="AC3" s="7" t="n">
        <v>46129</v>
      </c>
      <c r="AD3" s="9" t="n">
        <v>1372.91</v>
      </c>
      <c r="AE3" s="5" t="n">
        <v>141</v>
      </c>
      <c r="AF3" s="6" t="inlineStr">
        <is>
          <t>F411</t>
        </is>
      </c>
      <c r="AG3" s="6" t="n"/>
      <c r="AH3" s="6" t="n"/>
      <c r="AI3" s="6" t="n"/>
      <c r="AJ3" s="5" t="n"/>
      <c r="AK3" s="6" t="inlineStr">
        <is>
          <t>MEARS, CHAD</t>
        </is>
      </c>
      <c r="AL3" s="6" t="inlineStr">
        <is>
          <t>ASAP - Gilbert</t>
        </is>
      </c>
      <c r="AM3" s="7" t="n">
        <v>46119</v>
      </c>
      <c r="AN3" s="6" t="inlineStr">
        <is>
          <t>BH</t>
        </is>
      </c>
      <c r="AO3" s="6" t="inlineStr">
        <is>
          <t>345, 346</t>
        </is>
      </c>
    </row>
    <row r="4">
      <c r="A4" s="2" t="inlineStr">
        <is>
          <t>Finalized</t>
        </is>
      </c>
      <c r="B4" s="3" t="n"/>
      <c r="C4" s="4" t="n">
        <v>46141</v>
      </c>
      <c r="D4" s="5" t="n">
        <v>551389428</v>
      </c>
      <c r="E4" s="6" t="inlineStr">
        <is>
          <t>HF549983763</t>
        </is>
      </c>
      <c r="F4" s="7" t="n">
        <v>46083</v>
      </c>
      <c r="G4" s="6" t="inlineStr">
        <is>
          <t>Mutual of Omaha Insurance Company</t>
        </is>
      </c>
      <c r="H4" s="6" t="inlineStr">
        <is>
          <t>Medicare Part B Arizona *</t>
        </is>
      </c>
      <c r="I4" s="6" t="inlineStr">
        <is>
          <t>Mutual of Omaha Insurance Company</t>
        </is>
      </c>
      <c r="J4" s="8" t="inlineStr">
        <is>
          <t>99494 x1; 99492 x1</t>
        </is>
      </c>
      <c r="K4" s="4" t="n"/>
      <c r="L4" s="5">
        <f>IF($O4="","",$O4-TODAY())</f>
        <v/>
      </c>
      <c r="M4" s="5">
        <f>IF($C4="","",$C4+365-TODAY())</f>
        <v/>
      </c>
      <c r="N4" s="5">
        <f>IF($C4="","",$C4+120-TODAY())</f>
        <v/>
      </c>
      <c r="O4" s="7" t="n">
        <v>46448</v>
      </c>
      <c r="P4" s="6" t="inlineStr">
        <is>
          <t>365 days</t>
        </is>
      </c>
      <c r="Q4" s="6" t="inlineStr">
        <is>
          <t>MEDICARE</t>
        </is>
      </c>
      <c r="R4" s="6" t="inlineStr">
        <is>
          <t>365 days</t>
        </is>
      </c>
      <c r="S4" s="6" t="inlineStr">
        <is>
          <t>Processed date</t>
        </is>
      </c>
      <c r="T4" s="6" t="inlineStr">
        <is>
          <t>120 days</t>
        </is>
      </c>
      <c r="U4" s="6" t="inlineStr">
        <is>
          <t>Processed date</t>
        </is>
      </c>
      <c r="V4" s="6" t="n"/>
      <c r="W4" s="6" t="n"/>
      <c r="X4" s="6" t="n"/>
      <c r="Y4" s="6" t="inlineStr">
        <is>
          <t>1</t>
        </is>
      </c>
      <c r="Z4" s="9" t="n">
        <v>1426.25</v>
      </c>
      <c r="AA4" s="9" t="n">
        <v>1184.69</v>
      </c>
      <c r="AB4" s="9" t="n">
        <v>198.17</v>
      </c>
      <c r="AC4" s="7" t="n">
        <v>46141</v>
      </c>
      <c r="AD4" s="9" t="n">
        <v>43.39</v>
      </c>
      <c r="AE4" s="5" t="n">
        <v>159</v>
      </c>
      <c r="AF4" s="6" t="inlineStr">
        <is>
          <t>F4320</t>
        </is>
      </c>
      <c r="AG4" s="6" t="n"/>
      <c r="AH4" s="6" t="n"/>
      <c r="AI4" s="6" t="n"/>
      <c r="AJ4" s="5" t="n">
        <v>559119307</v>
      </c>
      <c r="AK4" s="6" t="inlineStr">
        <is>
          <t>TURLEY, TODD</t>
        </is>
      </c>
      <c r="AL4" s="6" t="inlineStr">
        <is>
          <t>ASAP Peoria</t>
        </is>
      </c>
      <c r="AM4" s="7" t="n">
        <v>46119</v>
      </c>
      <c r="AN4" s="6" t="inlineStr">
        <is>
          <t>BH</t>
        </is>
      </c>
      <c r="AO4" s="6" t="inlineStr">
        <is>
          <t>279, 280</t>
        </is>
      </c>
    </row>
    <row r="5">
      <c r="A5" s="2" t="inlineStr">
        <is>
          <t>Finalized</t>
        </is>
      </c>
      <c r="B5" s="3" t="n"/>
      <c r="C5" s="4" t="n">
        <v>46134</v>
      </c>
      <c r="D5" s="5" t="n">
        <v>551962197</v>
      </c>
      <c r="E5" s="6" t="inlineStr">
        <is>
          <t>HF470696196</t>
        </is>
      </c>
      <c r="F5" s="7" t="n">
        <v>46087</v>
      </c>
      <c r="G5" s="6" t="inlineStr">
        <is>
          <t>Blue Cross Blue Shield of Arizona (BCBS AZ)</t>
        </is>
      </c>
      <c r="H5" s="6" t="inlineStr">
        <is>
          <t>Medicare Part B Arizona *</t>
        </is>
      </c>
      <c r="I5" s="6" t="inlineStr">
        <is>
          <t>Blue Cross Blue Shield of Arizona (BCBS AZ)</t>
        </is>
      </c>
      <c r="J5" s="8" t="inlineStr">
        <is>
          <t>99493 x1; 99494 x2</t>
        </is>
      </c>
      <c r="K5" s="4" t="n"/>
      <c r="L5" s="5">
        <f>IF($O5="","",$O5-TODAY())</f>
        <v/>
      </c>
      <c r="M5" s="5">
        <f>IF($C5="","",$C5+365-TODAY())</f>
        <v/>
      </c>
      <c r="N5" s="5">
        <f>IF($C5="","",$C5+120-TODAY())</f>
        <v/>
      </c>
      <c r="O5" s="7" t="n">
        <v>46452</v>
      </c>
      <c r="P5" s="6" t="inlineStr">
        <is>
          <t>365 days</t>
        </is>
      </c>
      <c r="Q5" s="6" t="inlineStr">
        <is>
          <t>MEDICARE</t>
        </is>
      </c>
      <c r="R5" s="6" t="inlineStr">
        <is>
          <t>365 days</t>
        </is>
      </c>
      <c r="S5" s="6" t="inlineStr">
        <is>
          <t>Processed date</t>
        </is>
      </c>
      <c r="T5" s="6" t="inlineStr">
        <is>
          <t>120 days</t>
        </is>
      </c>
      <c r="U5" s="6" t="inlineStr">
        <is>
          <t>Processed date</t>
        </is>
      </c>
      <c r="V5" s="6" t="n"/>
      <c r="W5" s="6" t="n"/>
      <c r="X5" s="6" t="n"/>
      <c r="Y5" s="6" t="inlineStr">
        <is>
          <t>1, 2</t>
        </is>
      </c>
      <c r="Z5" s="9" t="n">
        <v>1769.18</v>
      </c>
      <c r="AA5" s="9" t="n">
        <v>1510.96</v>
      </c>
      <c r="AB5" s="9" t="n">
        <v>205.74</v>
      </c>
      <c r="AC5" s="7" t="n">
        <v>46134</v>
      </c>
      <c r="AD5" s="9" t="n">
        <v>52.48</v>
      </c>
      <c r="AE5" s="5" t="n">
        <v>155</v>
      </c>
      <c r="AF5" s="6" t="inlineStr">
        <is>
          <t>F4321</t>
        </is>
      </c>
      <c r="AG5" s="6" t="n"/>
      <c r="AH5" s="6" t="n"/>
      <c r="AI5" s="6" t="n"/>
      <c r="AJ5" s="5" t="n">
        <v>559120111</v>
      </c>
      <c r="AK5" s="6" t="inlineStr">
        <is>
          <t>SARKAR, AWNIK</t>
        </is>
      </c>
      <c r="AL5" s="6" t="inlineStr">
        <is>
          <t>ASAP - DEER VALLEY</t>
        </is>
      </c>
      <c r="AM5" s="7" t="n">
        <v>46119</v>
      </c>
      <c r="AN5" s="6" t="inlineStr">
        <is>
          <t>BH</t>
        </is>
      </c>
      <c r="AO5" s="6" t="inlineStr">
        <is>
          <t>7, 8</t>
        </is>
      </c>
    </row>
    <row r="6">
      <c r="A6" s="2" t="inlineStr">
        <is>
          <t>Finalized</t>
        </is>
      </c>
      <c r="B6" s="3" t="n"/>
      <c r="C6" s="4" t="n">
        <v>46141</v>
      </c>
      <c r="D6" s="5" t="n">
        <v>552404210</v>
      </c>
      <c r="E6" s="6" t="inlineStr">
        <is>
          <t>HF364689537</t>
        </is>
      </c>
      <c r="F6" s="7" t="n">
        <v>46092</v>
      </c>
      <c r="G6" s="6" t="inlineStr">
        <is>
          <t>Blue Cross Blue Shield of Arizona (BCBS AZ)</t>
        </is>
      </c>
      <c r="H6" s="6" t="inlineStr">
        <is>
          <t>Medicare Part B Arizona *</t>
        </is>
      </c>
      <c r="I6" s="6" t="inlineStr">
        <is>
          <t>Blue Cross Blue Shield of Arizona (BCBS AZ)</t>
        </is>
      </c>
      <c r="J6" s="8" t="inlineStr">
        <is>
          <t>99493 x1; 99494 x1</t>
        </is>
      </c>
      <c r="K6" s="4" t="n"/>
      <c r="L6" s="5">
        <f>IF($O6="","",$O6-TODAY())</f>
        <v/>
      </c>
      <c r="M6" s="5">
        <f>IF($C6="","",$C6+365-TODAY())</f>
        <v/>
      </c>
      <c r="N6" s="5">
        <f>IF($C6="","",$C6+120-TODAY())</f>
        <v/>
      </c>
      <c r="O6" s="7" t="n">
        <v>46457</v>
      </c>
      <c r="P6" s="6" t="inlineStr">
        <is>
          <t>365 days</t>
        </is>
      </c>
      <c r="Q6" s="6" t="inlineStr">
        <is>
          <t>MEDICARE</t>
        </is>
      </c>
      <c r="R6" s="6" t="inlineStr">
        <is>
          <t>365 days</t>
        </is>
      </c>
      <c r="S6" s="6" t="inlineStr">
        <is>
          <t>Processed date</t>
        </is>
      </c>
      <c r="T6" s="6" t="inlineStr">
        <is>
          <t>120 days</t>
        </is>
      </c>
      <c r="U6" s="6" t="inlineStr">
        <is>
          <t>Processed date</t>
        </is>
      </c>
      <c r="V6" s="6" t="n"/>
      <c r="W6" s="6" t="n"/>
      <c r="X6" s="6" t="n"/>
      <c r="Y6" s="6" t="inlineStr">
        <is>
          <t>1</t>
        </is>
      </c>
      <c r="Z6" s="9" t="n">
        <v>1372.91</v>
      </c>
      <c r="AA6" s="9" t="n">
        <v>1147.73</v>
      </c>
      <c r="AB6" s="9" t="n">
        <v>184.73</v>
      </c>
      <c r="AC6" s="7" t="n">
        <v>46141</v>
      </c>
      <c r="AD6" s="9" t="n">
        <v>40.45</v>
      </c>
      <c r="AE6" s="5" t="n">
        <v>150</v>
      </c>
      <c r="AF6" s="6" t="inlineStr">
        <is>
          <t>F330</t>
        </is>
      </c>
      <c r="AG6" s="6" t="n"/>
      <c r="AH6" s="6" t="n"/>
      <c r="AI6" s="6" t="n"/>
      <c r="AJ6" s="5" t="n">
        <v>559120113</v>
      </c>
      <c r="AK6" s="6" t="inlineStr">
        <is>
          <t>TURLEY, TODD</t>
        </is>
      </c>
      <c r="AL6" s="6" t="inlineStr">
        <is>
          <t>ASAP - DEER VALLEY</t>
        </is>
      </c>
      <c r="AM6" s="7" t="n">
        <v>46119</v>
      </c>
      <c r="AN6" s="6" t="inlineStr">
        <is>
          <t>BH</t>
        </is>
      </c>
      <c r="AO6" s="6" t="inlineStr">
        <is>
          <t>4, 5</t>
        </is>
      </c>
    </row>
    <row r="7">
      <c r="A7" s="2" t="n"/>
      <c r="B7" s="3" t="n"/>
      <c r="C7" s="4" t="n"/>
      <c r="D7" s="5" t="n">
        <v>552644739</v>
      </c>
      <c r="E7" s="6" t="inlineStr">
        <is>
          <t>HF550420682</t>
        </is>
      </c>
      <c r="F7" s="7" t="n">
        <v>46093</v>
      </c>
      <c r="G7" s="6" t="inlineStr">
        <is>
          <t>Medicare Part B Arizona *</t>
        </is>
      </c>
      <c r="H7" s="6" t="inlineStr">
        <is>
          <t>Medicare Part B Arizona *</t>
        </is>
      </c>
      <c r="I7" s="6" t="inlineStr">
        <is>
          <t>AARP United Healthcare</t>
        </is>
      </c>
      <c r="J7" s="8" t="inlineStr">
        <is>
          <t>99492 x1; 99494 x1</t>
        </is>
      </c>
      <c r="K7" s="4" t="n"/>
      <c r="L7" s="5">
        <f>IF($O7="","",$O7-TODAY())</f>
        <v/>
      </c>
      <c r="M7" s="5">
        <f>IF($C7="","",$C7+365-TODAY())</f>
        <v/>
      </c>
      <c r="N7" s="5">
        <f>IF($C7="","",$C7+120-TODAY())</f>
        <v/>
      </c>
      <c r="O7" s="7" t="n">
        <v>46458</v>
      </c>
      <c r="P7" s="6" t="inlineStr">
        <is>
          <t>365 days</t>
        </is>
      </c>
      <c r="Q7" s="6" t="inlineStr">
        <is>
          <t>MEDICARE</t>
        </is>
      </c>
      <c r="R7" s="6" t="inlineStr">
        <is>
          <t>365 days</t>
        </is>
      </c>
      <c r="S7" s="6" t="inlineStr">
        <is>
          <t>Processed date</t>
        </is>
      </c>
      <c r="T7" s="6" t="inlineStr">
        <is>
          <t>120 days</t>
        </is>
      </c>
      <c r="U7" s="6" t="inlineStr">
        <is>
          <t>Processed date</t>
        </is>
      </c>
      <c r="V7" s="6" t="n"/>
      <c r="W7" s="6" t="n"/>
      <c r="X7" s="6" t="n"/>
      <c r="Y7" s="6" t="inlineStr">
        <is>
          <t>1</t>
        </is>
      </c>
      <c r="Z7" s="9" t="n">
        <v>1426.25</v>
      </c>
      <c r="AA7" s="9" t="n">
        <v>0</v>
      </c>
      <c r="AB7" s="9" t="n">
        <v>0</v>
      </c>
      <c r="AC7" s="7" t="n"/>
      <c r="AD7" s="9" t="n">
        <v>1426.25</v>
      </c>
      <c r="AE7" s="5" t="n">
        <v>149</v>
      </c>
      <c r="AF7" s="6" t="inlineStr">
        <is>
          <t>F1190</t>
        </is>
      </c>
      <c r="AG7" s="6" t="n"/>
      <c r="AH7" s="6" t="n"/>
      <c r="AI7" s="6" t="n"/>
      <c r="AJ7" s="5" t="n"/>
      <c r="AK7" s="6" t="inlineStr">
        <is>
          <t>KRAUSE, JEFFREY</t>
        </is>
      </c>
      <c r="AL7" s="6" t="inlineStr">
        <is>
          <t>ASAP - DEER VALLEY</t>
        </is>
      </c>
      <c r="AM7" s="7" t="n">
        <v>46119</v>
      </c>
      <c r="AN7" s="6" t="inlineStr">
        <is>
          <t>BH</t>
        </is>
      </c>
      <c r="AO7" s="6" t="inlineStr">
        <is>
          <t>467, 468</t>
        </is>
      </c>
    </row>
    <row r="8">
      <c r="A8" s="2" t="inlineStr">
        <is>
          <t>Finalized</t>
        </is>
      </c>
      <c r="B8" s="3" t="n"/>
      <c r="C8" s="4" t="n">
        <v>46141</v>
      </c>
      <c r="D8" s="5" t="n">
        <v>552606577</v>
      </c>
      <c r="E8" s="6" t="inlineStr">
        <is>
          <t>HF544007270</t>
        </is>
      </c>
      <c r="F8" s="7" t="n">
        <v>46094</v>
      </c>
      <c r="G8" s="6" t="inlineStr">
        <is>
          <t>Bankers Life Colonial Penn Life</t>
        </is>
      </c>
      <c r="H8" s="6" t="inlineStr">
        <is>
          <t>Medicare Part B Arizona *</t>
        </is>
      </c>
      <c r="I8" s="6" t="inlineStr">
        <is>
          <t>Bankers Life Colonial Penn Life</t>
        </is>
      </c>
      <c r="J8" s="8" t="inlineStr">
        <is>
          <t>99494 x1; 99492 x1</t>
        </is>
      </c>
      <c r="K8" s="4" t="n"/>
      <c r="L8" s="5">
        <f>IF($O8="","",$O8-TODAY())</f>
        <v/>
      </c>
      <c r="M8" s="5">
        <f>IF($C8="","",$C8+365-TODAY())</f>
        <v/>
      </c>
      <c r="N8" s="5">
        <f>IF($C8="","",$C8+120-TODAY())</f>
        <v/>
      </c>
      <c r="O8" s="7" t="n">
        <v>46459</v>
      </c>
      <c r="P8" s="6" t="inlineStr">
        <is>
          <t>365 days</t>
        </is>
      </c>
      <c r="Q8" s="6" t="inlineStr">
        <is>
          <t>MEDICARE</t>
        </is>
      </c>
      <c r="R8" s="6" t="inlineStr">
        <is>
          <t>365 days</t>
        </is>
      </c>
      <c r="S8" s="6" t="inlineStr">
        <is>
          <t>Processed date</t>
        </is>
      </c>
      <c r="T8" s="6" t="inlineStr">
        <is>
          <t>120 days</t>
        </is>
      </c>
      <c r="U8" s="6" t="inlineStr">
        <is>
          <t>Processed date</t>
        </is>
      </c>
      <c r="V8" s="6" t="n"/>
      <c r="W8" s="6" t="n"/>
      <c r="X8" s="6" t="n"/>
      <c r="Y8" s="6" t="inlineStr">
        <is>
          <t>1</t>
        </is>
      </c>
      <c r="Z8" s="9" t="n">
        <v>1426.25</v>
      </c>
      <c r="AA8" s="9" t="n">
        <v>1184.69</v>
      </c>
      <c r="AB8" s="9" t="n">
        <v>198.17</v>
      </c>
      <c r="AC8" s="7" t="n">
        <v>46141</v>
      </c>
      <c r="AD8" s="9" t="n">
        <v>43.39</v>
      </c>
      <c r="AE8" s="5" t="n">
        <v>148</v>
      </c>
      <c r="AF8" s="6" t="inlineStr">
        <is>
          <t>F39</t>
        </is>
      </c>
      <c r="AG8" s="6" t="n"/>
      <c r="AH8" s="6" t="n"/>
      <c r="AI8" s="6" t="n"/>
      <c r="AJ8" s="5" t="n">
        <v>559120100</v>
      </c>
      <c r="AK8" s="6" t="inlineStr">
        <is>
          <t>LEATHEM, JARRETT</t>
        </is>
      </c>
      <c r="AL8" s="6" t="inlineStr">
        <is>
          <t>ASAP - Gilbert</t>
        </is>
      </c>
      <c r="AM8" s="7" t="n">
        <v>46119</v>
      </c>
      <c r="AN8" s="6" t="inlineStr">
        <is>
          <t>BH</t>
        </is>
      </c>
      <c r="AO8" s="6" t="inlineStr">
        <is>
          <t>178, 179</t>
        </is>
      </c>
    </row>
    <row r="9">
      <c r="A9" s="2" t="inlineStr">
        <is>
          <t>Finalized</t>
        </is>
      </c>
      <c r="B9" s="3" t="n"/>
      <c r="C9" s="4" t="n">
        <v>46210</v>
      </c>
      <c r="D9" s="5" t="n">
        <v>552857208</v>
      </c>
      <c r="E9" s="6" t="inlineStr">
        <is>
          <t>HF419012518</t>
        </is>
      </c>
      <c r="F9" s="7" t="n">
        <v>46094</v>
      </c>
      <c r="G9" s="6" t="inlineStr">
        <is>
          <t>ChampVA - HAC</t>
        </is>
      </c>
      <c r="H9" s="6" t="inlineStr">
        <is>
          <t>Medicare Part B Arizona *</t>
        </is>
      </c>
      <c r="I9" s="6" t="inlineStr">
        <is>
          <t>ChampVA - HAC</t>
        </is>
      </c>
      <c r="J9" s="8" t="inlineStr">
        <is>
          <t>99492 x1; 99494 x1</t>
        </is>
      </c>
      <c r="K9" s="4" t="n"/>
      <c r="L9" s="5">
        <f>IF($O9="","",$O9-TODAY())</f>
        <v/>
      </c>
      <c r="M9" s="5">
        <f>IF($C9="","",$C9+365-TODAY())</f>
        <v/>
      </c>
      <c r="N9" s="5">
        <f>IF($C9="","",$C9+120-TODAY())</f>
        <v/>
      </c>
      <c r="O9" s="7" t="n">
        <v>46459</v>
      </c>
      <c r="P9" s="6" t="inlineStr">
        <is>
          <t>365 days</t>
        </is>
      </c>
      <c r="Q9" s="6" t="inlineStr">
        <is>
          <t>MEDICARE</t>
        </is>
      </c>
      <c r="R9" s="6" t="inlineStr">
        <is>
          <t>365 days</t>
        </is>
      </c>
      <c r="S9" s="6" t="inlineStr">
        <is>
          <t>Processed date</t>
        </is>
      </c>
      <c r="T9" s="6" t="inlineStr">
        <is>
          <t>120 days</t>
        </is>
      </c>
      <c r="U9" s="6" t="inlineStr">
        <is>
          <t>Processed date</t>
        </is>
      </c>
      <c r="V9" s="6" t="n"/>
      <c r="W9" s="6" t="n"/>
      <c r="X9" s="6" t="n"/>
      <c r="Y9" s="6" t="inlineStr">
        <is>
          <t>1</t>
        </is>
      </c>
      <c r="Z9" s="9" t="n">
        <v>1426.25</v>
      </c>
      <c r="AA9" s="9" t="n">
        <v>1223.66</v>
      </c>
      <c r="AB9" s="9" t="n">
        <v>159.2</v>
      </c>
      <c r="AC9" s="7" t="n">
        <v>46210</v>
      </c>
      <c r="AD9" s="9" t="n">
        <v>43.39</v>
      </c>
      <c r="AE9" s="5" t="n">
        <v>148</v>
      </c>
      <c r="AF9" s="6" t="inlineStr">
        <is>
          <t>F4320</t>
        </is>
      </c>
      <c r="AG9" s="6" t="n"/>
      <c r="AH9" s="6" t="n"/>
      <c r="AI9" s="6" t="n"/>
      <c r="AJ9" s="5" t="n">
        <v>559120090</v>
      </c>
      <c r="AK9" s="6" t="inlineStr">
        <is>
          <t>O'NEIL, ROY</t>
        </is>
      </c>
      <c r="AL9" s="6" t="inlineStr">
        <is>
          <t>ASAP - DEER VALLEY</t>
        </is>
      </c>
      <c r="AM9" s="7" t="n">
        <v>46119</v>
      </c>
      <c r="AN9" s="6" t="inlineStr">
        <is>
          <t>BH</t>
        </is>
      </c>
      <c r="AO9" s="6" t="inlineStr">
        <is>
          <t>77, 78</t>
        </is>
      </c>
    </row>
    <row r="10">
      <c r="A10" s="2" t="inlineStr">
        <is>
          <t>Finalized</t>
        </is>
      </c>
      <c r="B10" s="3" t="n"/>
      <c r="C10" s="4" t="n">
        <v>46134</v>
      </c>
      <c r="D10" s="5" t="n">
        <v>554160609</v>
      </c>
      <c r="E10" s="6" t="inlineStr">
        <is>
          <t>HF329719904</t>
        </is>
      </c>
      <c r="F10" s="7" t="n">
        <v>46108</v>
      </c>
      <c r="G10" s="6" t="inlineStr">
        <is>
          <t>Mercy Care Health Plan Advantage (AHCCCS)</t>
        </is>
      </c>
      <c r="H10" s="6" t="inlineStr">
        <is>
          <t>Medicare Part B Arizona *</t>
        </is>
      </c>
      <c r="I10" s="6" t="inlineStr">
        <is>
          <t>Mercy Care Health Plan Advantage (AHCCCS)</t>
        </is>
      </c>
      <c r="J10" s="8" t="inlineStr">
        <is>
          <t>99494 x1; 99493 x1</t>
        </is>
      </c>
      <c r="K10" s="4" t="n"/>
      <c r="L10" s="5">
        <f>IF($O10="","",$O10-TODAY())</f>
        <v/>
      </c>
      <c r="M10" s="5">
        <f>IF($C10="","",$C10+365-TODAY())</f>
        <v/>
      </c>
      <c r="N10" s="5">
        <f>IF($C10="","",$C10+120-TODAY())</f>
        <v/>
      </c>
      <c r="O10" s="7" t="n">
        <v>46473</v>
      </c>
      <c r="P10" s="6" t="inlineStr">
        <is>
          <t>365 days</t>
        </is>
      </c>
      <c r="Q10" s="6" t="inlineStr">
        <is>
          <t>MEDICARE</t>
        </is>
      </c>
      <c r="R10" s="6" t="inlineStr">
        <is>
          <t>365 days</t>
        </is>
      </c>
      <c r="S10" s="6" t="inlineStr">
        <is>
          <t>Processed date</t>
        </is>
      </c>
      <c r="T10" s="6" t="inlineStr">
        <is>
          <t>120 days</t>
        </is>
      </c>
      <c r="U10" s="6" t="inlineStr">
        <is>
          <t>Processed date</t>
        </is>
      </c>
      <c r="V10" s="6" t="n"/>
      <c r="W10" s="6" t="n"/>
      <c r="X10" s="6" t="n"/>
      <c r="Y10" s="6" t="inlineStr">
        <is>
          <t>1</t>
        </is>
      </c>
      <c r="Z10" s="9" t="n">
        <v>1372.91</v>
      </c>
      <c r="AA10" s="9" t="n">
        <v>1184.44</v>
      </c>
      <c r="AB10" s="9" t="n">
        <v>148.02</v>
      </c>
      <c r="AC10" s="7" t="n">
        <v>46134</v>
      </c>
      <c r="AD10" s="9" t="n">
        <v>40.45</v>
      </c>
      <c r="AE10" s="5" t="n">
        <v>134</v>
      </c>
      <c r="AF10" s="6" t="inlineStr">
        <is>
          <t>F32A</t>
        </is>
      </c>
      <c r="AG10" s="6" t="n"/>
      <c r="AH10" s="6" t="n"/>
      <c r="AI10" s="6" t="n"/>
      <c r="AJ10" s="5" t="n">
        <v>559120425</v>
      </c>
      <c r="AK10" s="6" t="inlineStr">
        <is>
          <t>BURGHER, ABRAM</t>
        </is>
      </c>
      <c r="AL10" s="6" t="inlineStr">
        <is>
          <t>ASAP - DEER VALLEY</t>
        </is>
      </c>
      <c r="AM10" s="7" t="n">
        <v>46119</v>
      </c>
      <c r="AN10" s="6" t="inlineStr">
        <is>
          <t>BH</t>
        </is>
      </c>
      <c r="AO10" s="6" t="inlineStr">
        <is>
          <t>79, 80</t>
        </is>
      </c>
    </row>
    <row r="11">
      <c r="A11" s="2" t="n"/>
      <c r="B11" s="3" t="n"/>
      <c r="C11" s="4" t="n"/>
      <c r="D11" s="5" t="n">
        <v>555138984</v>
      </c>
      <c r="E11" s="6" t="inlineStr">
        <is>
          <t>HF444976688</t>
        </is>
      </c>
      <c r="F11" s="7" t="n">
        <v>46108</v>
      </c>
      <c r="G11" s="6" t="inlineStr">
        <is>
          <t>Medicare Part B Arizona *</t>
        </is>
      </c>
      <c r="H11" s="6" t="inlineStr">
        <is>
          <t>Medicare Part B Arizona *</t>
        </is>
      </c>
      <c r="I11" s="6" t="inlineStr">
        <is>
          <t>Blue Cross Blue Shield of Arizona (BCBS AZ)</t>
        </is>
      </c>
      <c r="J11" s="8" t="inlineStr">
        <is>
          <t>99494 x1; 99493 x1</t>
        </is>
      </c>
      <c r="K11" s="4" t="n"/>
      <c r="L11" s="5">
        <f>IF($O11="","",$O11-TODAY())</f>
        <v/>
      </c>
      <c r="M11" s="5">
        <f>IF($C11="","",$C11+365-TODAY())</f>
        <v/>
      </c>
      <c r="N11" s="5">
        <f>IF($C11="","",$C11+120-TODAY())</f>
        <v/>
      </c>
      <c r="O11" s="7" t="n">
        <v>46473</v>
      </c>
      <c r="P11" s="6" t="inlineStr">
        <is>
          <t>365 days</t>
        </is>
      </c>
      <c r="Q11" s="6" t="inlineStr">
        <is>
          <t>MEDICARE</t>
        </is>
      </c>
      <c r="R11" s="6" t="inlineStr">
        <is>
          <t>365 days</t>
        </is>
      </c>
      <c r="S11" s="6" t="inlineStr">
        <is>
          <t>Processed date</t>
        </is>
      </c>
      <c r="T11" s="6" t="inlineStr">
        <is>
          <t>120 days</t>
        </is>
      </c>
      <c r="U11" s="6" t="inlineStr">
        <is>
          <t>Processed date</t>
        </is>
      </c>
      <c r="V11" s="6" t="n"/>
      <c r="W11" s="6" t="n"/>
      <c r="X11" s="6" t="n"/>
      <c r="Y11" s="6" t="inlineStr">
        <is>
          <t>1</t>
        </is>
      </c>
      <c r="Z11" s="9" t="n">
        <v>1372.91</v>
      </c>
      <c r="AA11" s="9" t="n">
        <v>0</v>
      </c>
      <c r="AB11" s="9" t="n">
        <v>0</v>
      </c>
      <c r="AC11" s="7" t="n"/>
      <c r="AD11" s="9" t="n">
        <v>1372.91</v>
      </c>
      <c r="AE11" s="5" t="n">
        <v>134</v>
      </c>
      <c r="AF11" s="6" t="inlineStr">
        <is>
          <t>F4320</t>
        </is>
      </c>
      <c r="AG11" s="6" t="n"/>
      <c r="AH11" s="6" t="n"/>
      <c r="AI11" s="6" t="n"/>
      <c r="AJ11" s="5" t="n"/>
      <c r="AK11" s="6" t="inlineStr">
        <is>
          <t>HUERTA, KARLA</t>
        </is>
      </c>
      <c r="AL11" s="6" t="inlineStr">
        <is>
          <t>ASAP - DEER VALLEY</t>
        </is>
      </c>
      <c r="AM11" s="7" t="n">
        <v>46119</v>
      </c>
      <c r="AN11" s="6" t="inlineStr">
        <is>
          <t>BH</t>
        </is>
      </c>
      <c r="AO11" s="6" t="inlineStr">
        <is>
          <t>886, 887</t>
        </is>
      </c>
    </row>
    <row r="12">
      <c r="A12" s="2" t="n"/>
      <c r="B12" s="3" t="n"/>
      <c r="C12" s="4" t="n">
        <v>46125</v>
      </c>
      <c r="D12" s="5" t="n">
        <v>554403926</v>
      </c>
      <c r="E12" s="6" t="inlineStr">
        <is>
          <t>HF550289743</t>
        </is>
      </c>
      <c r="F12" s="7" t="n">
        <v>46111</v>
      </c>
      <c r="G12" s="6" t="inlineStr">
        <is>
          <t>Medicare Part B Arizona *</t>
        </is>
      </c>
      <c r="H12" s="6" t="inlineStr">
        <is>
          <t>Medicare Part B Arizona *</t>
        </is>
      </c>
      <c r="I12" s="6" t="inlineStr">
        <is>
          <t>Banner Medicare Advantage Prime HMO (BMAH)</t>
        </is>
      </c>
      <c r="J12" s="8" t="inlineStr">
        <is>
          <t>99492 x1; 99494 x1</t>
        </is>
      </c>
      <c r="K12" s="4" t="n"/>
      <c r="L12" s="5">
        <f>IF($O12="","",$O12-TODAY())</f>
        <v/>
      </c>
      <c r="M12" s="5">
        <f>IF($C12="","",$C12+365-TODAY())</f>
        <v/>
      </c>
      <c r="N12" s="5">
        <f>IF($C12="","",$C12+120-TODAY())</f>
        <v/>
      </c>
      <c r="O12" s="7" t="n">
        <v>46476</v>
      </c>
      <c r="P12" s="6" t="inlineStr">
        <is>
          <t>365 days</t>
        </is>
      </c>
      <c r="Q12" s="6" t="inlineStr">
        <is>
          <t>MEDICARE</t>
        </is>
      </c>
      <c r="R12" s="6" t="inlineStr">
        <is>
          <t>365 days</t>
        </is>
      </c>
      <c r="S12" s="6" t="inlineStr">
        <is>
          <t>Processed date</t>
        </is>
      </c>
      <c r="T12" s="6" t="inlineStr">
        <is>
          <t>120 days</t>
        </is>
      </c>
      <c r="U12" s="6" t="inlineStr">
        <is>
          <t>Processed date</t>
        </is>
      </c>
      <c r="V12" s="6" t="n"/>
      <c r="W12" s="6" t="n"/>
      <c r="X12" s="6" t="n"/>
      <c r="Y12" s="6" t="inlineStr">
        <is>
          <t>1</t>
        </is>
      </c>
      <c r="Z12" s="9" t="n">
        <v>1426.25</v>
      </c>
      <c r="AA12" s="9" t="n">
        <v>0</v>
      </c>
      <c r="AB12" s="9" t="n">
        <v>0</v>
      </c>
      <c r="AC12" s="7" t="n">
        <v>46125</v>
      </c>
      <c r="AD12" s="9" t="n">
        <v>1426.25</v>
      </c>
      <c r="AE12" s="5" t="n">
        <v>131</v>
      </c>
      <c r="AF12" s="6" t="inlineStr">
        <is>
          <t>F1190</t>
        </is>
      </c>
      <c r="AG12" s="6" t="n"/>
      <c r="AH12" s="6" t="n"/>
      <c r="AI12" s="6" t="n"/>
      <c r="AJ12" s="5" t="n"/>
      <c r="AK12" s="6" t="inlineStr">
        <is>
          <t>KALLGREN, MARK</t>
        </is>
      </c>
      <c r="AL12" s="6" t="inlineStr">
        <is>
          <t>ASAP Peoria</t>
        </is>
      </c>
      <c r="AM12" s="7" t="n">
        <v>46119</v>
      </c>
      <c r="AN12" s="6" t="inlineStr">
        <is>
          <t>BH</t>
        </is>
      </c>
      <c r="AO12" s="6" t="inlineStr">
        <is>
          <t>257, 264</t>
        </is>
      </c>
    </row>
    <row r="13">
      <c r="A13" s="2" t="n"/>
      <c r="B13" s="3" t="n"/>
      <c r="C13" s="4" t="n">
        <v>46134</v>
      </c>
      <c r="D13" s="5" t="n">
        <v>566722180</v>
      </c>
      <c r="E13" s="6" t="inlineStr">
        <is>
          <t>HF537685966</t>
        </is>
      </c>
      <c r="F13" s="7" t="n">
        <v>46085</v>
      </c>
      <c r="G13" s="6" t="inlineStr">
        <is>
          <t>Blue Cross Blue Shield of Arizona (BCBS AZ)</t>
        </is>
      </c>
      <c r="H13" s="6" t="inlineStr">
        <is>
          <t>Blue Cross Blue Shield of Arizona (BCBS AZ)</t>
        </is>
      </c>
      <c r="I13" s="6" t="inlineStr">
        <is>
          <t>Medicare Part B Arizona *</t>
        </is>
      </c>
      <c r="J13" s="8" t="inlineStr">
        <is>
          <t>99493 x1; 99494 x2</t>
        </is>
      </c>
      <c r="K13" s="4" t="n"/>
      <c r="L13" s="5">
        <f>IF($O13="","",$O13-TODAY())</f>
        <v/>
      </c>
      <c r="M13" s="5">
        <f>IF($C13="","",$C13+365-TODAY())</f>
        <v/>
      </c>
      <c r="N13" s="5">
        <f>IF($C13="","",$C13+365-TODAY())</f>
        <v/>
      </c>
      <c r="O13" s="7" t="n">
        <v>46175</v>
      </c>
      <c r="P13" s="6" t="inlineStr">
        <is>
          <t>90 days</t>
        </is>
      </c>
      <c r="Q13" s="6" t="inlineStr">
        <is>
          <t>BCBS</t>
        </is>
      </c>
      <c r="R13" s="6" t="inlineStr">
        <is>
          <t>365 days</t>
        </is>
      </c>
      <c r="S13" s="6" t="inlineStr">
        <is>
          <t>Processed date</t>
        </is>
      </c>
      <c r="T13" s="6" t="inlineStr">
        <is>
          <t>365 days</t>
        </is>
      </c>
      <c r="U13" s="6" t="inlineStr">
        <is>
          <t>Processed date</t>
        </is>
      </c>
      <c r="V13" s="6" t="n"/>
      <c r="W13" s="6" t="n"/>
      <c r="X13" s="6" t="n"/>
      <c r="Y13" s="6" t="inlineStr">
        <is>
          <t>1, 2</t>
        </is>
      </c>
      <c r="Z13" s="9" t="n">
        <v>1769.18</v>
      </c>
      <c r="AA13" s="9" t="n">
        <v>0</v>
      </c>
      <c r="AB13" s="9" t="n">
        <v>0</v>
      </c>
      <c r="AC13" s="7" t="n">
        <v>46134</v>
      </c>
      <c r="AD13" s="9" t="n">
        <v>1769.18</v>
      </c>
      <c r="AE13" s="5" t="n">
        <v>157</v>
      </c>
      <c r="AF13" s="6" t="inlineStr">
        <is>
          <t>F330</t>
        </is>
      </c>
      <c r="AG13" s="6" t="n"/>
      <c r="AH13" s="6" t="n"/>
      <c r="AI13" s="6" t="n"/>
      <c r="AJ13" s="5" t="n"/>
      <c r="AK13" s="6" t="inlineStr">
        <is>
          <t>BAUGHER, TIMOTHY</t>
        </is>
      </c>
      <c r="AL13" s="6" t="inlineStr">
        <is>
          <t>ASAP - Gilbert</t>
        </is>
      </c>
      <c r="AM13" s="7" t="n">
        <v>46119</v>
      </c>
      <c r="AN13" s="6" t="inlineStr">
        <is>
          <t>BH</t>
        </is>
      </c>
      <c r="AO13" s="6" t="inlineStr">
        <is>
          <t>909, 910</t>
        </is>
      </c>
    </row>
    <row r="14">
      <c r="A14" s="2" t="n"/>
      <c r="B14" s="3" t="n"/>
      <c r="C14" s="4" t="n">
        <v>46141</v>
      </c>
      <c r="D14" s="5" t="n">
        <v>551769931</v>
      </c>
      <c r="E14" s="6" t="inlineStr">
        <is>
          <t>HF372010397</t>
        </is>
      </c>
      <c r="F14" s="7" t="n">
        <v>46086</v>
      </c>
      <c r="G14" s="6" t="inlineStr">
        <is>
          <t>Optum Care Medical Network of Arizona, Utah, &amp; Washington (LifePrint)</t>
        </is>
      </c>
      <c r="H14" s="6" t="inlineStr">
        <is>
          <t>Optum Care Medical Network of Arizona, Utah, &amp; Washington (LifePrint)</t>
        </is>
      </c>
      <c r="I14" s="6" t="inlineStr">
        <is>
          <t>No Payer</t>
        </is>
      </c>
      <c r="J14" s="8" t="inlineStr">
        <is>
          <t>99493 x1; 99494 x1</t>
        </is>
      </c>
      <c r="K14" s="4" t="n"/>
      <c r="L14" s="5">
        <f>IF($O14="","",$O14-TODAY())</f>
        <v/>
      </c>
      <c r="M14" s="5">
        <f>IF($C14="","",$C14+365-TODAY())</f>
        <v/>
      </c>
      <c r="N14" s="5">
        <f>IF($C14="","",$C14+365-TODAY())</f>
        <v/>
      </c>
      <c r="O14" s="7" t="n">
        <v>46176</v>
      </c>
      <c r="P14" s="6" t="inlineStr">
        <is>
          <t>90 days</t>
        </is>
      </c>
      <c r="Q14" s="6" t="inlineStr">
        <is>
          <t>OPTUM</t>
        </is>
      </c>
      <c r="R14" s="6" t="inlineStr">
        <is>
          <t>365 days</t>
        </is>
      </c>
      <c r="S14" s="6" t="inlineStr">
        <is>
          <t>Processed date</t>
        </is>
      </c>
      <c r="T14" s="6" t="inlineStr">
        <is>
          <t>365 days</t>
        </is>
      </c>
      <c r="U14" s="6" t="inlineStr">
        <is>
          <t>Processed date</t>
        </is>
      </c>
      <c r="V14" s="6" t="n"/>
      <c r="W14" s="6" t="n"/>
      <c r="X14" s="6" t="n"/>
      <c r="Y14" s="6" t="inlineStr">
        <is>
          <t>1</t>
        </is>
      </c>
      <c r="Z14" s="9" t="n">
        <v>1372.91</v>
      </c>
      <c r="AA14" s="9" t="n">
        <v>0</v>
      </c>
      <c r="AB14" s="9" t="n">
        <v>0</v>
      </c>
      <c r="AC14" s="7" t="n">
        <v>46141</v>
      </c>
      <c r="AD14" s="9" t="n">
        <v>1372.91</v>
      </c>
      <c r="AE14" s="5" t="n">
        <v>156</v>
      </c>
      <c r="AF14" s="6" t="inlineStr">
        <is>
          <t>F1190</t>
        </is>
      </c>
      <c r="AG14" s="6" t="n"/>
      <c r="AH14" s="6" t="n"/>
      <c r="AI14" s="6" t="n"/>
      <c r="AJ14" s="5" t="n"/>
      <c r="AK14" s="6" t="inlineStr">
        <is>
          <t>LEATHEM, JARRETT</t>
        </is>
      </c>
      <c r="AL14" s="6" t="inlineStr">
        <is>
          <t>ASAP - DEER VALLEY</t>
        </is>
      </c>
      <c r="AM14" s="7" t="n">
        <v>46119</v>
      </c>
      <c r="AN14" s="6" t="inlineStr">
        <is>
          <t>BH</t>
        </is>
      </c>
      <c r="AO14" s="6" t="inlineStr">
        <is>
          <t>757, 758</t>
        </is>
      </c>
    </row>
    <row r="15">
      <c r="A15" s="2" t="inlineStr">
        <is>
          <t>Received</t>
        </is>
      </c>
      <c r="B15" s="3" t="n"/>
      <c r="C15" s="4" t="n">
        <v>46196</v>
      </c>
      <c r="D15" s="5" t="n">
        <v>551830492</v>
      </c>
      <c r="E15" s="6" t="inlineStr">
        <is>
          <t>HF417864409</t>
        </is>
      </c>
      <c r="F15" s="7" t="n">
        <v>46087</v>
      </c>
      <c r="G15" s="6" t="inlineStr">
        <is>
          <t>UnitedHealthcare Community Plan / Arizona Long Term Care</t>
        </is>
      </c>
      <c r="H15" s="6" t="inlineStr">
        <is>
          <t>United Healthcare</t>
        </is>
      </c>
      <c r="I15" s="6" t="inlineStr">
        <is>
          <t>UnitedHealthcare Community Plan / Arizona Long Term Care</t>
        </is>
      </c>
      <c r="J15" s="8" t="inlineStr">
        <is>
          <t>99492 x1; 99494 x1</t>
        </is>
      </c>
      <c r="K15" s="4" t="n"/>
      <c r="L15" s="5">
        <f>IF($O15="","",$O15-TODAY())</f>
        <v/>
      </c>
      <c r="M15" s="5">
        <f>IF($C15="","",$C15+180-TODAY())</f>
        <v/>
      </c>
      <c r="N15" s="5">
        <f>IF($C15="","",$C15+365-TODAY())</f>
        <v/>
      </c>
      <c r="O15" s="7" t="n">
        <v>46177</v>
      </c>
      <c r="P15" s="6" t="inlineStr">
        <is>
          <t>90 days</t>
        </is>
      </c>
      <c r="Q15" s="6" t="inlineStr">
        <is>
          <t>UHC COMMERCIAL</t>
        </is>
      </c>
      <c r="R15" s="6" t="inlineStr">
        <is>
          <t>180 days</t>
        </is>
      </c>
      <c r="S15" s="6" t="inlineStr">
        <is>
          <t>Processed date</t>
        </is>
      </c>
      <c r="T15" s="6" t="inlineStr">
        <is>
          <t>365 days</t>
        </is>
      </c>
      <c r="U15" s="6" t="inlineStr">
        <is>
          <t>Processed date</t>
        </is>
      </c>
      <c r="V15" s="6" t="n"/>
      <c r="W15" s="6" t="n"/>
      <c r="X15" s="6" t="n"/>
      <c r="Y15" s="6" t="inlineStr">
        <is>
          <t>1</t>
        </is>
      </c>
      <c r="Z15" s="9" t="n">
        <v>1426.25</v>
      </c>
      <c r="AA15" s="9" t="n">
        <v>1223.69</v>
      </c>
      <c r="AB15" s="9" t="n">
        <v>354.8</v>
      </c>
      <c r="AC15" s="7" t="n">
        <v>46196</v>
      </c>
      <c r="AD15" s="9" t="n">
        <v>-152.24</v>
      </c>
      <c r="AE15" s="5" t="n">
        <v>155</v>
      </c>
      <c r="AF15" s="6" t="inlineStr">
        <is>
          <t>F39</t>
        </is>
      </c>
      <c r="AG15" s="6" t="n"/>
      <c r="AH15" s="6" t="n"/>
      <c r="AI15" s="6" t="n"/>
      <c r="AJ15" s="5" t="n">
        <v>560056768</v>
      </c>
      <c r="AK15" s="6" t="inlineStr">
        <is>
          <t>LEATHEM, JARRETT</t>
        </is>
      </c>
      <c r="AL15" s="6" t="inlineStr">
        <is>
          <t>ASAP - Gilbert</t>
        </is>
      </c>
      <c r="AM15" s="7" t="n">
        <v>46119</v>
      </c>
      <c r="AN15" s="6" t="inlineStr">
        <is>
          <t>BH</t>
        </is>
      </c>
      <c r="AO15" s="6" t="inlineStr">
        <is>
          <t>261, 262</t>
        </is>
      </c>
    </row>
    <row r="16">
      <c r="A16" s="2" t="n"/>
      <c r="B16" s="3" t="n"/>
      <c r="C16" s="4" t="n">
        <v>46121</v>
      </c>
      <c r="D16" s="5" t="n">
        <v>551874008</v>
      </c>
      <c r="E16" s="6" t="inlineStr">
        <is>
          <t>HF515864933</t>
        </is>
      </c>
      <c r="F16" s="7" t="n">
        <v>46087</v>
      </c>
      <c r="G16" s="6" t="inlineStr">
        <is>
          <t>Optum Care Medical Network of Arizona, Utah, &amp; Washington (LifePrint)</t>
        </is>
      </c>
      <c r="H16" s="6" t="inlineStr">
        <is>
          <t>Optum Care Medical Network of Arizona, Utah, &amp; Washington (LifePrint)</t>
        </is>
      </c>
      <c r="I16" s="6" t="inlineStr">
        <is>
          <t>No Payer</t>
        </is>
      </c>
      <c r="J16" s="8" t="inlineStr">
        <is>
          <t>99494 x1; 99492 x1</t>
        </is>
      </c>
      <c r="K16" s="4" t="n"/>
      <c r="L16" s="5">
        <f>IF($O16="","",$O16-TODAY())</f>
        <v/>
      </c>
      <c r="M16" s="5">
        <f>IF($C16="","",$C16+365-TODAY())</f>
        <v/>
      </c>
      <c r="N16" s="5">
        <f>IF($C16="","",$C16+365-TODAY())</f>
        <v/>
      </c>
      <c r="O16" s="7" t="n">
        <v>46177</v>
      </c>
      <c r="P16" s="6" t="inlineStr">
        <is>
          <t>90 days</t>
        </is>
      </c>
      <c r="Q16" s="6" t="inlineStr">
        <is>
          <t>OPTUM</t>
        </is>
      </c>
      <c r="R16" s="6" t="inlineStr">
        <is>
          <t>365 days</t>
        </is>
      </c>
      <c r="S16" s="6" t="inlineStr">
        <is>
          <t>Processed date</t>
        </is>
      </c>
      <c r="T16" s="6" t="inlineStr">
        <is>
          <t>365 days</t>
        </is>
      </c>
      <c r="U16" s="6" t="inlineStr">
        <is>
          <t>Processed date</t>
        </is>
      </c>
      <c r="V16" s="6" t="n"/>
      <c r="W16" s="6" t="n"/>
      <c r="X16" s="6" t="n"/>
      <c r="Y16" s="6" t="inlineStr">
        <is>
          <t>1</t>
        </is>
      </c>
      <c r="Z16" s="9" t="n">
        <v>1426.25</v>
      </c>
      <c r="AA16" s="9" t="n">
        <v>0</v>
      </c>
      <c r="AB16" s="9" t="n">
        <v>0</v>
      </c>
      <c r="AC16" s="7" t="n">
        <v>46121</v>
      </c>
      <c r="AD16" s="9" t="n">
        <v>1426.25</v>
      </c>
      <c r="AE16" s="5" t="n">
        <v>155</v>
      </c>
      <c r="AF16" s="6" t="inlineStr">
        <is>
          <t>F4320</t>
        </is>
      </c>
      <c r="AG16" s="6" t="n"/>
      <c r="AH16" s="6" t="n"/>
      <c r="AI16" s="6" t="n"/>
      <c r="AJ16" s="5" t="n"/>
      <c r="AK16" s="6" t="inlineStr">
        <is>
          <t>KRAUSE, JEFFREY</t>
        </is>
      </c>
      <c r="AL16" s="6" t="inlineStr">
        <is>
          <t>ASAP - DEER VALLEY</t>
        </is>
      </c>
      <c r="AM16" s="7" t="n">
        <v>46119</v>
      </c>
      <c r="AN16" s="6" t="inlineStr">
        <is>
          <t>BH</t>
        </is>
      </c>
      <c r="AO16" s="6" t="inlineStr">
        <is>
          <t>450, 451</t>
        </is>
      </c>
    </row>
    <row r="17">
      <c r="A17" s="2" t="n"/>
      <c r="B17" s="3" t="n"/>
      <c r="C17" s="4" t="n">
        <v>46121</v>
      </c>
      <c r="D17" s="5" t="n">
        <v>552405449</v>
      </c>
      <c r="E17" s="6" t="inlineStr">
        <is>
          <t>HF509386349</t>
        </is>
      </c>
      <c r="F17" s="7" t="n">
        <v>46092</v>
      </c>
      <c r="G17" s="6" t="inlineStr">
        <is>
          <t>Optum Care Medical Network of Arizona, Utah, &amp; Washington (LifePrint)</t>
        </is>
      </c>
      <c r="H17" s="6" t="inlineStr">
        <is>
          <t>Optum Care Medical Network of Arizona, Utah, &amp; Washington (LifePrint)</t>
        </is>
      </c>
      <c r="I17" s="6" t="inlineStr">
        <is>
          <t>No Payer</t>
        </is>
      </c>
      <c r="J17" s="8" t="inlineStr">
        <is>
          <t>99492 x1; 99494 x1</t>
        </is>
      </c>
      <c r="K17" s="4" t="n"/>
      <c r="L17" s="5">
        <f>IF($O17="","",$O17-TODAY())</f>
        <v/>
      </c>
      <c r="M17" s="5">
        <f>IF($C17="","",$C17+365-TODAY())</f>
        <v/>
      </c>
      <c r="N17" s="5">
        <f>IF($C17="","",$C17+365-TODAY())</f>
        <v/>
      </c>
      <c r="O17" s="7" t="n">
        <v>46182</v>
      </c>
      <c r="P17" s="6" t="inlineStr">
        <is>
          <t>90 days</t>
        </is>
      </c>
      <c r="Q17" s="6" t="inlineStr">
        <is>
          <t>OPTUM</t>
        </is>
      </c>
      <c r="R17" s="6" t="inlineStr">
        <is>
          <t>365 days</t>
        </is>
      </c>
      <c r="S17" s="6" t="inlineStr">
        <is>
          <t>Processed date</t>
        </is>
      </c>
      <c r="T17" s="6" t="inlineStr">
        <is>
          <t>365 days</t>
        </is>
      </c>
      <c r="U17" s="6" t="inlineStr">
        <is>
          <t>Processed date</t>
        </is>
      </c>
      <c r="V17" s="6" t="n"/>
      <c r="W17" s="6" t="n"/>
      <c r="X17" s="6" t="n"/>
      <c r="Y17" s="6" t="inlineStr">
        <is>
          <t>1</t>
        </is>
      </c>
      <c r="Z17" s="9" t="n">
        <v>1426.25</v>
      </c>
      <c r="AA17" s="9" t="n">
        <v>0</v>
      </c>
      <c r="AB17" s="9" t="n">
        <v>0</v>
      </c>
      <c r="AC17" s="7" t="n">
        <v>46121</v>
      </c>
      <c r="AD17" s="9" t="n">
        <v>1426.25</v>
      </c>
      <c r="AE17" s="5" t="n">
        <v>150</v>
      </c>
      <c r="AF17" s="6" t="inlineStr">
        <is>
          <t>F1190</t>
        </is>
      </c>
      <c r="AG17" s="6" t="n"/>
      <c r="AH17" s="6" t="n"/>
      <c r="AI17" s="6" t="n"/>
      <c r="AJ17" s="5" t="n"/>
      <c r="AK17" s="6" t="inlineStr">
        <is>
          <t>O'NEIL, ROY</t>
        </is>
      </c>
      <c r="AL17" s="6" t="inlineStr">
        <is>
          <t>ASAP - DEER VALLEY</t>
        </is>
      </c>
      <c r="AM17" s="7" t="n">
        <v>46119</v>
      </c>
      <c r="AN17" s="6" t="inlineStr">
        <is>
          <t>BH</t>
        </is>
      </c>
      <c r="AO17" s="6" t="inlineStr">
        <is>
          <t>89, 90</t>
        </is>
      </c>
    </row>
    <row r="18">
      <c r="A18" s="2" t="n"/>
      <c r="B18" s="3" t="n"/>
      <c r="C18" s="4" t="n">
        <v>46223</v>
      </c>
      <c r="D18" s="5" t="n">
        <v>563362999</v>
      </c>
      <c r="E18" s="6" t="inlineStr">
        <is>
          <t>HF499452983</t>
        </is>
      </c>
      <c r="F18" s="7" t="n">
        <v>46094</v>
      </c>
      <c r="G18" s="6" t="inlineStr">
        <is>
          <t>UnitedHealthcare Community Plan / Arizona Long Term Care</t>
        </is>
      </c>
      <c r="H18" s="6" t="inlineStr">
        <is>
          <t>UnitedHealthcare Community Plan / Arizona Long Term Care</t>
        </is>
      </c>
      <c r="I18" s="6" t="inlineStr">
        <is>
          <t>No Payer</t>
        </is>
      </c>
      <c r="J18" s="8" t="inlineStr">
        <is>
          <t>99492+79 x1; 99494 x1</t>
        </is>
      </c>
      <c r="K18" s="4" t="n"/>
      <c r="L18" s="5">
        <f>IF($O18="","",$O18-TODAY())</f>
        <v/>
      </c>
      <c r="M18" s="5">
        <f>IF($C18="","",$C18+180-TODAY())</f>
        <v/>
      </c>
      <c r="N18" s="5">
        <f>IF($C18="","",$C18+365-TODAY())</f>
        <v/>
      </c>
      <c r="O18" s="7" t="n">
        <v>46184</v>
      </c>
      <c r="P18" s="6" t="inlineStr">
        <is>
          <t>90 days</t>
        </is>
      </c>
      <c r="Q18" s="6" t="inlineStr">
        <is>
          <t>UHC COMMUNITY</t>
        </is>
      </c>
      <c r="R18" s="6" t="inlineStr">
        <is>
          <t>180 days</t>
        </is>
      </c>
      <c r="S18" s="6" t="inlineStr">
        <is>
          <t>Processed date</t>
        </is>
      </c>
      <c r="T18" s="6" t="inlineStr">
        <is>
          <t>365 days</t>
        </is>
      </c>
      <c r="U18" s="6" t="inlineStr">
        <is>
          <t>Processed date</t>
        </is>
      </c>
      <c r="V18" s="6" t="inlineStr">
        <is>
          <t>79</t>
        </is>
      </c>
      <c r="W18" s="6" t="n"/>
      <c r="X18" s="6" t="n"/>
      <c r="Y18" s="6" t="inlineStr">
        <is>
          <t>1</t>
        </is>
      </c>
      <c r="Z18" s="9" t="n">
        <v>1426.25</v>
      </c>
      <c r="AA18" s="9" t="n">
        <v>0</v>
      </c>
      <c r="AB18" s="9" t="n">
        <v>0</v>
      </c>
      <c r="AC18" s="7" t="n">
        <v>46223</v>
      </c>
      <c r="AD18" s="9" t="n">
        <v>1426.25</v>
      </c>
      <c r="AE18" s="5" t="n">
        <v>148</v>
      </c>
      <c r="AF18" s="6" t="inlineStr">
        <is>
          <t>F39</t>
        </is>
      </c>
      <c r="AG18" s="6" t="n"/>
      <c r="AH18" s="6" t="n"/>
      <c r="AI18" s="6" t="n"/>
      <c r="AJ18" s="5" t="n"/>
      <c r="AK18" s="6" t="inlineStr">
        <is>
          <t>KALLGREN, MARK</t>
        </is>
      </c>
      <c r="AL18" s="6" t="inlineStr">
        <is>
          <t>ASAP - Gilbert</t>
        </is>
      </c>
      <c r="AM18" s="7" t="n">
        <v>46119</v>
      </c>
      <c r="AN18" s="6" t="inlineStr">
        <is>
          <t>BH</t>
        </is>
      </c>
      <c r="AO18" s="6" t="inlineStr">
        <is>
          <t>411, 412</t>
        </is>
      </c>
    </row>
    <row r="19">
      <c r="A19" s="2" t="n"/>
      <c r="B19" s="3" t="n"/>
      <c r="C19" s="4" t="n">
        <v>46135</v>
      </c>
      <c r="D19" s="5" t="n">
        <v>552859864</v>
      </c>
      <c r="E19" s="6" t="inlineStr">
        <is>
          <t>HF492208813</t>
        </is>
      </c>
      <c r="F19" s="7" t="n">
        <v>46097</v>
      </c>
      <c r="G19" s="6" t="inlineStr">
        <is>
          <t>Blue Cross Blue Shield of Arizona (BCBS AZ)</t>
        </is>
      </c>
      <c r="H19" s="6" t="inlineStr">
        <is>
          <t>Blue Cross Blue Shield of Arizona (BCBS AZ)</t>
        </is>
      </c>
      <c r="I19" s="6" t="inlineStr">
        <is>
          <t>Blue Cross Blue Shield of Arizona (BCBS AZ)</t>
        </is>
      </c>
      <c r="J19" s="8" t="inlineStr">
        <is>
          <t>99494 x1; 99492 x1</t>
        </is>
      </c>
      <c r="K19" s="4" t="n"/>
      <c r="L19" s="5">
        <f>IF($O19="","",$O19-TODAY())</f>
        <v/>
      </c>
      <c r="M19" s="5">
        <f>IF($C19="","",$C19+365-TODAY())</f>
        <v/>
      </c>
      <c r="N19" s="5">
        <f>IF($C19="","",$C19+365-TODAY())</f>
        <v/>
      </c>
      <c r="O19" s="7" t="n">
        <v>46187</v>
      </c>
      <c r="P19" s="6" t="inlineStr">
        <is>
          <t>90 days</t>
        </is>
      </c>
      <c r="Q19" s="6" t="inlineStr">
        <is>
          <t>BCBS</t>
        </is>
      </c>
      <c r="R19" s="6" t="inlineStr">
        <is>
          <t>365 days</t>
        </is>
      </c>
      <c r="S19" s="6" t="inlineStr">
        <is>
          <t>Processed date</t>
        </is>
      </c>
      <c r="T19" s="6" t="inlineStr">
        <is>
          <t>365 days</t>
        </is>
      </c>
      <c r="U19" s="6" t="inlineStr">
        <is>
          <t>Processed date</t>
        </is>
      </c>
      <c r="V19" s="6" t="n"/>
      <c r="W19" s="6" t="n"/>
      <c r="X19" s="6" t="n"/>
      <c r="Y19" s="6" t="inlineStr">
        <is>
          <t>1</t>
        </is>
      </c>
      <c r="Z19" s="9" t="n">
        <v>1426.25</v>
      </c>
      <c r="AA19" s="9" t="n">
        <v>0</v>
      </c>
      <c r="AB19" s="9" t="n">
        <v>0</v>
      </c>
      <c r="AC19" s="7" t="n">
        <v>46135</v>
      </c>
      <c r="AD19" s="9" t="n">
        <v>1426.25</v>
      </c>
      <c r="AE19" s="5" t="n">
        <v>145</v>
      </c>
      <c r="AF19" s="6" t="inlineStr">
        <is>
          <t>F1190</t>
        </is>
      </c>
      <c r="AG19" s="6" t="inlineStr">
        <is>
          <t>F411</t>
        </is>
      </c>
      <c r="AH19" s="6" t="n"/>
      <c r="AI19" s="6" t="n"/>
      <c r="AJ19" s="5" t="n"/>
      <c r="AK19" s="6" t="inlineStr">
        <is>
          <t>MEARS, CHAD</t>
        </is>
      </c>
      <c r="AL19" s="6" t="inlineStr">
        <is>
          <t>ASAP Peoria</t>
        </is>
      </c>
      <c r="AM19" s="7" t="n">
        <v>46119</v>
      </c>
      <c r="AN19" s="6" t="inlineStr">
        <is>
          <t>BH</t>
        </is>
      </c>
      <c r="AO19" s="6" t="inlineStr">
        <is>
          <t>760, 761</t>
        </is>
      </c>
    </row>
    <row r="20">
      <c r="A20" s="2" t="n"/>
      <c r="B20" s="3" t="n"/>
      <c r="C20" s="4" t="n">
        <v>46161</v>
      </c>
      <c r="D20" s="5" t="n">
        <v>553133483</v>
      </c>
      <c r="E20" s="6" t="inlineStr">
        <is>
          <t>HF542079660</t>
        </is>
      </c>
      <c r="F20" s="7" t="n">
        <v>46099</v>
      </c>
      <c r="G20" s="6" t="inlineStr">
        <is>
          <t>United Healthcare</t>
        </is>
      </c>
      <c r="H20" s="6" t="inlineStr">
        <is>
          <t>United Healthcare</t>
        </is>
      </c>
      <c r="I20" s="6" t="inlineStr">
        <is>
          <t>No Payer</t>
        </is>
      </c>
      <c r="J20" s="8" t="inlineStr">
        <is>
          <t>99492 x1; 99494 x1</t>
        </is>
      </c>
      <c r="K20" s="4" t="n"/>
      <c r="L20" s="5">
        <f>IF($O20="","",$O20-TODAY())</f>
        <v/>
      </c>
      <c r="M20" s="5">
        <f>IF($C20="","",$C20+180-TODAY())</f>
        <v/>
      </c>
      <c r="N20" s="5">
        <f>IF($C20="","",$C20+365-TODAY())</f>
        <v/>
      </c>
      <c r="O20" s="7" t="n">
        <v>46189</v>
      </c>
      <c r="P20" s="6" t="inlineStr">
        <is>
          <t>90 days</t>
        </is>
      </c>
      <c r="Q20" s="6" t="inlineStr">
        <is>
          <t>UHC COMMERCIAL</t>
        </is>
      </c>
      <c r="R20" s="6" t="inlineStr">
        <is>
          <t>180 days</t>
        </is>
      </c>
      <c r="S20" s="6" t="inlineStr">
        <is>
          <t>Processed date</t>
        </is>
      </c>
      <c r="T20" s="6" t="inlineStr">
        <is>
          <t>365 days</t>
        </is>
      </c>
      <c r="U20" s="6" t="inlineStr">
        <is>
          <t>Processed date</t>
        </is>
      </c>
      <c r="V20" s="6" t="n"/>
      <c r="W20" s="6" t="n"/>
      <c r="X20" s="6" t="n"/>
      <c r="Y20" s="6" t="inlineStr">
        <is>
          <t>1</t>
        </is>
      </c>
      <c r="Z20" s="9" t="n">
        <v>1426.25</v>
      </c>
      <c r="AA20" s="9" t="n">
        <v>0</v>
      </c>
      <c r="AB20" s="9" t="n">
        <v>0</v>
      </c>
      <c r="AC20" s="7" t="n">
        <v>46161</v>
      </c>
      <c r="AD20" s="9" t="n">
        <v>1426.25</v>
      </c>
      <c r="AE20" s="5" t="n">
        <v>143</v>
      </c>
      <c r="AF20" s="6" t="inlineStr">
        <is>
          <t>F39</t>
        </is>
      </c>
      <c r="AG20" s="6" t="n"/>
      <c r="AH20" s="6" t="n"/>
      <c r="AI20" s="6" t="n"/>
      <c r="AJ20" s="5" t="n"/>
      <c r="AK20" s="6" t="inlineStr">
        <is>
          <t>O'NEIL, ROY</t>
        </is>
      </c>
      <c r="AL20" s="6" t="inlineStr">
        <is>
          <t>ASAP - Gilbert</t>
        </is>
      </c>
      <c r="AM20" s="7" t="n">
        <v>46119</v>
      </c>
      <c r="AN20" s="6" t="inlineStr">
        <is>
          <t>BH</t>
        </is>
      </c>
      <c r="AO20" s="6" t="inlineStr">
        <is>
          <t>91, 92</t>
        </is>
      </c>
    </row>
    <row r="21">
      <c r="A21" s="2" t="n"/>
      <c r="B21" s="3" t="n"/>
      <c r="C21" s="4" t="n">
        <v>46167</v>
      </c>
      <c r="D21" s="5" t="n">
        <v>553148506</v>
      </c>
      <c r="E21" s="6" t="inlineStr">
        <is>
          <t>HF341023592</t>
        </is>
      </c>
      <c r="F21" s="7" t="n">
        <v>46099</v>
      </c>
      <c r="G21" s="6" t="inlineStr">
        <is>
          <t>Optum Care Medical Network of Arizona, Utah, &amp; Washington (LifePrint)</t>
        </is>
      </c>
      <c r="H21" s="6" t="inlineStr">
        <is>
          <t>Optum Care Medical Network of Arizona, Utah, &amp; Washington (LifePrint)</t>
        </is>
      </c>
      <c r="I21" s="6" t="inlineStr">
        <is>
          <t>No Payer</t>
        </is>
      </c>
      <c r="J21" s="8" t="inlineStr">
        <is>
          <t>99493 x1; 99494 x1</t>
        </is>
      </c>
      <c r="K21" s="4" t="n"/>
      <c r="L21" s="5">
        <f>IF($O21="","",$O21-TODAY())</f>
        <v/>
      </c>
      <c r="M21" s="5">
        <f>IF($C21="","",$C21+365-TODAY())</f>
        <v/>
      </c>
      <c r="N21" s="5">
        <f>IF($C21="","",$C21+365-TODAY())</f>
        <v/>
      </c>
      <c r="O21" s="7" t="n">
        <v>46189</v>
      </c>
      <c r="P21" s="6" t="inlineStr">
        <is>
          <t>90 days</t>
        </is>
      </c>
      <c r="Q21" s="6" t="inlineStr">
        <is>
          <t>OPTUM</t>
        </is>
      </c>
      <c r="R21" s="6" t="inlineStr">
        <is>
          <t>365 days</t>
        </is>
      </c>
      <c r="S21" s="6" t="inlineStr">
        <is>
          <t>Processed date</t>
        </is>
      </c>
      <c r="T21" s="6" t="inlineStr">
        <is>
          <t>365 days</t>
        </is>
      </c>
      <c r="U21" s="6" t="inlineStr">
        <is>
          <t>Processed date</t>
        </is>
      </c>
      <c r="V21" s="6" t="n"/>
      <c r="W21" s="6" t="n"/>
      <c r="X21" s="6" t="n"/>
      <c r="Y21" s="6" t="inlineStr">
        <is>
          <t>1</t>
        </is>
      </c>
      <c r="Z21" s="9" t="n">
        <v>1372.91</v>
      </c>
      <c r="AA21" s="9" t="n">
        <v>0</v>
      </c>
      <c r="AB21" s="9" t="n">
        <v>0</v>
      </c>
      <c r="AC21" s="7" t="n">
        <v>46167</v>
      </c>
      <c r="AD21" s="9" t="n">
        <v>1372.91</v>
      </c>
      <c r="AE21" s="5" t="n">
        <v>143</v>
      </c>
      <c r="AF21" s="6" t="inlineStr">
        <is>
          <t>F331</t>
        </is>
      </c>
      <c r="AG21" s="6" t="inlineStr">
        <is>
          <t>F411</t>
        </is>
      </c>
      <c r="AH21" s="6" t="n"/>
      <c r="AI21" s="6" t="n"/>
      <c r="AJ21" s="5" t="n"/>
      <c r="AK21" s="6" t="inlineStr">
        <is>
          <t>TURLEY, TODD</t>
        </is>
      </c>
      <c r="AL21" s="6" t="inlineStr">
        <is>
          <t>ASAP - Gilbert</t>
        </is>
      </c>
      <c r="AM21" s="7" t="n">
        <v>46153</v>
      </c>
      <c r="AN21" s="6" t="inlineStr">
        <is>
          <t>BH</t>
        </is>
      </c>
      <c r="AO21" s="6" t="inlineStr">
        <is>
          <t>45, 46</t>
        </is>
      </c>
    </row>
    <row r="22">
      <c r="A22" s="2" t="inlineStr">
        <is>
          <t>Received</t>
        </is>
      </c>
      <c r="B22" s="3" t="n"/>
      <c r="C22" s="4" t="n">
        <v>46185</v>
      </c>
      <c r="D22" s="5" t="n">
        <v>553362911</v>
      </c>
      <c r="E22" s="6" t="inlineStr">
        <is>
          <t>HF550612373</t>
        </is>
      </c>
      <c r="F22" s="7" t="n">
        <v>46101</v>
      </c>
      <c r="G22" s="6" t="inlineStr">
        <is>
          <t>Optum Care Medical Network of Arizona, Utah, &amp; Washington (LifePrint)</t>
        </is>
      </c>
      <c r="H22" s="6" t="inlineStr">
        <is>
          <t>Optum Care Medical Network of Arizona, Utah, &amp; Washington (LifePrint)</t>
        </is>
      </c>
      <c r="I22" s="6" t="inlineStr">
        <is>
          <t>No Payer</t>
        </is>
      </c>
      <c r="J22" s="8" t="inlineStr">
        <is>
          <t>99492 x1; 99494 x1</t>
        </is>
      </c>
      <c r="K22" s="4" t="n"/>
      <c r="L22" s="5">
        <f>IF($O22="","",$O22-TODAY())</f>
        <v/>
      </c>
      <c r="M22" s="5">
        <f>IF($C22="","",$C22+365-TODAY())</f>
        <v/>
      </c>
      <c r="N22" s="5">
        <f>IF($C22="","",$C22+365-TODAY())</f>
        <v/>
      </c>
      <c r="O22" s="7" t="n">
        <v>46191</v>
      </c>
      <c r="P22" s="6" t="inlineStr">
        <is>
          <t>90 days</t>
        </is>
      </c>
      <c r="Q22" s="6" t="inlineStr">
        <is>
          <t>OPTUM</t>
        </is>
      </c>
      <c r="R22" s="6" t="inlineStr">
        <is>
          <t>365 days</t>
        </is>
      </c>
      <c r="S22" s="6" t="inlineStr">
        <is>
          <t>Processed date</t>
        </is>
      </c>
      <c r="T22" s="6" t="inlineStr">
        <is>
          <t>365 days</t>
        </is>
      </c>
      <c r="U22" s="6" t="inlineStr">
        <is>
          <t>Processed date</t>
        </is>
      </c>
      <c r="V22" s="6" t="n"/>
      <c r="W22" s="6" t="n"/>
      <c r="X22" s="6" t="n"/>
      <c r="Y22" s="6" t="inlineStr">
        <is>
          <t>1</t>
        </is>
      </c>
      <c r="Z22" s="9" t="n">
        <v>1426.25</v>
      </c>
      <c r="AA22" s="9" t="n">
        <v>1245.54</v>
      </c>
      <c r="AB22" s="9" t="n">
        <v>361.42</v>
      </c>
      <c r="AC22" s="7" t="n">
        <v>46185</v>
      </c>
      <c r="AD22" s="9" t="n">
        <v>-180.71</v>
      </c>
      <c r="AE22" s="5" t="n">
        <v>141</v>
      </c>
      <c r="AF22" s="6" t="inlineStr">
        <is>
          <t>F4320</t>
        </is>
      </c>
      <c r="AG22" s="6" t="n"/>
      <c r="AH22" s="6" t="n"/>
      <c r="AI22" s="6" t="n"/>
      <c r="AJ22" s="5" t="n"/>
      <c r="AK22" s="6" t="inlineStr">
        <is>
          <t>MEARS, CHAD</t>
        </is>
      </c>
      <c r="AL22" s="6" t="inlineStr">
        <is>
          <t>ASAP - DEER VALLEY</t>
        </is>
      </c>
      <c r="AM22" s="7" t="n">
        <v>46119</v>
      </c>
      <c r="AN22" s="6" t="inlineStr">
        <is>
          <t>BH</t>
        </is>
      </c>
      <c r="AO22" s="6" t="inlineStr">
        <is>
          <t>656, 657</t>
        </is>
      </c>
    </row>
    <row r="23">
      <c r="A23" s="2" t="n"/>
      <c r="B23" s="3" t="n"/>
      <c r="C23" s="4" t="n">
        <v>46124</v>
      </c>
      <c r="D23" s="5" t="n">
        <v>553498942</v>
      </c>
      <c r="E23" s="6" t="inlineStr">
        <is>
          <t>HF549281205</t>
        </is>
      </c>
      <c r="F23" s="7" t="n">
        <v>46101</v>
      </c>
      <c r="G23" s="6" t="inlineStr">
        <is>
          <t>Blue Cross Blue Shield of Arizona (BCBS AZ)</t>
        </is>
      </c>
      <c r="H23" s="6" t="inlineStr">
        <is>
          <t>Blue Cross Blue Shield of Arizona (BCBS AZ)</t>
        </is>
      </c>
      <c r="I23" s="6" t="inlineStr">
        <is>
          <t>No Payer</t>
        </is>
      </c>
      <c r="J23" s="8" t="inlineStr">
        <is>
          <t>99494 x1; 99492 x1</t>
        </is>
      </c>
      <c r="K23" s="4" t="n"/>
      <c r="L23" s="5">
        <f>IF($O23="","",$O23-TODAY())</f>
        <v/>
      </c>
      <c r="M23" s="5">
        <f>IF($C23="","",$C23+365-TODAY())</f>
        <v/>
      </c>
      <c r="N23" s="5">
        <f>IF($C23="","",$C23+365-TODAY())</f>
        <v/>
      </c>
      <c r="O23" s="7" t="n">
        <v>46191</v>
      </c>
      <c r="P23" s="6" t="inlineStr">
        <is>
          <t>90 days</t>
        </is>
      </c>
      <c r="Q23" s="6" t="inlineStr">
        <is>
          <t>BCBS</t>
        </is>
      </c>
      <c r="R23" s="6" t="inlineStr">
        <is>
          <t>365 days</t>
        </is>
      </c>
      <c r="S23" s="6" t="inlineStr">
        <is>
          <t>Processed date</t>
        </is>
      </c>
      <c r="T23" s="6" t="inlineStr">
        <is>
          <t>365 days</t>
        </is>
      </c>
      <c r="U23" s="6" t="inlineStr">
        <is>
          <t>Processed date</t>
        </is>
      </c>
      <c r="V23" s="6" t="n"/>
      <c r="W23" s="6" t="n"/>
      <c r="X23" s="6" t="n"/>
      <c r="Y23" s="6" t="inlineStr">
        <is>
          <t>1</t>
        </is>
      </c>
      <c r="Z23" s="9" t="n">
        <v>1426.25</v>
      </c>
      <c r="AA23" s="9" t="n">
        <v>0</v>
      </c>
      <c r="AB23" s="9" t="n">
        <v>0</v>
      </c>
      <c r="AC23" s="7" t="n">
        <v>46124</v>
      </c>
      <c r="AD23" s="9" t="n">
        <v>1426.25</v>
      </c>
      <c r="AE23" s="5" t="n">
        <v>141</v>
      </c>
      <c r="AF23" s="6" t="inlineStr">
        <is>
          <t>F4320</t>
        </is>
      </c>
      <c r="AG23" s="6" t="n"/>
      <c r="AH23" s="6" t="n"/>
      <c r="AI23" s="6" t="n"/>
      <c r="AJ23" s="5" t="n"/>
      <c r="AK23" s="6" t="inlineStr">
        <is>
          <t>MORALES, DAVID</t>
        </is>
      </c>
      <c r="AL23" s="6" t="inlineStr">
        <is>
          <t>ASAP - DEER VALLEY</t>
        </is>
      </c>
      <c r="AM23" s="7" t="n">
        <v>46119</v>
      </c>
      <c r="AN23" s="6" t="inlineStr">
        <is>
          <t>BH</t>
        </is>
      </c>
      <c r="AO23" s="6" t="inlineStr">
        <is>
          <t>93, 94</t>
        </is>
      </c>
    </row>
    <row r="24">
      <c r="A24" s="2" t="n"/>
      <c r="B24" s="3" t="n"/>
      <c r="C24" s="4" t="n">
        <v>46141</v>
      </c>
      <c r="D24" s="5" t="n">
        <v>555169750</v>
      </c>
      <c r="E24" s="6" t="inlineStr">
        <is>
          <t>HF341023592</t>
        </is>
      </c>
      <c r="F24" s="7" t="n">
        <v>46104</v>
      </c>
      <c r="G24" s="6" t="inlineStr">
        <is>
          <t>Optum Care Medical Network of Arizona, Utah, &amp; Washington (LifePrint)</t>
        </is>
      </c>
      <c r="H24" s="6" t="inlineStr">
        <is>
          <t>Optum Care Medical Network of Arizona, Utah, &amp; Washington (LifePrint)</t>
        </is>
      </c>
      <c r="I24" s="6" t="inlineStr">
        <is>
          <t>No Payer</t>
        </is>
      </c>
      <c r="J24" s="8" t="inlineStr">
        <is>
          <t>99494 x1</t>
        </is>
      </c>
      <c r="K24" s="4" t="n"/>
      <c r="L24" s="5">
        <f>IF($O24="","",$O24-TODAY())</f>
        <v/>
      </c>
      <c r="M24" s="5">
        <f>IF($C24="","",$C24+365-TODAY())</f>
        <v/>
      </c>
      <c r="N24" s="5">
        <f>IF($C24="","",$C24+365-TODAY())</f>
        <v/>
      </c>
      <c r="O24" s="7" t="n">
        <v>46194</v>
      </c>
      <c r="P24" s="6" t="inlineStr">
        <is>
          <t>90 days</t>
        </is>
      </c>
      <c r="Q24" s="6" t="inlineStr">
        <is>
          <t>OPTUM</t>
        </is>
      </c>
      <c r="R24" s="6" t="inlineStr">
        <is>
          <t>365 days</t>
        </is>
      </c>
      <c r="S24" s="6" t="inlineStr">
        <is>
          <t>Processed date</t>
        </is>
      </c>
      <c r="T24" s="6" t="inlineStr">
        <is>
          <t>365 days</t>
        </is>
      </c>
      <c r="U24" s="6" t="inlineStr">
        <is>
          <t>Processed date</t>
        </is>
      </c>
      <c r="V24" s="6" t="n"/>
      <c r="W24" s="6" t="n"/>
      <c r="X24" s="6" t="n"/>
      <c r="Y24" s="6" t="inlineStr">
        <is>
          <t>1</t>
        </is>
      </c>
      <c r="Z24" s="9" t="n">
        <v>396.27</v>
      </c>
      <c r="AA24" s="9" t="n">
        <v>0</v>
      </c>
      <c r="AB24" s="9" t="n">
        <v>0</v>
      </c>
      <c r="AC24" s="7" t="n">
        <v>46141</v>
      </c>
      <c r="AD24" s="9" t="n">
        <v>396.27</v>
      </c>
      <c r="AE24" s="5" t="n">
        <v>138</v>
      </c>
      <c r="AF24" s="6" t="inlineStr">
        <is>
          <t>M5417</t>
        </is>
      </c>
      <c r="AG24" s="6" t="inlineStr">
        <is>
          <t>Z79891</t>
        </is>
      </c>
      <c r="AH24" s="6" t="n"/>
      <c r="AI24" s="6" t="n"/>
      <c r="AJ24" s="5" t="n"/>
      <c r="AK24" s="6" t="inlineStr">
        <is>
          <t>TURLEY, TODD</t>
        </is>
      </c>
      <c r="AL24" s="6" t="inlineStr">
        <is>
          <t>ASAP - Biltmore</t>
        </is>
      </c>
      <c r="AM24" s="7" t="n">
        <v>46105</v>
      </c>
      <c r="AN24" s="6" t="inlineStr">
        <is>
          <t>BH</t>
        </is>
      </c>
      <c r="AO24" s="6" t="inlineStr">
        <is>
          <t>428</t>
        </is>
      </c>
    </row>
    <row r="25">
      <c r="A25" s="2" t="inlineStr">
        <is>
          <t>Finalized</t>
        </is>
      </c>
      <c r="B25" s="3" t="n"/>
      <c r="C25" s="4" t="n">
        <v>46123</v>
      </c>
      <c r="D25" s="5" t="n">
        <v>554246495</v>
      </c>
      <c r="E25" s="6" t="inlineStr">
        <is>
          <t>HF545223898</t>
        </is>
      </c>
      <c r="F25" s="7" t="n">
        <v>46106</v>
      </c>
      <c r="G25" s="6" t="inlineStr">
        <is>
          <t>ChampVA - HAC</t>
        </is>
      </c>
      <c r="H25" s="6" t="inlineStr">
        <is>
          <t>Humana Gold Plus HMO</t>
        </is>
      </c>
      <c r="I25" s="6" t="inlineStr">
        <is>
          <t>ChampVA - HAC</t>
        </is>
      </c>
      <c r="J25" s="8" t="inlineStr">
        <is>
          <t>99492 x1</t>
        </is>
      </c>
      <c r="K25" s="4" t="n"/>
      <c r="L25" s="5">
        <f>IF($O25="","",$O25-TODAY())</f>
        <v/>
      </c>
      <c r="M25" s="5">
        <f>IF($F25="","",$F25+90-TODAY())</f>
        <v/>
      </c>
      <c r="N25" s="5">
        <f>IF($C25="","",$C25+60-TODAY())</f>
        <v/>
      </c>
      <c r="O25" s="7" t="n">
        <v>46196</v>
      </c>
      <c r="P25" s="6" t="inlineStr">
        <is>
          <t>90 days</t>
        </is>
      </c>
      <c r="Q25" s="6" t="inlineStr">
        <is>
          <t>HUMANA MA</t>
        </is>
      </c>
      <c r="R25" s="6" t="inlineStr">
        <is>
          <t>90 days</t>
        </is>
      </c>
      <c r="S25" s="6" t="inlineStr">
        <is>
          <t>Date of service</t>
        </is>
      </c>
      <c r="T25" s="6" t="inlineStr">
        <is>
          <t>60 days</t>
        </is>
      </c>
      <c r="U25" s="6" t="inlineStr">
        <is>
          <t>Processed date</t>
        </is>
      </c>
      <c r="V25" s="6" t="n"/>
      <c r="W25" s="6" t="n"/>
      <c r="X25" s="6" t="n"/>
      <c r="Y25" s="6" t="inlineStr">
        <is>
          <t>1</t>
        </is>
      </c>
      <c r="Z25" s="9" t="n">
        <v>1029.98</v>
      </c>
      <c r="AA25" s="9" t="n">
        <v>883.53</v>
      </c>
      <c r="AB25" s="9" t="n">
        <v>121.45</v>
      </c>
      <c r="AC25" s="7" t="n">
        <v>46123</v>
      </c>
      <c r="AD25" s="9" t="n">
        <v>25</v>
      </c>
      <c r="AE25" s="5" t="n">
        <v>136</v>
      </c>
      <c r="AF25" s="6" t="inlineStr">
        <is>
          <t>F4323</t>
        </is>
      </c>
      <c r="AG25" s="6" t="n"/>
      <c r="AH25" s="6" t="n"/>
      <c r="AI25" s="6" t="n"/>
      <c r="AJ25" s="5" t="n">
        <v>557570817</v>
      </c>
      <c r="AK25" s="6" t="inlineStr">
        <is>
          <t>BURGHER, ABRAM</t>
        </is>
      </c>
      <c r="AL25" s="6" t="inlineStr">
        <is>
          <t>ASAP - DEER VALLEY</t>
        </is>
      </c>
      <c r="AM25" s="7" t="n">
        <v>46119</v>
      </c>
      <c r="AN25" s="6" t="inlineStr">
        <is>
          <t>BH</t>
        </is>
      </c>
      <c r="AO25" s="6" t="inlineStr">
        <is>
          <t>2</t>
        </is>
      </c>
    </row>
    <row r="26">
      <c r="A26" s="2" t="n"/>
      <c r="B26" s="3" t="n"/>
      <c r="C26" s="4" t="n">
        <v>46141</v>
      </c>
      <c r="D26" s="5" t="n">
        <v>554088972</v>
      </c>
      <c r="E26" s="6" t="inlineStr">
        <is>
          <t>HF443112560</t>
        </is>
      </c>
      <c r="F26" s="7" t="n">
        <v>46108</v>
      </c>
      <c r="G26" s="6" t="inlineStr">
        <is>
          <t>Optum Care Medical Network of Arizona, Utah, &amp; Washington (LifePrint)</t>
        </is>
      </c>
      <c r="H26" s="6" t="inlineStr">
        <is>
          <t>Optum Care Medical Network of Arizona, Utah, &amp; Washington (LifePrint)</t>
        </is>
      </c>
      <c r="I26" s="6" t="inlineStr">
        <is>
          <t>No Payer</t>
        </is>
      </c>
      <c r="J26" s="8" t="inlineStr">
        <is>
          <t>99494 x1; 99493 x1</t>
        </is>
      </c>
      <c r="K26" s="4" t="n"/>
      <c r="L26" s="5">
        <f>IF($O26="","",$O26-TODAY())</f>
        <v/>
      </c>
      <c r="M26" s="5">
        <f>IF($C26="","",$C26+365-TODAY())</f>
        <v/>
      </c>
      <c r="N26" s="5">
        <f>IF($C26="","",$C26+365-TODAY())</f>
        <v/>
      </c>
      <c r="O26" s="7" t="n">
        <v>46198</v>
      </c>
      <c r="P26" s="6" t="inlineStr">
        <is>
          <t>90 days</t>
        </is>
      </c>
      <c r="Q26" s="6" t="inlineStr">
        <is>
          <t>OPTUM</t>
        </is>
      </c>
      <c r="R26" s="6" t="inlineStr">
        <is>
          <t>365 days</t>
        </is>
      </c>
      <c r="S26" s="6" t="inlineStr">
        <is>
          <t>Processed date</t>
        </is>
      </c>
      <c r="T26" s="6" t="inlineStr">
        <is>
          <t>365 days</t>
        </is>
      </c>
      <c r="U26" s="6" t="inlineStr">
        <is>
          <t>Processed date</t>
        </is>
      </c>
      <c r="V26" s="6" t="n"/>
      <c r="W26" s="6" t="n"/>
      <c r="X26" s="6" t="n"/>
      <c r="Y26" s="6" t="inlineStr">
        <is>
          <t>1</t>
        </is>
      </c>
      <c r="Z26" s="9" t="n">
        <v>1372.91</v>
      </c>
      <c r="AA26" s="9" t="n">
        <v>0</v>
      </c>
      <c r="AB26" s="9" t="n">
        <v>0</v>
      </c>
      <c r="AC26" s="7" t="n">
        <v>46141</v>
      </c>
      <c r="AD26" s="9" t="n">
        <v>1372.91</v>
      </c>
      <c r="AE26" s="5" t="n">
        <v>134</v>
      </c>
      <c r="AF26" s="6" t="inlineStr">
        <is>
          <t>F1190</t>
        </is>
      </c>
      <c r="AG26" s="6" t="n"/>
      <c r="AH26" s="6" t="n"/>
      <c r="AI26" s="6" t="n"/>
      <c r="AJ26" s="5" t="n"/>
      <c r="AK26" s="6" t="inlineStr">
        <is>
          <t>LEATHEM, JARRETT</t>
        </is>
      </c>
      <c r="AL26" s="6" t="inlineStr">
        <is>
          <t>ASAP - Gilbert</t>
        </is>
      </c>
      <c r="AM26" s="7" t="n">
        <v>46119</v>
      </c>
      <c r="AN26" s="6" t="inlineStr">
        <is>
          <t>BH</t>
        </is>
      </c>
      <c r="AO26" s="6" t="inlineStr">
        <is>
          <t>141, 142</t>
        </is>
      </c>
    </row>
    <row r="27">
      <c r="A27" s="2" t="n"/>
      <c r="B27" s="3" t="n"/>
      <c r="C27" s="4" t="n">
        <v>46197</v>
      </c>
      <c r="D27" s="5" t="n">
        <v>563362114</v>
      </c>
      <c r="E27" s="6" t="inlineStr">
        <is>
          <t>HF481780302</t>
        </is>
      </c>
      <c r="F27" s="7" t="n">
        <v>46108</v>
      </c>
      <c r="G27" s="6" t="inlineStr">
        <is>
          <t>UnitedHealthcare Community Plan / Arizona Long Term Care</t>
        </is>
      </c>
      <c r="H27" s="6" t="inlineStr">
        <is>
          <t>UnitedHealthcare Community Plan / Arizona Long Term Care</t>
        </is>
      </c>
      <c r="I27" s="6" t="inlineStr">
        <is>
          <t>No Payer</t>
        </is>
      </c>
      <c r="J27" s="8" t="inlineStr">
        <is>
          <t>99494 x1; 99492+79 x1</t>
        </is>
      </c>
      <c r="K27" s="4" t="n"/>
      <c r="L27" s="5">
        <f>IF($O27="","",$O27-TODAY())</f>
        <v/>
      </c>
      <c r="M27" s="5">
        <f>IF($C27="","",$C27+180-TODAY())</f>
        <v/>
      </c>
      <c r="N27" s="5">
        <f>IF($C27="","",$C27+365-TODAY())</f>
        <v/>
      </c>
      <c r="O27" s="7" t="n">
        <v>46198</v>
      </c>
      <c r="P27" s="6" t="inlineStr">
        <is>
          <t>90 days</t>
        </is>
      </c>
      <c r="Q27" s="6" t="inlineStr">
        <is>
          <t>UHC COMMUNITY</t>
        </is>
      </c>
      <c r="R27" s="6" t="inlineStr">
        <is>
          <t>180 days</t>
        </is>
      </c>
      <c r="S27" s="6" t="inlineStr">
        <is>
          <t>Processed date</t>
        </is>
      </c>
      <c r="T27" s="6" t="inlineStr">
        <is>
          <t>365 days</t>
        </is>
      </c>
      <c r="U27" s="6" t="inlineStr">
        <is>
          <t>Processed date</t>
        </is>
      </c>
      <c r="V27" s="6" t="inlineStr">
        <is>
          <t>79</t>
        </is>
      </c>
      <c r="W27" s="6" t="n"/>
      <c r="X27" s="6" t="n"/>
      <c r="Y27" s="6" t="inlineStr">
        <is>
          <t>1</t>
        </is>
      </c>
      <c r="Z27" s="9" t="n">
        <v>1426.25</v>
      </c>
      <c r="AA27" s="9" t="n">
        <v>0</v>
      </c>
      <c r="AB27" s="9" t="n">
        <v>0</v>
      </c>
      <c r="AC27" s="7" t="n">
        <v>46197</v>
      </c>
      <c r="AD27" s="9" t="n">
        <v>1426.25</v>
      </c>
      <c r="AE27" s="5" t="n">
        <v>134</v>
      </c>
      <c r="AF27" s="6" t="inlineStr">
        <is>
          <t>F1190</t>
        </is>
      </c>
      <c r="AG27" s="6" t="n"/>
      <c r="AH27" s="6" t="n"/>
      <c r="AI27" s="6" t="n"/>
      <c r="AJ27" s="5" t="n"/>
      <c r="AK27" s="6" t="inlineStr">
        <is>
          <t>LEATHEM, JARRETT</t>
        </is>
      </c>
      <c r="AL27" s="6" t="inlineStr">
        <is>
          <t>ASAP - Gilbert</t>
        </is>
      </c>
      <c r="AM27" s="7" t="n">
        <v>46119</v>
      </c>
      <c r="AN27" s="6" t="inlineStr">
        <is>
          <t>BH</t>
        </is>
      </c>
      <c r="AO27" s="6" t="inlineStr">
        <is>
          <t>207, 208</t>
        </is>
      </c>
    </row>
    <row r="28">
      <c r="A28" s="2" t="n"/>
      <c r="B28" s="3" t="n"/>
      <c r="C28" s="4" t="n">
        <v>46184</v>
      </c>
      <c r="D28" s="5" t="n">
        <v>553283455</v>
      </c>
      <c r="E28" s="6" t="inlineStr">
        <is>
          <t>HF330559209</t>
        </is>
      </c>
      <c r="F28" s="7" t="n">
        <v>46100</v>
      </c>
      <c r="G28" s="6" t="inlineStr">
        <is>
          <t>Banner Aetna</t>
        </is>
      </c>
      <c r="H28" s="6" t="inlineStr">
        <is>
          <t>Banner Aetna</t>
        </is>
      </c>
      <c r="I28" s="6" t="inlineStr">
        <is>
          <t>No Payer</t>
        </is>
      </c>
      <c r="J28" s="8" t="inlineStr">
        <is>
          <t>99492 x1; 99494 x1</t>
        </is>
      </c>
      <c r="K28" s="4" t="n"/>
      <c r="L28" s="5">
        <f>IF($O28="","",$O28-TODAY())</f>
        <v/>
      </c>
      <c r="M28" s="5">
        <f>IF($C28="","",$C28+180-TODAY())</f>
        <v/>
      </c>
      <c r="N28" s="5">
        <f>IF($C28="","",$C28+180-TODAY())</f>
        <v/>
      </c>
      <c r="O28" s="7" t="n">
        <v>46220</v>
      </c>
      <c r="P28" s="6" t="inlineStr">
        <is>
          <t>120 days</t>
        </is>
      </c>
      <c r="Q28" s="6" t="inlineStr">
        <is>
          <t>BANNER HEALTH &amp; AETNA</t>
        </is>
      </c>
      <c r="R28" s="6" t="inlineStr">
        <is>
          <t>180 days</t>
        </is>
      </c>
      <c r="S28" s="6" t="inlineStr">
        <is>
          <t>Processed date</t>
        </is>
      </c>
      <c r="T28" s="6" t="inlineStr">
        <is>
          <t>180 days</t>
        </is>
      </c>
      <c r="U28" s="6" t="inlineStr">
        <is>
          <t>Processed date</t>
        </is>
      </c>
      <c r="V28" s="6" t="n"/>
      <c r="W28" s="6" t="n"/>
      <c r="X28" s="6" t="n"/>
      <c r="Y28" s="6" t="inlineStr">
        <is>
          <t>1</t>
        </is>
      </c>
      <c r="Z28" s="9" t="n">
        <v>1426.25</v>
      </c>
      <c r="AA28" s="9" t="n">
        <v>0</v>
      </c>
      <c r="AB28" s="9" t="n">
        <v>0</v>
      </c>
      <c r="AC28" s="7" t="n">
        <v>46184</v>
      </c>
      <c r="AD28" s="9" t="n">
        <v>1426.25</v>
      </c>
      <c r="AE28" s="5" t="n">
        <v>142</v>
      </c>
      <c r="AF28" s="6" t="inlineStr">
        <is>
          <t>F4323</t>
        </is>
      </c>
      <c r="AG28" s="6" t="n"/>
      <c r="AH28" s="6" t="n"/>
      <c r="AI28" s="6" t="n"/>
      <c r="AJ28" s="5" t="n"/>
      <c r="AK28" s="6" t="inlineStr">
        <is>
          <t>O'NEIL, ROY</t>
        </is>
      </c>
      <c r="AL28" s="6" t="inlineStr">
        <is>
          <t>ASAP - DEER VALLEY</t>
        </is>
      </c>
      <c r="AM28" s="7" t="n">
        <v>46119</v>
      </c>
      <c r="AN28" s="6" t="inlineStr">
        <is>
          <t>BH</t>
        </is>
      </c>
      <c r="AO28" s="6" t="inlineStr">
        <is>
          <t>762, 763</t>
        </is>
      </c>
    </row>
    <row r="29">
      <c r="A29" s="2" t="n"/>
      <c r="B29" s="3" t="n"/>
      <c r="C29" s="4" t="n">
        <v>46128</v>
      </c>
      <c r="D29" s="5" t="n">
        <v>554404221</v>
      </c>
      <c r="E29" s="6" t="inlineStr">
        <is>
          <t>HF525117988</t>
        </is>
      </c>
      <c r="F29" s="7" t="n">
        <v>46112</v>
      </c>
      <c r="G29" s="6" t="inlineStr">
        <is>
          <t>TRIWEST VA CCN CLAIMS</t>
        </is>
      </c>
      <c r="H29" s="6" t="inlineStr">
        <is>
          <t>TRIWEST VA CCN CLAIMS</t>
        </is>
      </c>
      <c r="I29" s="6" t="inlineStr">
        <is>
          <t>No Payer</t>
        </is>
      </c>
      <c r="J29" s="8" t="inlineStr">
        <is>
          <t>99493 x1</t>
        </is>
      </c>
      <c r="K29" s="4" t="n"/>
      <c r="L29" s="5">
        <f>IF($O29="","",$O29-TODAY())</f>
        <v/>
      </c>
      <c r="M29" s="5">
        <f>IF($C29="","",$C29+365-TODAY())</f>
        <v/>
      </c>
      <c r="N29" s="5">
        <f>IF($C29="","",$C29+90-TODAY())</f>
        <v/>
      </c>
      <c r="O29" s="7" t="n">
        <v>46232</v>
      </c>
      <c r="P29" s="6" t="inlineStr">
        <is>
          <t>120 days</t>
        </is>
      </c>
      <c r="Q29" s="6" t="inlineStr">
        <is>
          <t>TRIWEST</t>
        </is>
      </c>
      <c r="R29" s="6" t="inlineStr">
        <is>
          <t>365 days</t>
        </is>
      </c>
      <c r="S29" s="6" t="inlineStr">
        <is>
          <t>Processed date</t>
        </is>
      </c>
      <c r="T29" s="6" t="inlineStr">
        <is>
          <t>90 days</t>
        </is>
      </c>
      <c r="U29" s="6" t="inlineStr">
        <is>
          <t>Processed date</t>
        </is>
      </c>
      <c r="V29" s="6" t="n"/>
      <c r="W29" s="6" t="n"/>
      <c r="X29" s="6" t="n"/>
      <c r="Y29" s="6" t="inlineStr">
        <is>
          <t>1</t>
        </is>
      </c>
      <c r="Z29" s="9" t="n">
        <v>976.64</v>
      </c>
      <c r="AA29" s="9" t="n">
        <v>0</v>
      </c>
      <c r="AB29" s="9" t="n">
        <v>0</v>
      </c>
      <c r="AC29" s="7" t="n">
        <v>46128</v>
      </c>
      <c r="AD29" s="9" t="n">
        <v>976.64</v>
      </c>
      <c r="AE29" s="5" t="n">
        <v>130</v>
      </c>
      <c r="AF29" s="6" t="inlineStr">
        <is>
          <t>F4320</t>
        </is>
      </c>
      <c r="AG29" s="6" t="n"/>
      <c r="AH29" s="6" t="n"/>
      <c r="AI29" s="6" t="n"/>
      <c r="AJ29" s="5" t="n"/>
      <c r="AK29" s="6" t="inlineStr">
        <is>
          <t>LEATHEM, JARRETT</t>
        </is>
      </c>
      <c r="AL29" s="6" t="inlineStr">
        <is>
          <t>ASAP Peoria</t>
        </is>
      </c>
      <c r="AM29" s="7" t="n">
        <v>46119</v>
      </c>
      <c r="AN29" s="6" t="inlineStr">
        <is>
          <t>BH</t>
        </is>
      </c>
      <c r="AO29" s="6" t="inlineStr">
        <is>
          <t>105</t>
        </is>
      </c>
    </row>
    <row r="30">
      <c r="A30" s="2" t="n"/>
      <c r="B30" s="3" t="n"/>
      <c r="C30" s="4" t="n">
        <v>46128</v>
      </c>
      <c r="D30" s="5" t="n">
        <v>553124954</v>
      </c>
      <c r="E30" s="6" t="inlineStr">
        <is>
          <t>HF539993491</t>
        </is>
      </c>
      <c r="F30" s="7" t="n">
        <v>46099</v>
      </c>
      <c r="G30" s="6" t="inlineStr">
        <is>
          <t>Alignment Health Care</t>
        </is>
      </c>
      <c r="H30" s="6" t="inlineStr">
        <is>
          <t>Alignment Health Care</t>
        </is>
      </c>
      <c r="I30" s="6" t="inlineStr">
        <is>
          <t>No Payer</t>
        </is>
      </c>
      <c r="J30" s="8" t="inlineStr">
        <is>
          <t>99493 x1; 99494 x1</t>
        </is>
      </c>
      <c r="K30" s="4" t="n"/>
      <c r="L30" s="5">
        <f>IF($O30="","",$O30-TODAY())</f>
        <v/>
      </c>
      <c r="M30" s="5" t="n"/>
      <c r="N30" s="5" t="n"/>
      <c r="O30" s="7" t="n"/>
      <c r="P30" s="6" t="n"/>
      <c r="Q30" s="6" t="inlineStr">
        <is>
          <t>Not on reference list</t>
        </is>
      </c>
      <c r="R30" s="6" t="n"/>
      <c r="S30" s="6" t="n"/>
      <c r="T30" s="6" t="n"/>
      <c r="U30" s="6" t="n"/>
      <c r="V30" s="6" t="n"/>
      <c r="W30" s="6" t="n"/>
      <c r="X30" s="6" t="n"/>
      <c r="Y30" s="6" t="inlineStr">
        <is>
          <t>1</t>
        </is>
      </c>
      <c r="Z30" s="9" t="n">
        <v>1372.91</v>
      </c>
      <c r="AA30" s="9" t="n">
        <v>0</v>
      </c>
      <c r="AB30" s="9" t="n">
        <v>0</v>
      </c>
      <c r="AC30" s="7" t="n">
        <v>46128</v>
      </c>
      <c r="AD30" s="9" t="n">
        <v>1372.91</v>
      </c>
      <c r="AE30" s="5" t="n">
        <v>143</v>
      </c>
      <c r="AF30" s="6" t="inlineStr">
        <is>
          <t>F4320</t>
        </is>
      </c>
      <c r="AG30" s="6" t="n"/>
      <c r="AH30" s="6" t="n"/>
      <c r="AI30" s="6" t="n"/>
      <c r="AJ30" s="5" t="n"/>
      <c r="AK30" s="6" t="inlineStr">
        <is>
          <t>MORALES, DAVID</t>
        </is>
      </c>
      <c r="AL30" s="6" t="inlineStr">
        <is>
          <t>ASAP - DEER VALLEY</t>
        </is>
      </c>
      <c r="AM30" s="7" t="n">
        <v>46119</v>
      </c>
      <c r="AN30" s="6" t="inlineStr">
        <is>
          <t>BH</t>
        </is>
      </c>
      <c r="AO30" s="6" t="inlineStr">
        <is>
          <t>444, 445</t>
        </is>
      </c>
    </row>
    <row r="31">
      <c r="A31" s="2" t="inlineStr">
        <is>
          <t>Received</t>
        </is>
      </c>
      <c r="B31" s="3" t="n"/>
      <c r="C31" s="4" t="n">
        <v>46164</v>
      </c>
      <c r="D31" s="5" t="n">
        <v>553577987</v>
      </c>
      <c r="E31" s="6" t="inlineStr">
        <is>
          <t>HF547777590</t>
        </is>
      </c>
      <c r="F31" s="7" t="n">
        <v>46104</v>
      </c>
      <c r="G31" s="6" t="inlineStr">
        <is>
          <t>Banner University Family Care - Arizona Long Term Care System</t>
        </is>
      </c>
      <c r="H31" s="6" t="inlineStr">
        <is>
          <t>Banner University Care Dual Advantage Plan</t>
        </is>
      </c>
      <c r="I31" s="6" t="inlineStr">
        <is>
          <t>Banner University Family Care - Arizona Long Term Care System</t>
        </is>
      </c>
      <c r="J31" s="8" t="inlineStr">
        <is>
          <t>99494 x2; 99492 x1</t>
        </is>
      </c>
      <c r="K31" s="4" t="n"/>
      <c r="L31" s="5">
        <f>IF($O31="","",$O31-TODAY())</f>
        <v/>
      </c>
      <c r="M31" s="5" t="n"/>
      <c r="N31" s="5" t="n"/>
      <c r="O31" s="7" t="n"/>
      <c r="P31" s="6" t="n"/>
      <c r="Q31" s="6" t="inlineStr">
        <is>
          <t>Not on reference list</t>
        </is>
      </c>
      <c r="R31" s="6" t="n"/>
      <c r="S31" s="6" t="n"/>
      <c r="T31" s="6" t="n"/>
      <c r="U31" s="6" t="n"/>
      <c r="V31" s="6" t="n"/>
      <c r="W31" s="6" t="n"/>
      <c r="X31" s="6" t="n"/>
      <c r="Y31" s="6" t="inlineStr">
        <is>
          <t>2, 1</t>
        </is>
      </c>
      <c r="Z31" s="9" t="n">
        <v>1822.52</v>
      </c>
      <c r="AA31" s="9" t="n">
        <v>1549.83</v>
      </c>
      <c r="AB31" s="9" t="n">
        <v>217.27</v>
      </c>
      <c r="AC31" s="7" t="n">
        <v>46164</v>
      </c>
      <c r="AD31" s="9" t="n">
        <v>55.42</v>
      </c>
      <c r="AE31" s="5" t="n">
        <v>138</v>
      </c>
      <c r="AF31" s="6" t="inlineStr">
        <is>
          <t>F4320</t>
        </is>
      </c>
      <c r="AG31" s="6" t="n"/>
      <c r="AH31" s="6" t="n"/>
      <c r="AI31" s="6" t="n"/>
      <c r="AJ31" s="5" t="n">
        <v>557766116</v>
      </c>
      <c r="AK31" s="6" t="inlineStr">
        <is>
          <t>O'NEIL, ROY</t>
        </is>
      </c>
      <c r="AL31" s="6" t="inlineStr">
        <is>
          <t>ASAP Peoria</t>
        </is>
      </c>
      <c r="AM31" s="7" t="n">
        <v>46119</v>
      </c>
      <c r="AN31" s="6" t="inlineStr">
        <is>
          <t>BH</t>
        </is>
      </c>
      <c r="AO31" s="6" t="inlineStr">
        <is>
          <t>96, 97</t>
        </is>
      </c>
    </row>
    <row r="32">
      <c r="A32" s="2" t="n"/>
      <c r="B32" s="3" t="n"/>
      <c r="C32" s="4" t="n"/>
      <c r="D32" s="5" t="n">
        <v>554062261</v>
      </c>
      <c r="E32" s="6" t="inlineStr">
        <is>
          <t>HF524119358</t>
        </is>
      </c>
      <c r="F32" s="7" t="n">
        <v>46108</v>
      </c>
      <c r="G32" s="6" t="inlineStr">
        <is>
          <t>Imperial Insurance Companies Inc Exchange AZ (IEXAZ) (WAYSTAR ONLY)</t>
        </is>
      </c>
      <c r="H32" s="6" t="inlineStr">
        <is>
          <t>Imperial Insurance Companies Inc Exchange AZ (IEXAZ) (WAYSTAR ONLY)</t>
        </is>
      </c>
      <c r="I32" s="6" t="inlineStr">
        <is>
          <t>No Payer</t>
        </is>
      </c>
      <c r="J32" s="8" t="inlineStr">
        <is>
          <t>99492 x1; 99494 x1</t>
        </is>
      </c>
      <c r="K32" s="4" t="n"/>
      <c r="L32" s="5">
        <f>IF($O32="","",$O32-TODAY())</f>
        <v/>
      </c>
      <c r="M32" s="5" t="n"/>
      <c r="N32" s="5" t="n"/>
      <c r="O32" s="7" t="n"/>
      <c r="P32" s="6" t="n"/>
      <c r="Q32" s="6" t="inlineStr">
        <is>
          <t>Not on reference list</t>
        </is>
      </c>
      <c r="R32" s="6" t="n"/>
      <c r="S32" s="6" t="n"/>
      <c r="T32" s="6" t="n"/>
      <c r="U32" s="6" t="n"/>
      <c r="V32" s="6" t="n"/>
      <c r="W32" s="6" t="n"/>
      <c r="X32" s="6" t="n"/>
      <c r="Y32" s="6" t="inlineStr">
        <is>
          <t>1</t>
        </is>
      </c>
      <c r="Z32" s="9" t="n">
        <v>1426.25</v>
      </c>
      <c r="AA32" s="9" t="n">
        <v>0</v>
      </c>
      <c r="AB32" s="9" t="n">
        <v>0</v>
      </c>
      <c r="AC32" s="7" t="n"/>
      <c r="AD32" s="9" t="n">
        <v>1426.25</v>
      </c>
      <c r="AE32" s="5" t="n">
        <v>134</v>
      </c>
      <c r="AF32" s="6" t="inlineStr">
        <is>
          <t>F1190</t>
        </is>
      </c>
      <c r="AG32" s="6" t="n"/>
      <c r="AH32" s="6" t="n"/>
      <c r="AI32" s="6" t="n"/>
      <c r="AJ32" s="5" t="n"/>
      <c r="AK32" s="6" t="inlineStr">
        <is>
          <t>KALLGREN, MARK</t>
        </is>
      </c>
      <c r="AL32" s="6" t="inlineStr">
        <is>
          <t>ASAP - Gilbert</t>
        </is>
      </c>
      <c r="AM32" s="7" t="n">
        <v>46119</v>
      </c>
      <c r="AN32" s="6" t="inlineStr">
        <is>
          <t>BH</t>
        </is>
      </c>
      <c r="AO32" s="6" t="inlineStr">
        <is>
          <t>1007, 1008</t>
        </is>
      </c>
    </row>
  </sheetData>
  <autoFilter ref="A1:AO32"/>
  <conditionalFormatting sqref="L2:L32">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32">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32">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32">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3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O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v>46141</v>
      </c>
      <c r="D2" s="5" t="n">
        <v>551735634</v>
      </c>
      <c r="E2" s="6" t="inlineStr">
        <is>
          <t>HF545896181</t>
        </is>
      </c>
      <c r="F2" s="7" t="n">
        <v>46085</v>
      </c>
      <c r="G2" s="6" t="inlineStr">
        <is>
          <t>DME Region D</t>
        </is>
      </c>
      <c r="H2" s="6" t="inlineStr">
        <is>
          <t>DME Region D</t>
        </is>
      </c>
      <c r="I2" s="6" t="inlineStr">
        <is>
          <t>MediCo Insurance Company</t>
        </is>
      </c>
      <c r="J2" s="8" t="inlineStr">
        <is>
          <t>L1851+KX x1</t>
        </is>
      </c>
      <c r="K2" s="4" t="n"/>
      <c r="L2" s="5">
        <f>IF($O2="","",$O2-TODAY())</f>
        <v/>
      </c>
      <c r="M2" s="5">
        <f>IF($C2="","",$C2+365-TODAY())</f>
        <v/>
      </c>
      <c r="N2" s="5">
        <f>IF($C2="","",$C2+120-TODAY())</f>
        <v/>
      </c>
      <c r="O2" s="7" t="n">
        <v>46450</v>
      </c>
      <c r="P2" s="6" t="inlineStr">
        <is>
          <t>365 days</t>
        </is>
      </c>
      <c r="Q2" s="6" t="inlineStr">
        <is>
          <t>MEDICARE</t>
        </is>
      </c>
      <c r="R2" s="6" t="inlineStr">
        <is>
          <t>365 days</t>
        </is>
      </c>
      <c r="S2" s="6" t="inlineStr">
        <is>
          <t>Processed date</t>
        </is>
      </c>
      <c r="T2" s="6" t="inlineStr">
        <is>
          <t>120 days</t>
        </is>
      </c>
      <c r="U2" s="6" t="inlineStr">
        <is>
          <t>Processed date</t>
        </is>
      </c>
      <c r="V2" s="6" t="inlineStr">
        <is>
          <t>KX</t>
        </is>
      </c>
      <c r="W2" s="6" t="n"/>
      <c r="X2" s="6" t="n"/>
      <c r="Y2" s="6" t="inlineStr">
        <is>
          <t>1</t>
        </is>
      </c>
      <c r="Z2" s="9" t="n">
        <v>4520.11</v>
      </c>
      <c r="AA2" s="9" t="n">
        <v>0</v>
      </c>
      <c r="AB2" s="9" t="n">
        <v>0</v>
      </c>
      <c r="AC2" s="7" t="n">
        <v>46141</v>
      </c>
      <c r="AD2" s="9" t="n">
        <v>4520.11</v>
      </c>
      <c r="AE2" s="5" t="n">
        <v>157</v>
      </c>
      <c r="AF2" s="6" t="inlineStr">
        <is>
          <t>M1711</t>
        </is>
      </c>
      <c r="AG2" s="6" t="n"/>
      <c r="AH2" s="6" t="n"/>
      <c r="AI2" s="6" t="n"/>
      <c r="AJ2" s="5" t="n"/>
      <c r="AK2" s="6" t="inlineStr">
        <is>
          <t>Advanced Spine and Pain LLC DME GWY</t>
        </is>
      </c>
      <c r="AL2" s="6" t="inlineStr">
        <is>
          <t>Advanced Spine and Pain LLC DME - Surprise Reems</t>
        </is>
      </c>
      <c r="AM2" s="7" t="n">
        <v>46099</v>
      </c>
      <c r="AN2" s="6" t="inlineStr">
        <is>
          <t>DME</t>
        </is>
      </c>
      <c r="AO2" s="6" t="inlineStr">
        <is>
          <t>129</t>
        </is>
      </c>
    </row>
    <row r="3">
      <c r="A3" s="2" t="n"/>
      <c r="B3" s="3" t="n"/>
      <c r="C3" s="4" t="n">
        <v>46121</v>
      </c>
      <c r="D3" s="5" t="n">
        <v>553103783</v>
      </c>
      <c r="E3" s="6" t="inlineStr">
        <is>
          <t>HF551760467</t>
        </is>
      </c>
      <c r="F3" s="7" t="n">
        <v>46097</v>
      </c>
      <c r="G3" s="6" t="inlineStr">
        <is>
          <t>DME Region D</t>
        </is>
      </c>
      <c r="H3" s="6" t="inlineStr">
        <is>
          <t>DME Region D</t>
        </is>
      </c>
      <c r="I3" s="6" t="inlineStr">
        <is>
          <t>Humana</t>
        </is>
      </c>
      <c r="J3" s="8" t="inlineStr">
        <is>
          <t>L0650+KX x1</t>
        </is>
      </c>
      <c r="K3" s="4" t="n"/>
      <c r="L3" s="5">
        <f>IF($O3="","",$O3-TODAY())</f>
        <v/>
      </c>
      <c r="M3" s="5">
        <f>IF($C3="","",$C3+365-TODAY())</f>
        <v/>
      </c>
      <c r="N3" s="5">
        <f>IF($C3="","",$C3+120-TODAY())</f>
        <v/>
      </c>
      <c r="O3" s="7" t="n">
        <v>46462</v>
      </c>
      <c r="P3" s="6" t="inlineStr">
        <is>
          <t>365 days</t>
        </is>
      </c>
      <c r="Q3" s="6" t="inlineStr">
        <is>
          <t>MEDICARE</t>
        </is>
      </c>
      <c r="R3" s="6" t="inlineStr">
        <is>
          <t>365 days</t>
        </is>
      </c>
      <c r="S3" s="6" t="inlineStr">
        <is>
          <t>Processed date</t>
        </is>
      </c>
      <c r="T3" s="6" t="inlineStr">
        <is>
          <t>120 days</t>
        </is>
      </c>
      <c r="U3" s="6" t="inlineStr">
        <is>
          <t>Processed date</t>
        </is>
      </c>
      <c r="V3" s="6" t="inlineStr">
        <is>
          <t>KX</t>
        </is>
      </c>
      <c r="W3" s="6" t="n"/>
      <c r="X3" s="6" t="n"/>
      <c r="Y3" s="6" t="inlineStr">
        <is>
          <t>1</t>
        </is>
      </c>
      <c r="Z3" s="9" t="n">
        <v>6392.96</v>
      </c>
      <c r="AA3" s="9" t="n">
        <v>0</v>
      </c>
      <c r="AB3" s="9" t="n">
        <v>0</v>
      </c>
      <c r="AC3" s="7" t="n">
        <v>46121</v>
      </c>
      <c r="AD3" s="9" t="n">
        <v>6392.96</v>
      </c>
      <c r="AE3" s="5" t="n">
        <v>145</v>
      </c>
      <c r="AF3" s="6" t="inlineStr">
        <is>
          <t>M5416</t>
        </is>
      </c>
      <c r="AG3" s="6" t="inlineStr">
        <is>
          <t>M48062</t>
        </is>
      </c>
      <c r="AH3" s="6" t="n"/>
      <c r="AI3" s="6" t="n"/>
      <c r="AJ3" s="5" t="n"/>
      <c r="AK3" s="6" t="inlineStr">
        <is>
          <t>Advanced Spine and Pain LLC DME GWY</t>
        </is>
      </c>
      <c r="AL3" s="6" t="inlineStr">
        <is>
          <t>Advanced Spine and Pain LLC DME - Greenway</t>
        </is>
      </c>
      <c r="AM3" s="7" t="n">
        <v>46099</v>
      </c>
      <c r="AN3" s="6" t="inlineStr">
        <is>
          <t>DME</t>
        </is>
      </c>
      <c r="AO3" s="6" t="inlineStr">
        <is>
          <t>390</t>
        </is>
      </c>
    </row>
    <row r="4">
      <c r="A4" s="2" t="inlineStr">
        <is>
          <t>Received</t>
        </is>
      </c>
      <c r="B4" s="3" t="n"/>
      <c r="C4" s="4" t="n">
        <v>46165</v>
      </c>
      <c r="D4" s="5" t="n">
        <v>557717115</v>
      </c>
      <c r="E4" s="6" t="inlineStr">
        <is>
          <t>HF545895005</t>
        </is>
      </c>
      <c r="F4" s="7" t="n">
        <v>46097</v>
      </c>
      <c r="G4" s="6" t="inlineStr">
        <is>
          <t>DME Region D</t>
        </is>
      </c>
      <c r="H4" s="6" t="inlineStr">
        <is>
          <t>DME Region D</t>
        </is>
      </c>
      <c r="I4" s="6" t="inlineStr">
        <is>
          <t>BANKERS FIDELITY</t>
        </is>
      </c>
      <c r="J4" s="8" t="inlineStr">
        <is>
          <t>A6023+A2 x10</t>
        </is>
      </c>
      <c r="K4" s="4" t="n"/>
      <c r="L4" s="5">
        <f>IF($O4="","",$O4-TODAY())</f>
        <v/>
      </c>
      <c r="M4" s="5">
        <f>IF($C4="","",$C4+365-TODAY())</f>
        <v/>
      </c>
      <c r="N4" s="5">
        <f>IF($C4="","",$C4+120-TODAY())</f>
        <v/>
      </c>
      <c r="O4" s="7" t="n">
        <v>46462</v>
      </c>
      <c r="P4" s="6" t="inlineStr">
        <is>
          <t>365 days</t>
        </is>
      </c>
      <c r="Q4" s="6" t="inlineStr">
        <is>
          <t>MEDICARE</t>
        </is>
      </c>
      <c r="R4" s="6" t="inlineStr">
        <is>
          <t>365 days</t>
        </is>
      </c>
      <c r="S4" s="6" t="inlineStr">
        <is>
          <t>Processed date</t>
        </is>
      </c>
      <c r="T4" s="6" t="inlineStr">
        <is>
          <t>120 days</t>
        </is>
      </c>
      <c r="U4" s="6" t="inlineStr">
        <is>
          <t>Processed date</t>
        </is>
      </c>
      <c r="V4" s="6" t="inlineStr">
        <is>
          <t>A2</t>
        </is>
      </c>
      <c r="W4" s="6" t="n"/>
      <c r="X4" s="6" t="n"/>
      <c r="Y4" s="6" t="inlineStr">
        <is>
          <t>10</t>
        </is>
      </c>
      <c r="Z4" s="9" t="n">
        <v>18176.9</v>
      </c>
      <c r="AA4" s="9" t="n">
        <v>0</v>
      </c>
      <c r="AB4" s="9" t="n">
        <v>542.4400000000001</v>
      </c>
      <c r="AC4" s="7" t="n">
        <v>46165</v>
      </c>
      <c r="AD4" s="9" t="n">
        <v>17634.46</v>
      </c>
      <c r="AE4" s="5" t="n">
        <v>145</v>
      </c>
      <c r="AF4" s="6" t="inlineStr">
        <is>
          <t>G894</t>
        </is>
      </c>
      <c r="AG4" s="6" t="inlineStr">
        <is>
          <t>M961</t>
        </is>
      </c>
      <c r="AH4" s="6" t="n"/>
      <c r="AI4" s="6" t="n"/>
      <c r="AJ4" s="5" t="n"/>
      <c r="AK4" s="6" t="inlineStr">
        <is>
          <t>Advanced Spine and Pain LLC DME SUR</t>
        </is>
      </c>
      <c r="AL4" s="6" t="inlineStr">
        <is>
          <t>Advanced Spine and Pain LLC DME - Surprise Reems</t>
        </is>
      </c>
      <c r="AM4" s="7" t="n">
        <v>46115</v>
      </c>
      <c r="AN4" s="6" t="inlineStr">
        <is>
          <t>DME</t>
        </is>
      </c>
      <c r="AO4" s="6" t="inlineStr">
        <is>
          <t>781</t>
        </is>
      </c>
    </row>
    <row r="5">
      <c r="A5" s="2" t="n"/>
      <c r="B5" s="3" t="n"/>
      <c r="C5" s="4" t="n">
        <v>46122</v>
      </c>
      <c r="D5" s="5" t="n">
        <v>554946837</v>
      </c>
      <c r="E5" s="6" t="inlineStr">
        <is>
          <t>HF473973377</t>
        </is>
      </c>
      <c r="F5" s="7" t="n">
        <v>46104</v>
      </c>
      <c r="G5" s="6" t="inlineStr">
        <is>
          <t>DME Region D</t>
        </is>
      </c>
      <c r="H5" s="6" t="inlineStr">
        <is>
          <t>DME Region D</t>
        </is>
      </c>
      <c r="I5" s="6" t="inlineStr">
        <is>
          <t>Humana</t>
        </is>
      </c>
      <c r="J5" s="8" t="inlineStr">
        <is>
          <t>L0650+KX x1</t>
        </is>
      </c>
      <c r="K5" s="4" t="n"/>
      <c r="L5" s="5">
        <f>IF($O5="","",$O5-TODAY())</f>
        <v/>
      </c>
      <c r="M5" s="5">
        <f>IF($C5="","",$C5+365-TODAY())</f>
        <v/>
      </c>
      <c r="N5" s="5">
        <f>IF($C5="","",$C5+120-TODAY())</f>
        <v/>
      </c>
      <c r="O5" s="7" t="n">
        <v>46469</v>
      </c>
      <c r="P5" s="6" t="inlineStr">
        <is>
          <t>365 days</t>
        </is>
      </c>
      <c r="Q5" s="6" t="inlineStr">
        <is>
          <t>MEDICARE</t>
        </is>
      </c>
      <c r="R5" s="6" t="inlineStr">
        <is>
          <t>365 days</t>
        </is>
      </c>
      <c r="S5" s="6" t="inlineStr">
        <is>
          <t>Processed date</t>
        </is>
      </c>
      <c r="T5" s="6" t="inlineStr">
        <is>
          <t>120 days</t>
        </is>
      </c>
      <c r="U5" s="6" t="inlineStr">
        <is>
          <t>Processed date</t>
        </is>
      </c>
      <c r="V5" s="6" t="inlineStr">
        <is>
          <t>KX</t>
        </is>
      </c>
      <c r="W5" s="6" t="n"/>
      <c r="X5" s="6" t="n"/>
      <c r="Y5" s="6" t="inlineStr">
        <is>
          <t>1</t>
        </is>
      </c>
      <c r="Z5" s="9" t="n">
        <v>6392.96</v>
      </c>
      <c r="AA5" s="9" t="n">
        <v>0</v>
      </c>
      <c r="AB5" s="9" t="n">
        <v>0</v>
      </c>
      <c r="AC5" s="7" t="n">
        <v>46122</v>
      </c>
      <c r="AD5" s="9" t="n">
        <v>6392.96</v>
      </c>
      <c r="AE5" s="5" t="n">
        <v>138</v>
      </c>
      <c r="AF5" s="6" t="inlineStr">
        <is>
          <t>M47817</t>
        </is>
      </c>
      <c r="AG5" s="6" t="inlineStr">
        <is>
          <t>M5450</t>
        </is>
      </c>
      <c r="AH5" s="6" t="inlineStr">
        <is>
          <t>M48062</t>
        </is>
      </c>
      <c r="AI5" s="6" t="n"/>
      <c r="AJ5" s="5" t="n"/>
      <c r="AK5" s="6" t="inlineStr">
        <is>
          <t>Advanced Spine and Pain LLC DME GWY</t>
        </is>
      </c>
      <c r="AL5" s="6" t="inlineStr">
        <is>
          <t>Advanced Spine and Pain LLC DME - Peoria</t>
        </is>
      </c>
      <c r="AM5" s="7" t="n">
        <v>46118</v>
      </c>
      <c r="AN5" s="6" t="inlineStr">
        <is>
          <t>DME</t>
        </is>
      </c>
      <c r="AO5" s="6" t="inlineStr">
        <is>
          <t>470</t>
        </is>
      </c>
    </row>
    <row r="6">
      <c r="A6" s="2" t="n"/>
      <c r="B6" s="3" t="n"/>
      <c r="C6" s="4" t="n">
        <v>46156</v>
      </c>
      <c r="D6" s="5" t="n">
        <v>556757813</v>
      </c>
      <c r="E6" s="6" t="inlineStr">
        <is>
          <t>HF541294637</t>
        </is>
      </c>
      <c r="F6" s="7" t="n">
        <v>46104</v>
      </c>
      <c r="G6" s="6" t="inlineStr">
        <is>
          <t>Medicare Railroad (RR Medicare MetraHealth) 00882</t>
        </is>
      </c>
      <c r="H6" s="6" t="inlineStr">
        <is>
          <t>Medicare Railroad (RR Medicare MetraHealth) 00882</t>
        </is>
      </c>
      <c r="I6" s="6" t="inlineStr">
        <is>
          <t>AARP United Healthcare</t>
        </is>
      </c>
      <c r="J6" s="8" t="inlineStr">
        <is>
          <t>A6023+A1 x20</t>
        </is>
      </c>
      <c r="K6" s="4" t="n"/>
      <c r="L6" s="5">
        <f>IF($O6="","",$O6-TODAY())</f>
        <v/>
      </c>
      <c r="M6" s="5">
        <f>IF($C6="","",$C6+365-TODAY())</f>
        <v/>
      </c>
      <c r="N6" s="5">
        <f>IF($C6="","",$C6+120-TODAY())</f>
        <v/>
      </c>
      <c r="O6" s="7" t="n">
        <v>46469</v>
      </c>
      <c r="P6" s="6" t="inlineStr">
        <is>
          <t>365 days</t>
        </is>
      </c>
      <c r="Q6" s="6" t="inlineStr">
        <is>
          <t>MEDICARE</t>
        </is>
      </c>
      <c r="R6" s="6" t="inlineStr">
        <is>
          <t>365 days</t>
        </is>
      </c>
      <c r="S6" s="6" t="inlineStr">
        <is>
          <t>Processed date</t>
        </is>
      </c>
      <c r="T6" s="6" t="inlineStr">
        <is>
          <t>120 days</t>
        </is>
      </c>
      <c r="U6" s="6" t="inlineStr">
        <is>
          <t>Processed date</t>
        </is>
      </c>
      <c r="V6" s="6" t="inlineStr">
        <is>
          <t>A1</t>
        </is>
      </c>
      <c r="W6" s="6" t="n"/>
      <c r="X6" s="6" t="n"/>
      <c r="Y6" s="6" t="inlineStr">
        <is>
          <t>20</t>
        </is>
      </c>
      <c r="Z6" s="9" t="n">
        <v>36353.8</v>
      </c>
      <c r="AA6" s="9" t="n">
        <v>0</v>
      </c>
      <c r="AB6" s="9" t="n">
        <v>0</v>
      </c>
      <c r="AC6" s="7" t="n">
        <v>46156</v>
      </c>
      <c r="AD6" s="9" t="n">
        <v>36353.8</v>
      </c>
      <c r="AE6" s="5" t="n">
        <v>138</v>
      </c>
      <c r="AF6" s="6" t="inlineStr">
        <is>
          <t>G894</t>
        </is>
      </c>
      <c r="AG6" s="6" t="inlineStr">
        <is>
          <t>M48062</t>
        </is>
      </c>
      <c r="AH6" s="6" t="n"/>
      <c r="AI6" s="6" t="n"/>
      <c r="AJ6" s="5" t="n"/>
      <c r="AK6" s="6" t="inlineStr">
        <is>
          <t>O'NEIL, ROY</t>
        </is>
      </c>
      <c r="AL6" s="6" t="inlineStr">
        <is>
          <t>ASAP - Goodyear</t>
        </is>
      </c>
      <c r="AM6" s="7" t="n">
        <v>46133</v>
      </c>
      <c r="AN6" s="6" t="inlineStr">
        <is>
          <t>DME</t>
        </is>
      </c>
      <c r="AO6" s="6" t="inlineStr">
        <is>
          <t>547</t>
        </is>
      </c>
    </row>
    <row r="7">
      <c r="A7" s="2" t="n"/>
      <c r="B7" s="3" t="n"/>
      <c r="C7" s="4" t="n">
        <v>46154</v>
      </c>
      <c r="D7" s="5" t="n">
        <v>556761529</v>
      </c>
      <c r="E7" s="6" t="inlineStr">
        <is>
          <t>HF549224659</t>
        </is>
      </c>
      <c r="F7" s="7" t="n">
        <v>46111</v>
      </c>
      <c r="G7" s="6" t="inlineStr">
        <is>
          <t>DME Region D</t>
        </is>
      </c>
      <c r="H7" s="6" t="inlineStr">
        <is>
          <t>DME Region D</t>
        </is>
      </c>
      <c r="I7" s="6" t="inlineStr">
        <is>
          <t>Blue Cross Blue Shield of Arizona (BCBS AZ)</t>
        </is>
      </c>
      <c r="J7" s="8" t="inlineStr">
        <is>
          <t>A6023+A1 x10</t>
        </is>
      </c>
      <c r="K7" s="4" t="n"/>
      <c r="L7" s="5">
        <f>IF($O7="","",$O7-TODAY())</f>
        <v/>
      </c>
      <c r="M7" s="5">
        <f>IF($C7="","",$C7+365-TODAY())</f>
        <v/>
      </c>
      <c r="N7" s="5">
        <f>IF($C7="","",$C7+120-TODAY())</f>
        <v/>
      </c>
      <c r="O7" s="7" t="n">
        <v>46476</v>
      </c>
      <c r="P7" s="6" t="inlineStr">
        <is>
          <t>365 days</t>
        </is>
      </c>
      <c r="Q7" s="6" t="inlineStr">
        <is>
          <t>MEDICARE</t>
        </is>
      </c>
      <c r="R7" s="6" t="inlineStr">
        <is>
          <t>365 days</t>
        </is>
      </c>
      <c r="S7" s="6" t="inlineStr">
        <is>
          <t>Processed date</t>
        </is>
      </c>
      <c r="T7" s="6" t="inlineStr">
        <is>
          <t>120 days</t>
        </is>
      </c>
      <c r="U7" s="6" t="inlineStr">
        <is>
          <t>Processed date</t>
        </is>
      </c>
      <c r="V7" s="6" t="inlineStr">
        <is>
          <t>A1</t>
        </is>
      </c>
      <c r="W7" s="6" t="n"/>
      <c r="X7" s="6" t="n"/>
      <c r="Y7" s="6" t="inlineStr">
        <is>
          <t>10</t>
        </is>
      </c>
      <c r="Z7" s="9" t="n">
        <v>18176.9</v>
      </c>
      <c r="AA7" s="9" t="n">
        <v>0</v>
      </c>
      <c r="AB7" s="9" t="n">
        <v>542.4400000000001</v>
      </c>
      <c r="AC7" s="7" t="n">
        <v>46154</v>
      </c>
      <c r="AD7" s="9" t="n">
        <v>17634.46</v>
      </c>
      <c r="AE7" s="5" t="n">
        <v>131</v>
      </c>
      <c r="AF7" s="6" t="inlineStr">
        <is>
          <t>G894</t>
        </is>
      </c>
      <c r="AG7" s="6" t="inlineStr">
        <is>
          <t>M48062</t>
        </is>
      </c>
      <c r="AH7" s="6" t="n"/>
      <c r="AI7" s="6" t="n"/>
      <c r="AJ7" s="5" t="n"/>
      <c r="AK7" s="6" t="inlineStr">
        <is>
          <t>Advanced Spine and Pain LLC DME SUR</t>
        </is>
      </c>
      <c r="AL7" s="6" t="inlineStr">
        <is>
          <t>Advanced Spine and Pain LLC DME - Surprise Reems</t>
        </is>
      </c>
      <c r="AM7" s="7" t="n">
        <v>46133</v>
      </c>
      <c r="AN7" s="6" t="inlineStr">
        <is>
          <t>DME</t>
        </is>
      </c>
      <c r="AO7" s="6" t="inlineStr">
        <is>
          <t>792</t>
        </is>
      </c>
    </row>
    <row r="8">
      <c r="A8" s="2" t="n"/>
      <c r="B8" s="3" t="n"/>
      <c r="C8" s="4" t="n">
        <v>46121</v>
      </c>
      <c r="D8" s="5" t="n">
        <v>554941943</v>
      </c>
      <c r="E8" s="6" t="inlineStr">
        <is>
          <t>HF518773107</t>
        </is>
      </c>
      <c r="F8" s="7" t="n">
        <v>46112</v>
      </c>
      <c r="G8" s="6" t="inlineStr">
        <is>
          <t>DME Region D</t>
        </is>
      </c>
      <c r="H8" s="6" t="inlineStr">
        <is>
          <t>DME Region D</t>
        </is>
      </c>
      <c r="I8" s="6" t="inlineStr">
        <is>
          <t>Aetna Senior Supplemental (AESSI) - Secondary Only 62118</t>
        </is>
      </c>
      <c r="J8" s="8" t="inlineStr">
        <is>
          <t>L0650+KX x1</t>
        </is>
      </c>
      <c r="K8" s="4" t="n"/>
      <c r="L8" s="5">
        <f>IF($O8="","",$O8-TODAY())</f>
        <v/>
      </c>
      <c r="M8" s="5">
        <f>IF($C8="","",$C8+365-TODAY())</f>
        <v/>
      </c>
      <c r="N8" s="5">
        <f>IF($C8="","",$C8+120-TODAY())</f>
        <v/>
      </c>
      <c r="O8" s="7" t="n">
        <v>46477</v>
      </c>
      <c r="P8" s="6" t="inlineStr">
        <is>
          <t>365 days</t>
        </is>
      </c>
      <c r="Q8" s="6" t="inlineStr">
        <is>
          <t>MEDICARE</t>
        </is>
      </c>
      <c r="R8" s="6" t="inlineStr">
        <is>
          <t>365 days</t>
        </is>
      </c>
      <c r="S8" s="6" t="inlineStr">
        <is>
          <t>Processed date</t>
        </is>
      </c>
      <c r="T8" s="6" t="inlineStr">
        <is>
          <t>120 days</t>
        </is>
      </c>
      <c r="U8" s="6" t="inlineStr">
        <is>
          <t>Processed date</t>
        </is>
      </c>
      <c r="V8" s="6" t="inlineStr">
        <is>
          <t>KX</t>
        </is>
      </c>
      <c r="W8" s="6" t="n"/>
      <c r="X8" s="6" t="n"/>
      <c r="Y8" s="6" t="inlineStr">
        <is>
          <t>1</t>
        </is>
      </c>
      <c r="Z8" s="9" t="n">
        <v>6392.96</v>
      </c>
      <c r="AA8" s="9" t="n">
        <v>0</v>
      </c>
      <c r="AB8" s="9" t="n">
        <v>0</v>
      </c>
      <c r="AC8" s="7" t="n">
        <v>46121</v>
      </c>
      <c r="AD8" s="9" t="n">
        <v>6392.96</v>
      </c>
      <c r="AE8" s="5" t="n">
        <v>130</v>
      </c>
      <c r="AF8" s="6" t="inlineStr">
        <is>
          <t>G894</t>
        </is>
      </c>
      <c r="AG8" s="6" t="inlineStr">
        <is>
          <t>M5459</t>
        </is>
      </c>
      <c r="AH8" s="6" t="inlineStr">
        <is>
          <t>Z4789</t>
        </is>
      </c>
      <c r="AI8" s="6" t="n"/>
      <c r="AJ8" s="5" t="n"/>
      <c r="AK8" s="6" t="inlineStr">
        <is>
          <t>Advanced Spine and Pain LLC DME GWY</t>
        </is>
      </c>
      <c r="AL8" s="6" t="inlineStr">
        <is>
          <t>Advanced Spine and Pain LLC DME - Gilbert</t>
        </is>
      </c>
      <c r="AM8" s="7" t="n">
        <v>46118</v>
      </c>
      <c r="AN8" s="6" t="inlineStr">
        <is>
          <t>DME</t>
        </is>
      </c>
      <c r="AO8" s="6" t="inlineStr">
        <is>
          <t>764</t>
        </is>
      </c>
    </row>
    <row r="9">
      <c r="A9" s="2" t="n"/>
      <c r="B9" s="3" t="n"/>
      <c r="C9" s="4" t="n"/>
      <c r="D9" s="5" t="n">
        <v>555728365</v>
      </c>
      <c r="E9" s="6" t="inlineStr">
        <is>
          <t>HF549992587</t>
        </is>
      </c>
      <c r="F9" s="7" t="n">
        <v>46092</v>
      </c>
      <c r="G9" s="6" t="inlineStr">
        <is>
          <t>Optum Care Medical Network of Arizona, Utah, &amp; Washington (LifePrint)</t>
        </is>
      </c>
      <c r="H9" s="6" t="inlineStr">
        <is>
          <t>Optum Care Medical Network of Arizona, Utah, &amp; Washington (LifePrint)</t>
        </is>
      </c>
      <c r="I9" s="6" t="inlineStr">
        <is>
          <t>No Payer</t>
        </is>
      </c>
      <c r="J9" s="8" t="inlineStr">
        <is>
          <t>L0650+NU x1</t>
        </is>
      </c>
      <c r="K9" s="4" t="n"/>
      <c r="L9" s="5">
        <f>IF($O9="","",$O9-TODAY())</f>
        <v/>
      </c>
      <c r="M9" s="5">
        <f>IF($C9="","",$C9+365-TODAY())</f>
        <v/>
      </c>
      <c r="N9" s="5">
        <f>IF($C9="","",$C9+365-TODAY())</f>
        <v/>
      </c>
      <c r="O9" s="7" t="n">
        <v>46182</v>
      </c>
      <c r="P9" s="6" t="inlineStr">
        <is>
          <t>90 days</t>
        </is>
      </c>
      <c r="Q9" s="6" t="inlineStr">
        <is>
          <t>OPTUM</t>
        </is>
      </c>
      <c r="R9" s="6" t="inlineStr">
        <is>
          <t>365 days</t>
        </is>
      </c>
      <c r="S9" s="6" t="inlineStr">
        <is>
          <t>Processed date</t>
        </is>
      </c>
      <c r="T9" s="6" t="inlineStr">
        <is>
          <t>365 days</t>
        </is>
      </c>
      <c r="U9" s="6" t="inlineStr">
        <is>
          <t>Processed date</t>
        </is>
      </c>
      <c r="V9" s="6" t="inlineStr">
        <is>
          <t>NU</t>
        </is>
      </c>
      <c r="W9" s="6" t="n"/>
      <c r="X9" s="6" t="n"/>
      <c r="Y9" s="6" t="inlineStr">
        <is>
          <t>1</t>
        </is>
      </c>
      <c r="Z9" s="9" t="n">
        <v>6392.96</v>
      </c>
      <c r="AA9" s="9" t="n">
        <v>0</v>
      </c>
      <c r="AB9" s="9" t="n">
        <v>0</v>
      </c>
      <c r="AC9" s="7" t="n"/>
      <c r="AD9" s="9" t="n">
        <v>6392.96</v>
      </c>
      <c r="AE9" s="5" t="n">
        <v>150</v>
      </c>
      <c r="AF9" s="6" t="inlineStr">
        <is>
          <t>M5416</t>
        </is>
      </c>
      <c r="AG9" s="6" t="inlineStr">
        <is>
          <t>M47896</t>
        </is>
      </c>
      <c r="AH9" s="6" t="n"/>
      <c r="AI9" s="6" t="n"/>
      <c r="AJ9" s="5" t="n"/>
      <c r="AK9" s="6" t="inlineStr">
        <is>
          <t>KRAUSE, JEFFREY</t>
        </is>
      </c>
      <c r="AL9" s="6" t="inlineStr">
        <is>
          <t>ASAP - DEER VALLEY</t>
        </is>
      </c>
      <c r="AM9" s="7" t="n">
        <v>46125</v>
      </c>
      <c r="AN9" s="6" t="inlineStr">
        <is>
          <t>DME</t>
        </is>
      </c>
      <c r="AO9" s="6" t="inlineStr">
        <is>
          <t>896</t>
        </is>
      </c>
    </row>
    <row r="10">
      <c r="A10" s="2" t="n"/>
      <c r="B10" s="3" t="n"/>
      <c r="C10" s="4" t="n"/>
      <c r="D10" s="5" t="n">
        <v>552871981</v>
      </c>
      <c r="E10" s="6" t="inlineStr">
        <is>
          <t>HF545096268</t>
        </is>
      </c>
      <c r="F10" s="7" t="n">
        <v>46097</v>
      </c>
      <c r="G10" s="6" t="inlineStr">
        <is>
          <t>Optum Care Medical Network of Arizona, Utah, &amp; Washington (LifePrint)</t>
        </is>
      </c>
      <c r="H10" s="6" t="inlineStr">
        <is>
          <t>Optum Care Medical Network of Arizona, Utah, &amp; Washington (LifePrint)</t>
        </is>
      </c>
      <c r="I10" s="6" t="inlineStr">
        <is>
          <t>No Payer</t>
        </is>
      </c>
      <c r="J10" s="8" t="inlineStr">
        <is>
          <t>A6010+A1 x20</t>
        </is>
      </c>
      <c r="K10" s="4" t="n"/>
      <c r="L10" s="5">
        <f>IF($O10="","",$O10-TODAY())</f>
        <v/>
      </c>
      <c r="M10" s="5">
        <f>IF($C10="","",$C10+365-TODAY())</f>
        <v/>
      </c>
      <c r="N10" s="5">
        <f>IF($C10="","",$C10+365-TODAY())</f>
        <v/>
      </c>
      <c r="O10" s="7" t="n">
        <v>46187</v>
      </c>
      <c r="P10" s="6" t="inlineStr">
        <is>
          <t>90 days</t>
        </is>
      </c>
      <c r="Q10" s="6" t="inlineStr">
        <is>
          <t>OPTUM</t>
        </is>
      </c>
      <c r="R10" s="6" t="inlineStr">
        <is>
          <t>365 days</t>
        </is>
      </c>
      <c r="S10" s="6" t="inlineStr">
        <is>
          <t>Processed date</t>
        </is>
      </c>
      <c r="T10" s="6" t="inlineStr">
        <is>
          <t>365 days</t>
        </is>
      </c>
      <c r="U10" s="6" t="inlineStr">
        <is>
          <t>Processed date</t>
        </is>
      </c>
      <c r="V10" s="6" t="inlineStr">
        <is>
          <t>A1</t>
        </is>
      </c>
      <c r="W10" s="6" t="n"/>
      <c r="X10" s="6" t="n"/>
      <c r="Y10" s="6" t="inlineStr">
        <is>
          <t>20</t>
        </is>
      </c>
      <c r="Z10" s="9" t="n">
        <v>5916.4</v>
      </c>
      <c r="AA10" s="9" t="n">
        <v>0</v>
      </c>
      <c r="AB10" s="9" t="n">
        <v>0</v>
      </c>
      <c r="AC10" s="7" t="n"/>
      <c r="AD10" s="9" t="n">
        <v>5916.4</v>
      </c>
      <c r="AE10" s="5" t="n">
        <v>145</v>
      </c>
      <c r="AF10" s="6" t="inlineStr">
        <is>
          <t>L03116</t>
        </is>
      </c>
      <c r="AG10" s="6" t="inlineStr">
        <is>
          <t>M2012</t>
        </is>
      </c>
      <c r="AH10" s="6" t="inlineStr">
        <is>
          <t>Q66212</t>
        </is>
      </c>
      <c r="AI10" s="6" t="n"/>
      <c r="AJ10" s="5" t="n"/>
      <c r="AK10" s="6" t="inlineStr">
        <is>
          <t>KOMINSKY, STEPHEN</t>
        </is>
      </c>
      <c r="AL10" s="6" t="inlineStr">
        <is>
          <t>ASAP - DEER VALLEY</t>
        </is>
      </c>
      <c r="AM10" s="7" t="n">
        <v>46217</v>
      </c>
      <c r="AN10" s="6" t="inlineStr">
        <is>
          <t>DME</t>
        </is>
      </c>
      <c r="AO10" s="6" t="inlineStr">
        <is>
          <t>386</t>
        </is>
      </c>
    </row>
    <row r="11">
      <c r="A11" s="2" t="inlineStr">
        <is>
          <t>Finalized</t>
        </is>
      </c>
      <c r="B11" s="3" t="n"/>
      <c r="C11" s="4" t="n">
        <v>46216</v>
      </c>
      <c r="D11" s="5" t="n">
        <v>554940052</v>
      </c>
      <c r="E11" s="6" t="inlineStr">
        <is>
          <t>HF548742459</t>
        </is>
      </c>
      <c r="F11" s="7" t="n">
        <v>46107</v>
      </c>
      <c r="G11" s="6" t="inlineStr">
        <is>
          <t>UnitedHealthcare / All Savers Insurance</t>
        </is>
      </c>
      <c r="H11" s="6" t="inlineStr">
        <is>
          <t>United Healthcare</t>
        </is>
      </c>
      <c r="I11" s="6" t="inlineStr">
        <is>
          <t>UnitedHealthcare / All Savers Insurance</t>
        </is>
      </c>
      <c r="J11" s="8" t="inlineStr">
        <is>
          <t>L0650+NU x1</t>
        </is>
      </c>
      <c r="K11" s="4" t="n"/>
      <c r="L11" s="5">
        <f>IF($O11="","",$O11-TODAY())</f>
        <v/>
      </c>
      <c r="M11" s="5">
        <f>IF($C11="","",$C11+180-TODAY())</f>
        <v/>
      </c>
      <c r="N11" s="5">
        <f>IF($C11="","",$C11+365-TODAY())</f>
        <v/>
      </c>
      <c r="O11" s="7" t="n">
        <v>46197</v>
      </c>
      <c r="P11" s="6" t="inlineStr">
        <is>
          <t>90 days</t>
        </is>
      </c>
      <c r="Q11" s="6" t="inlineStr">
        <is>
          <t>UHC COMMERCIAL</t>
        </is>
      </c>
      <c r="R11" s="6" t="inlineStr">
        <is>
          <t>180 days</t>
        </is>
      </c>
      <c r="S11" s="6" t="inlineStr">
        <is>
          <t>Processed date</t>
        </is>
      </c>
      <c r="T11" s="6" t="inlineStr">
        <is>
          <t>365 days</t>
        </is>
      </c>
      <c r="U11" s="6" t="inlineStr">
        <is>
          <t>Processed date</t>
        </is>
      </c>
      <c r="V11" s="6" t="inlineStr">
        <is>
          <t>NU</t>
        </is>
      </c>
      <c r="W11" s="6" t="n"/>
      <c r="X11" s="6" t="n"/>
      <c r="Y11" s="6" t="inlineStr">
        <is>
          <t>1</t>
        </is>
      </c>
      <c r="Z11" s="9" t="n">
        <v>6392.96</v>
      </c>
      <c r="AA11" s="9" t="n">
        <v>5793.21</v>
      </c>
      <c r="AB11" s="9" t="n">
        <v>0</v>
      </c>
      <c r="AC11" s="7" t="n">
        <v>46216</v>
      </c>
      <c r="AD11" s="9" t="n">
        <v>599.75</v>
      </c>
      <c r="AE11" s="5" t="n">
        <v>135</v>
      </c>
      <c r="AF11" s="6" t="inlineStr">
        <is>
          <t>M5416</t>
        </is>
      </c>
      <c r="AG11" s="6" t="inlineStr">
        <is>
          <t>M47896</t>
        </is>
      </c>
      <c r="AH11" s="6" t="inlineStr">
        <is>
          <t>M5489</t>
        </is>
      </c>
      <c r="AI11" s="6" t="n"/>
      <c r="AJ11" s="5" t="n">
        <v>561872992</v>
      </c>
      <c r="AK11" s="6" t="inlineStr">
        <is>
          <t>ADLER, STEVEN</t>
        </is>
      </c>
      <c r="AL11" s="6" t="inlineStr">
        <is>
          <t>ASAP - DEER VALLEY</t>
        </is>
      </c>
      <c r="AM11" s="7" t="n">
        <v>46118</v>
      </c>
      <c r="AN11" s="6" t="inlineStr">
        <is>
          <t>DME</t>
        </is>
      </c>
      <c r="AO11" s="6" t="inlineStr">
        <is>
          <t>31</t>
        </is>
      </c>
    </row>
  </sheetData>
  <autoFilter ref="A1:AO11"/>
  <conditionalFormatting sqref="L2:L1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1">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1">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1">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O4"/>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v>46217</v>
      </c>
      <c r="D2" s="5" t="n">
        <v>555067836</v>
      </c>
      <c r="E2" s="6" t="inlineStr">
        <is>
          <t>HF333306186</t>
        </is>
      </c>
      <c r="F2" s="7" t="n">
        <v>46083</v>
      </c>
      <c r="G2" s="6" t="inlineStr">
        <is>
          <t>UnitedHealthcare Community Plan / Arizona Long Term Care</t>
        </is>
      </c>
      <c r="H2" s="6" t="inlineStr">
        <is>
          <t>UnitedHealthcare Community Plan / Arizona Long Term Care</t>
        </is>
      </c>
      <c r="I2" s="6" t="inlineStr">
        <is>
          <t>UnitedHealthcare Community Plan / Arizona Long Term Care</t>
        </is>
      </c>
      <c r="J2" s="8" t="inlineStr">
        <is>
          <t>75710+26+XU+RT x1; 36246+59+RT x1; 75774+26+XU x5</t>
        </is>
      </c>
      <c r="K2" s="4" t="n"/>
      <c r="L2" s="5">
        <f>IF($O2="","",$O2-TODAY())</f>
        <v/>
      </c>
      <c r="M2" s="5">
        <f>IF($C2="","",$C2+180-TODAY())</f>
        <v/>
      </c>
      <c r="N2" s="5">
        <f>IF($C2="","",$C2+365-TODAY())</f>
        <v/>
      </c>
      <c r="O2" s="7" t="n">
        <v>46173</v>
      </c>
      <c r="P2" s="6" t="inlineStr">
        <is>
          <t>90 days</t>
        </is>
      </c>
      <c r="Q2" s="6" t="inlineStr">
        <is>
          <t>UHC COMMUNITY</t>
        </is>
      </c>
      <c r="R2" s="6" t="inlineStr">
        <is>
          <t>180 days</t>
        </is>
      </c>
      <c r="S2" s="6" t="inlineStr">
        <is>
          <t>Processed date</t>
        </is>
      </c>
      <c r="T2" s="6" t="inlineStr">
        <is>
          <t>365 days</t>
        </is>
      </c>
      <c r="U2" s="6" t="inlineStr">
        <is>
          <t>Processed date</t>
        </is>
      </c>
      <c r="V2" s="6" t="inlineStr">
        <is>
          <t>26, 59</t>
        </is>
      </c>
      <c r="W2" s="6" t="inlineStr">
        <is>
          <t>XU, RT</t>
        </is>
      </c>
      <c r="X2" s="6" t="inlineStr">
        <is>
          <t>RT</t>
        </is>
      </c>
      <c r="Y2" s="6" t="inlineStr">
        <is>
          <t>1, 5</t>
        </is>
      </c>
      <c r="Z2" s="9" t="n">
        <v>10134.88</v>
      </c>
      <c r="AA2" s="9" t="n">
        <v>0</v>
      </c>
      <c r="AB2" s="9" t="n">
        <v>0</v>
      </c>
      <c r="AC2" s="7" t="n">
        <v>46217</v>
      </c>
      <c r="AD2" s="9" t="n">
        <v>10134.88</v>
      </c>
      <c r="AE2" s="5" t="n">
        <v>159</v>
      </c>
      <c r="AF2" s="6" t="inlineStr">
        <is>
          <t>M1711</t>
        </is>
      </c>
      <c r="AG2" s="6" t="inlineStr">
        <is>
          <t>I798</t>
        </is>
      </c>
      <c r="AH2" s="6" t="inlineStr">
        <is>
          <t>M25561</t>
        </is>
      </c>
      <c r="AI2" s="6" t="n"/>
      <c r="AJ2" s="5" t="n"/>
      <c r="AK2" s="6" t="inlineStr">
        <is>
          <t>HUNTER, DREW</t>
        </is>
      </c>
      <c r="AL2" s="6" t="inlineStr">
        <is>
          <t>ASAP Surgery Centers North Valley LLC</t>
        </is>
      </c>
      <c r="AM2" s="7" t="n">
        <v>46119</v>
      </c>
      <c r="AN2" s="6" t="inlineStr">
        <is>
          <t>GAE</t>
        </is>
      </c>
      <c r="AO2" s="6" t="inlineStr">
        <is>
          <t>765, 766, 767</t>
        </is>
      </c>
    </row>
    <row r="3">
      <c r="A3" s="2" t="inlineStr">
        <is>
          <t>Finalized</t>
        </is>
      </c>
      <c r="B3" s="3" t="n"/>
      <c r="C3" s="4" t="n">
        <v>46132</v>
      </c>
      <c r="D3" s="5" t="n">
        <v>555069394</v>
      </c>
      <c r="E3" s="6" t="inlineStr">
        <is>
          <t>HF531061819</t>
        </is>
      </c>
      <c r="F3" s="7" t="n">
        <v>46089</v>
      </c>
      <c r="G3" s="6" t="inlineStr">
        <is>
          <t>AMETrust</t>
        </is>
      </c>
      <c r="H3" s="6" t="inlineStr">
        <is>
          <t>Blue Cross Blue Shield of Arizona (BCBS AZ)</t>
        </is>
      </c>
      <c r="I3" s="6" t="inlineStr">
        <is>
          <t>AMETrust</t>
        </is>
      </c>
      <c r="J3" s="8" t="inlineStr">
        <is>
          <t>37242 x1</t>
        </is>
      </c>
      <c r="K3" s="4" t="n"/>
      <c r="L3" s="5">
        <f>IF($O3="","",$O3-TODAY())</f>
        <v/>
      </c>
      <c r="M3" s="5">
        <f>IF($C3="","",$C3+365-TODAY())</f>
        <v/>
      </c>
      <c r="N3" s="5">
        <f>IF($C3="","",$C3+365-TODAY())</f>
        <v/>
      </c>
      <c r="O3" s="7" t="n">
        <v>46179</v>
      </c>
      <c r="P3" s="6" t="inlineStr">
        <is>
          <t>90 days</t>
        </is>
      </c>
      <c r="Q3" s="6" t="inlineStr">
        <is>
          <t>BCBS</t>
        </is>
      </c>
      <c r="R3" s="6" t="inlineStr">
        <is>
          <t>365 days</t>
        </is>
      </c>
      <c r="S3" s="6" t="inlineStr">
        <is>
          <t>Processed date</t>
        </is>
      </c>
      <c r="T3" s="6" t="inlineStr">
        <is>
          <t>365 days</t>
        </is>
      </c>
      <c r="U3" s="6" t="inlineStr">
        <is>
          <t>Processed date</t>
        </is>
      </c>
      <c r="V3" s="6" t="n"/>
      <c r="W3" s="6" t="n"/>
      <c r="X3" s="6" t="n"/>
      <c r="Y3" s="6" t="inlineStr">
        <is>
          <t>1</t>
        </is>
      </c>
      <c r="Z3" s="9" t="n">
        <v>49162.82</v>
      </c>
      <c r="AA3" s="9" t="n">
        <v>42467.38</v>
      </c>
      <c r="AB3" s="9" t="n">
        <v>2458.93</v>
      </c>
      <c r="AC3" s="7" t="n">
        <v>46132</v>
      </c>
      <c r="AD3" s="9" t="n">
        <v>4236.51</v>
      </c>
      <c r="AE3" s="5" t="n">
        <v>152</v>
      </c>
      <c r="AF3" s="6" t="inlineStr">
        <is>
          <t>M1712</t>
        </is>
      </c>
      <c r="AG3" s="6" t="inlineStr">
        <is>
          <t>I798</t>
        </is>
      </c>
      <c r="AH3" s="6" t="inlineStr">
        <is>
          <t>M25562</t>
        </is>
      </c>
      <c r="AI3" s="6" t="n"/>
      <c r="AJ3" s="5" t="n">
        <v>560554996</v>
      </c>
      <c r="AK3" s="6" t="inlineStr">
        <is>
          <t>HUNTER, DREW</t>
        </is>
      </c>
      <c r="AL3" s="6" t="inlineStr">
        <is>
          <t>ASAP - Gilbert</t>
        </is>
      </c>
      <c r="AM3" s="7" t="n">
        <v>46119</v>
      </c>
      <c r="AN3" s="6" t="inlineStr">
        <is>
          <t>GAE</t>
        </is>
      </c>
      <c r="AO3" s="6" t="inlineStr">
        <is>
          <t>282</t>
        </is>
      </c>
    </row>
    <row r="4">
      <c r="A4" s="2" t="n"/>
      <c r="B4" s="3" t="n"/>
      <c r="C4" s="4" t="n">
        <v>46132</v>
      </c>
      <c r="D4" s="5" t="n">
        <v>555069563</v>
      </c>
      <c r="E4" s="6" t="inlineStr">
        <is>
          <t>HF362284092</t>
        </is>
      </c>
      <c r="F4" s="7" t="n">
        <v>46089</v>
      </c>
      <c r="G4" s="6" t="inlineStr">
        <is>
          <t>UMR Wausau / UHIS</t>
        </is>
      </c>
      <c r="H4" s="6" t="inlineStr">
        <is>
          <t>UMR Wausau / UHIS</t>
        </is>
      </c>
      <c r="I4" s="6" t="inlineStr">
        <is>
          <t>Arizona Complete Health (Centene)</t>
        </is>
      </c>
      <c r="J4" s="8" t="inlineStr">
        <is>
          <t>75710+XU+LT x1; 75774+XU x5; 36245+59 x1; 36248+59 x3; 37242 x1; 36246+59+LT x1; 76937 x1</t>
        </is>
      </c>
      <c r="K4" s="4" t="n"/>
      <c r="L4" s="5">
        <f>IF($O4="","",$O4-TODAY())</f>
        <v/>
      </c>
      <c r="M4" s="5" t="n"/>
      <c r="N4" s="5">
        <f>IF($C4="","",$C4+180-TODAY())</f>
        <v/>
      </c>
      <c r="O4" s="7" t="n"/>
      <c r="P4" s="6" t="n"/>
      <c r="Q4" s="6" t="inlineStr">
        <is>
          <t>UMR / WAUSAU</t>
        </is>
      </c>
      <c r="R4" s="6" t="n"/>
      <c r="S4" s="6" t="n"/>
      <c r="T4" s="6" t="inlineStr">
        <is>
          <t>180 days</t>
        </is>
      </c>
      <c r="U4" s="6" t="inlineStr">
        <is>
          <t>Processed date</t>
        </is>
      </c>
      <c r="V4" s="6" t="inlineStr">
        <is>
          <t>XU, 59</t>
        </is>
      </c>
      <c r="W4" s="6" t="inlineStr">
        <is>
          <t>LT</t>
        </is>
      </c>
      <c r="X4" s="6" t="n"/>
      <c r="Y4" s="6" t="inlineStr">
        <is>
          <t>1, 5, 3</t>
        </is>
      </c>
      <c r="Z4" s="9" t="n">
        <v>70557.69</v>
      </c>
      <c r="AA4" s="9" t="n">
        <v>0</v>
      </c>
      <c r="AB4" s="9" t="n">
        <v>0</v>
      </c>
      <c r="AC4" s="7" t="n">
        <v>46132</v>
      </c>
      <c r="AD4" s="9" t="n">
        <v>70557.69</v>
      </c>
      <c r="AE4" s="5" t="n">
        <v>152</v>
      </c>
      <c r="AF4" s="6" t="inlineStr">
        <is>
          <t>M1712</t>
        </is>
      </c>
      <c r="AG4" s="6" t="inlineStr">
        <is>
          <t>I798</t>
        </is>
      </c>
      <c r="AH4" s="6" t="inlineStr">
        <is>
          <t>M25562</t>
        </is>
      </c>
      <c r="AI4" s="6" t="n"/>
      <c r="AJ4" s="5" t="n"/>
      <c r="AK4" s="6" t="inlineStr">
        <is>
          <t>HUNTER, DREW</t>
        </is>
      </c>
      <c r="AL4" s="6" t="inlineStr">
        <is>
          <t>ASAP - Gilbert</t>
        </is>
      </c>
      <c r="AM4" s="7" t="n">
        <v>46119</v>
      </c>
      <c r="AN4" s="6" t="inlineStr">
        <is>
          <t>GAE</t>
        </is>
      </c>
      <c r="AO4" s="6" t="inlineStr">
        <is>
          <t>95, 103, 111, 112, 113, 114, 115</t>
        </is>
      </c>
    </row>
  </sheetData>
  <autoFilter ref="A1:AO4"/>
  <conditionalFormatting sqref="L2:L4">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4">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4">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4">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4"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O1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v>46107</v>
      </c>
      <c r="D2" s="5" t="n">
        <v>553613990</v>
      </c>
      <c r="E2" s="6" t="inlineStr">
        <is>
          <t>HF339893207</t>
        </is>
      </c>
      <c r="F2" s="7" t="n">
        <v>46083</v>
      </c>
      <c r="G2" s="6" t="inlineStr">
        <is>
          <t>Medicare Part B Arizona *</t>
        </is>
      </c>
      <c r="H2" s="6" t="inlineStr">
        <is>
          <t>Medicare Part B Arizona *</t>
        </is>
      </c>
      <c r="I2" s="6" t="inlineStr">
        <is>
          <t>AARP United Healthcare</t>
        </is>
      </c>
      <c r="J2" s="8" t="inlineStr">
        <is>
          <t>63655 x1</t>
        </is>
      </c>
      <c r="K2" s="4" t="n"/>
      <c r="L2" s="5">
        <f>IF($O2="","",$O2-TODAY())</f>
        <v/>
      </c>
      <c r="M2" s="5">
        <f>IF($C2="","",$C2+365-TODAY())</f>
        <v/>
      </c>
      <c r="N2" s="5">
        <f>IF($C2="","",$C2+120-TODAY())</f>
        <v/>
      </c>
      <c r="O2" s="7" t="n">
        <v>46448</v>
      </c>
      <c r="P2" s="6" t="inlineStr">
        <is>
          <t>365 days</t>
        </is>
      </c>
      <c r="Q2" s="6" t="inlineStr">
        <is>
          <t>MEDICARE</t>
        </is>
      </c>
      <c r="R2" s="6" t="inlineStr">
        <is>
          <t>365 days</t>
        </is>
      </c>
      <c r="S2" s="6" t="inlineStr">
        <is>
          <t>Processed date</t>
        </is>
      </c>
      <c r="T2" s="6" t="inlineStr">
        <is>
          <t>120 days</t>
        </is>
      </c>
      <c r="U2" s="6" t="inlineStr">
        <is>
          <t>Processed date</t>
        </is>
      </c>
      <c r="V2" s="6" t="n"/>
      <c r="W2" s="6" t="n"/>
      <c r="X2" s="6" t="n"/>
      <c r="Y2" s="6" t="inlineStr">
        <is>
          <t>1</t>
        </is>
      </c>
      <c r="Z2" s="9" t="n">
        <v>5784.24</v>
      </c>
      <c r="AA2" s="9" t="n">
        <v>0</v>
      </c>
      <c r="AB2" s="9" t="n">
        <v>0</v>
      </c>
      <c r="AC2" s="7" t="n">
        <v>46107</v>
      </c>
      <c r="AD2" s="9" t="n">
        <v>5784.24</v>
      </c>
      <c r="AE2" s="5" t="n">
        <v>159</v>
      </c>
      <c r="AF2" s="6" t="inlineStr">
        <is>
          <t>M961</t>
        </is>
      </c>
      <c r="AG2" s="6" t="inlineStr">
        <is>
          <t>M5416</t>
        </is>
      </c>
      <c r="AH2" s="6" t="n"/>
      <c r="AI2" s="6" t="n"/>
      <c r="AJ2" s="5" t="n"/>
      <c r="AK2" s="6" t="inlineStr">
        <is>
          <t>LUKE, TIMOTHY</t>
        </is>
      </c>
      <c r="AL2" s="6" t="inlineStr">
        <is>
          <t>ASAP Surgery Centers North Valley LLC</t>
        </is>
      </c>
      <c r="AM2" s="7" t="n">
        <v>46105</v>
      </c>
      <c r="AN2" s="6" t="inlineStr">
        <is>
          <t>ORTHO</t>
        </is>
      </c>
      <c r="AO2" s="6" t="inlineStr">
        <is>
          <t>469</t>
        </is>
      </c>
    </row>
    <row r="3">
      <c r="A3" s="2" t="n"/>
      <c r="B3" s="3" t="n"/>
      <c r="C3" s="4" t="n">
        <v>46203</v>
      </c>
      <c r="D3" s="5" t="n">
        <v>552282896</v>
      </c>
      <c r="E3" s="6" t="inlineStr">
        <is>
          <t>HF538467882</t>
        </is>
      </c>
      <c r="F3" s="7" t="n">
        <v>46085</v>
      </c>
      <c r="G3" s="6" t="inlineStr">
        <is>
          <t>Medicare Part B Arizona *</t>
        </is>
      </c>
      <c r="H3" s="6" t="inlineStr">
        <is>
          <t>Medicare Part B Arizona *</t>
        </is>
      </c>
      <c r="I3" s="6" t="inlineStr">
        <is>
          <t>Blue Cross Blue Shield of Arizona (BCBS AZ)</t>
        </is>
      </c>
      <c r="J3" s="8" t="inlineStr">
        <is>
          <t>63047 x1; 63048 x1</t>
        </is>
      </c>
      <c r="K3" s="4" t="n"/>
      <c r="L3" s="5">
        <f>IF($O3="","",$O3-TODAY())</f>
        <v/>
      </c>
      <c r="M3" s="5">
        <f>IF($C3="","",$C3+365-TODAY())</f>
        <v/>
      </c>
      <c r="N3" s="5">
        <f>IF($C3="","",$C3+120-TODAY())</f>
        <v/>
      </c>
      <c r="O3" s="7" t="n">
        <v>46450</v>
      </c>
      <c r="P3" s="6" t="inlineStr">
        <is>
          <t>365 days</t>
        </is>
      </c>
      <c r="Q3" s="6" t="inlineStr">
        <is>
          <t>MEDICARE</t>
        </is>
      </c>
      <c r="R3" s="6" t="inlineStr">
        <is>
          <t>365 days</t>
        </is>
      </c>
      <c r="S3" s="6" t="inlineStr">
        <is>
          <t>Processed date</t>
        </is>
      </c>
      <c r="T3" s="6" t="inlineStr">
        <is>
          <t>120 days</t>
        </is>
      </c>
      <c r="U3" s="6" t="inlineStr">
        <is>
          <t>Processed date</t>
        </is>
      </c>
      <c r="V3" s="6" t="n"/>
      <c r="W3" s="6" t="n"/>
      <c r="X3" s="6" t="n"/>
      <c r="Y3" s="6" t="inlineStr">
        <is>
          <t>1</t>
        </is>
      </c>
      <c r="Z3" s="9" t="n">
        <v>9056.389999999999</v>
      </c>
      <c r="AA3" s="9" t="n">
        <v>0</v>
      </c>
      <c r="AB3" s="9" t="n">
        <v>0</v>
      </c>
      <c r="AC3" s="7" t="n">
        <v>46203</v>
      </c>
      <c r="AD3" s="9" t="n">
        <v>9056.389999999999</v>
      </c>
      <c r="AE3" s="5" t="n">
        <v>157</v>
      </c>
      <c r="AF3" s="6" t="inlineStr">
        <is>
          <t>M4316</t>
        </is>
      </c>
      <c r="AG3" s="6" t="inlineStr">
        <is>
          <t>M51362</t>
        </is>
      </c>
      <c r="AH3" s="6" t="inlineStr">
        <is>
          <t>M4726</t>
        </is>
      </c>
      <c r="AI3" s="6" t="inlineStr">
        <is>
          <t>Q7649</t>
        </is>
      </c>
      <c r="AJ3" s="5" t="n"/>
      <c r="AK3" s="6" t="inlineStr">
        <is>
          <t>MCCUNNIFF, PETER</t>
        </is>
      </c>
      <c r="AL3" s="6" t="inlineStr">
        <is>
          <t>ASAP Surgery Centers North Valley LLC</t>
        </is>
      </c>
      <c r="AM3" s="7" t="n">
        <v>46197</v>
      </c>
      <c r="AN3" s="6" t="inlineStr">
        <is>
          <t>ORTHO</t>
        </is>
      </c>
      <c r="AO3" s="6" t="inlineStr">
        <is>
          <t>784, 785</t>
        </is>
      </c>
    </row>
    <row r="4">
      <c r="A4" s="2" t="inlineStr">
        <is>
          <t>Finalized</t>
        </is>
      </c>
      <c r="B4" s="3" t="n"/>
      <c r="C4" s="4" t="n">
        <v>46128</v>
      </c>
      <c r="D4" s="5" t="n">
        <v>553719866</v>
      </c>
      <c r="E4" s="6" t="inlineStr">
        <is>
          <t>HF470696196</t>
        </is>
      </c>
      <c r="F4" s="7" t="n">
        <v>46094</v>
      </c>
      <c r="G4" s="6" t="inlineStr">
        <is>
          <t>Blue Cross Blue Shield of Arizona (BCBS AZ)</t>
        </is>
      </c>
      <c r="H4" s="6" t="inlineStr">
        <is>
          <t>Medicare Part B Arizona *</t>
        </is>
      </c>
      <c r="I4" s="6" t="inlineStr">
        <is>
          <t>Blue Cross Blue Shield of Arizona (BCBS AZ)</t>
        </is>
      </c>
      <c r="J4" s="8" t="inlineStr">
        <is>
          <t>63685 x1</t>
        </is>
      </c>
      <c r="K4" s="4" t="n"/>
      <c r="L4" s="5">
        <f>IF($O4="","",$O4-TODAY())</f>
        <v/>
      </c>
      <c r="M4" s="5">
        <f>IF($C4="","",$C4+365-TODAY())</f>
        <v/>
      </c>
      <c r="N4" s="5">
        <f>IF($C4="","",$C4+120-TODAY())</f>
        <v/>
      </c>
      <c r="O4" s="7" t="n">
        <v>46459</v>
      </c>
      <c r="P4" s="6" t="inlineStr">
        <is>
          <t>365 days</t>
        </is>
      </c>
      <c r="Q4" s="6" t="inlineStr">
        <is>
          <t>MEDICARE</t>
        </is>
      </c>
      <c r="R4" s="6" t="inlineStr">
        <is>
          <t>365 days</t>
        </is>
      </c>
      <c r="S4" s="6" t="inlineStr">
        <is>
          <t>Processed date</t>
        </is>
      </c>
      <c r="T4" s="6" t="inlineStr">
        <is>
          <t>120 days</t>
        </is>
      </c>
      <c r="U4" s="6" t="inlineStr">
        <is>
          <t>Processed date</t>
        </is>
      </c>
      <c r="V4" s="6" t="n"/>
      <c r="W4" s="6" t="n"/>
      <c r="X4" s="6" t="n"/>
      <c r="Y4" s="6" t="inlineStr">
        <is>
          <t>1</t>
        </is>
      </c>
      <c r="Z4" s="9" t="n">
        <v>2493.33</v>
      </c>
      <c r="AA4" s="9" t="n">
        <v>2340.79</v>
      </c>
      <c r="AB4" s="9" t="n">
        <v>121.54</v>
      </c>
      <c r="AC4" s="7" t="n">
        <v>46128</v>
      </c>
      <c r="AD4" s="9" t="n">
        <v>31</v>
      </c>
      <c r="AE4" s="5" t="n">
        <v>148</v>
      </c>
      <c r="AF4" s="6" t="inlineStr">
        <is>
          <t>M961</t>
        </is>
      </c>
      <c r="AG4" s="6" t="inlineStr">
        <is>
          <t>M48062</t>
        </is>
      </c>
      <c r="AH4" s="6" t="n"/>
      <c r="AI4" s="6" t="n"/>
      <c r="AJ4" s="5" t="n">
        <v>557765461</v>
      </c>
      <c r="AK4" s="6" t="inlineStr">
        <is>
          <t>SARKAR, AWNIK</t>
        </is>
      </c>
      <c r="AL4" s="6" t="inlineStr">
        <is>
          <t>ASAP Surgery Centers North Valley LLC</t>
        </is>
      </c>
      <c r="AM4" s="7" t="n">
        <v>46113</v>
      </c>
      <c r="AN4" s="6" t="inlineStr">
        <is>
          <t>ORTHO</t>
        </is>
      </c>
      <c r="AO4" s="6" t="inlineStr">
        <is>
          <t>121</t>
        </is>
      </c>
    </row>
    <row r="5">
      <c r="A5" s="2" t="n"/>
      <c r="B5" s="3" t="n"/>
      <c r="C5" s="4" t="n">
        <v>46108</v>
      </c>
      <c r="D5" s="5" t="n">
        <v>553223068</v>
      </c>
      <c r="E5" s="6" t="inlineStr">
        <is>
          <t>HF455478612</t>
        </is>
      </c>
      <c r="F5" s="7" t="n">
        <v>46099</v>
      </c>
      <c r="G5" s="6" t="inlineStr">
        <is>
          <t>Medicare Part B Arizona *</t>
        </is>
      </c>
      <c r="H5" s="6" t="inlineStr">
        <is>
          <t>Medicare Part B Arizona *</t>
        </is>
      </c>
      <c r="I5" s="6" t="inlineStr">
        <is>
          <t>Blue Cross Blue Shield of Arizona (BCBS AZ)</t>
        </is>
      </c>
      <c r="J5" s="8" t="inlineStr">
        <is>
          <t>63685 x1</t>
        </is>
      </c>
      <c r="K5" s="4" t="n"/>
      <c r="L5" s="5">
        <f>IF($O5="","",$O5-TODAY())</f>
        <v/>
      </c>
      <c r="M5" s="5">
        <f>IF($C5="","",$C5+365-TODAY())</f>
        <v/>
      </c>
      <c r="N5" s="5">
        <f>IF($C5="","",$C5+120-TODAY())</f>
        <v/>
      </c>
      <c r="O5" s="7" t="n">
        <v>46464</v>
      </c>
      <c r="P5" s="6" t="inlineStr">
        <is>
          <t>365 days</t>
        </is>
      </c>
      <c r="Q5" s="6" t="inlineStr">
        <is>
          <t>MEDICARE</t>
        </is>
      </c>
      <c r="R5" s="6" t="inlineStr">
        <is>
          <t>365 days</t>
        </is>
      </c>
      <c r="S5" s="6" t="inlineStr">
        <is>
          <t>Processed date</t>
        </is>
      </c>
      <c r="T5" s="6" t="inlineStr">
        <is>
          <t>120 days</t>
        </is>
      </c>
      <c r="U5" s="6" t="inlineStr">
        <is>
          <t>Processed date</t>
        </is>
      </c>
      <c r="V5" s="6" t="n"/>
      <c r="W5" s="6" t="n"/>
      <c r="X5" s="6" t="n"/>
      <c r="Y5" s="6" t="inlineStr">
        <is>
          <t>1</t>
        </is>
      </c>
      <c r="Z5" s="9" t="n">
        <v>2493.33</v>
      </c>
      <c r="AA5" s="9" t="n">
        <v>0</v>
      </c>
      <c r="AB5" s="9" t="n">
        <v>0</v>
      </c>
      <c r="AC5" s="7" t="n">
        <v>46108</v>
      </c>
      <c r="AD5" s="9" t="n">
        <v>2493.33</v>
      </c>
      <c r="AE5" s="5" t="n">
        <v>143</v>
      </c>
      <c r="AF5" s="6" t="inlineStr">
        <is>
          <t>G609</t>
        </is>
      </c>
      <c r="AG5" s="6" t="inlineStr">
        <is>
          <t>G5783</t>
        </is>
      </c>
      <c r="AH5" s="6" t="n"/>
      <c r="AI5" s="6" t="n"/>
      <c r="AJ5" s="5" t="n"/>
      <c r="AK5" s="6" t="inlineStr">
        <is>
          <t>CURRIE, DAVID</t>
        </is>
      </c>
      <c r="AL5" s="6" t="inlineStr">
        <is>
          <t>Premier Endoscopy Center, LLC</t>
        </is>
      </c>
      <c r="AM5" s="7" t="n">
        <v>46101</v>
      </c>
      <c r="AN5" s="6" t="inlineStr">
        <is>
          <t>ORTHO</t>
        </is>
      </c>
      <c r="AO5" s="6" t="inlineStr">
        <is>
          <t>140</t>
        </is>
      </c>
    </row>
    <row r="6">
      <c r="A6" s="2" t="n"/>
      <c r="B6" s="3" t="n"/>
      <c r="C6" s="4" t="n">
        <v>46203</v>
      </c>
      <c r="D6" s="5" t="n">
        <v>555372244</v>
      </c>
      <c r="E6" s="6" t="inlineStr">
        <is>
          <t>HF538308641</t>
        </is>
      </c>
      <c r="F6" s="7" t="n">
        <v>46104</v>
      </c>
      <c r="G6" s="6" t="inlineStr">
        <is>
          <t>Medicare Part B Arizona *</t>
        </is>
      </c>
      <c r="H6" s="6" t="inlineStr">
        <is>
          <t>Medicare Part B Arizona *</t>
        </is>
      </c>
      <c r="I6" s="6" t="inlineStr">
        <is>
          <t>Blue Cross Blue Shield of Arizona (BCBS AZ)</t>
        </is>
      </c>
      <c r="J6" s="8" t="inlineStr">
        <is>
          <t>63047+XS x1; 63048 x1; 22612 x1</t>
        </is>
      </c>
      <c r="K6" s="4" t="n"/>
      <c r="L6" s="5">
        <f>IF($O6="","",$O6-TODAY())</f>
        <v/>
      </c>
      <c r="M6" s="5">
        <f>IF($C6="","",$C6+365-TODAY())</f>
        <v/>
      </c>
      <c r="N6" s="5">
        <f>IF($C6="","",$C6+120-TODAY())</f>
        <v/>
      </c>
      <c r="O6" s="7" t="n">
        <v>46469</v>
      </c>
      <c r="P6" s="6" t="inlineStr">
        <is>
          <t>365 days</t>
        </is>
      </c>
      <c r="Q6" s="6" t="inlineStr">
        <is>
          <t>MEDICARE</t>
        </is>
      </c>
      <c r="R6" s="6" t="inlineStr">
        <is>
          <t>365 days</t>
        </is>
      </c>
      <c r="S6" s="6" t="inlineStr">
        <is>
          <t>Processed date</t>
        </is>
      </c>
      <c r="T6" s="6" t="inlineStr">
        <is>
          <t>120 days</t>
        </is>
      </c>
      <c r="U6" s="6" t="inlineStr">
        <is>
          <t>Processed date</t>
        </is>
      </c>
      <c r="V6" s="6" t="inlineStr">
        <is>
          <t>XS</t>
        </is>
      </c>
      <c r="W6" s="6" t="n"/>
      <c r="X6" s="6" t="n"/>
      <c r="Y6" s="6" t="inlineStr">
        <is>
          <t>1</t>
        </is>
      </c>
      <c r="Z6" s="9" t="n">
        <v>19949.23</v>
      </c>
      <c r="AA6" s="9" t="n">
        <v>0</v>
      </c>
      <c r="AB6" s="9" t="n">
        <v>0</v>
      </c>
      <c r="AC6" s="7" t="n">
        <v>46203</v>
      </c>
      <c r="AD6" s="9" t="n">
        <v>19949.23</v>
      </c>
      <c r="AE6" s="5" t="n">
        <v>138</v>
      </c>
      <c r="AF6" s="6" t="inlineStr">
        <is>
          <t>M5416, M4317</t>
        </is>
      </c>
      <c r="AG6" s="6" t="inlineStr">
        <is>
          <t>M48062, M4807</t>
        </is>
      </c>
      <c r="AH6" s="6" t="inlineStr">
        <is>
          <t>M5417</t>
        </is>
      </c>
      <c r="AI6" s="6" t="inlineStr">
        <is>
          <t>M5416</t>
        </is>
      </c>
      <c r="AJ6" s="5" t="n"/>
      <c r="AK6" s="6" t="inlineStr">
        <is>
          <t>MCCUNNIFF, PETER</t>
        </is>
      </c>
      <c r="AL6" s="6" t="inlineStr">
        <is>
          <t>ASAP Surgery Centers North Valley LLC</t>
        </is>
      </c>
      <c r="AM6" s="7" t="n">
        <v>46197</v>
      </c>
      <c r="AN6" s="6" t="inlineStr">
        <is>
          <t>ORTHO</t>
        </is>
      </c>
      <c r="AO6" s="6" t="inlineStr">
        <is>
          <t>143, 144, 145</t>
        </is>
      </c>
    </row>
    <row r="7">
      <c r="A7" s="2" t="inlineStr">
        <is>
          <t>Finalized</t>
        </is>
      </c>
      <c r="B7" s="3" t="n"/>
      <c r="C7" s="4" t="n">
        <v>46122</v>
      </c>
      <c r="D7" s="5" t="n">
        <v>553825634</v>
      </c>
      <c r="E7" s="6" t="inlineStr">
        <is>
          <t>HF425603516</t>
        </is>
      </c>
      <c r="F7" s="7" t="n">
        <v>46106</v>
      </c>
      <c r="G7" s="6" t="inlineStr">
        <is>
          <t>ChampVA - HAC</t>
        </is>
      </c>
      <c r="H7" s="6" t="inlineStr">
        <is>
          <t>Medicare Part B Arizona *</t>
        </is>
      </c>
      <c r="I7" s="6" t="inlineStr">
        <is>
          <t>ChampVA - HAC</t>
        </is>
      </c>
      <c r="J7" s="8" t="inlineStr">
        <is>
          <t>63685 x1</t>
        </is>
      </c>
      <c r="K7" s="4" t="n"/>
      <c r="L7" s="5">
        <f>IF($O7="","",$O7-TODAY())</f>
        <v/>
      </c>
      <c r="M7" s="5">
        <f>IF($C7="","",$C7+365-TODAY())</f>
        <v/>
      </c>
      <c r="N7" s="5">
        <f>IF($C7="","",$C7+120-TODAY())</f>
        <v/>
      </c>
      <c r="O7" s="7" t="n">
        <v>46471</v>
      </c>
      <c r="P7" s="6" t="inlineStr">
        <is>
          <t>365 days</t>
        </is>
      </c>
      <c r="Q7" s="6" t="inlineStr">
        <is>
          <t>MEDICARE</t>
        </is>
      </c>
      <c r="R7" s="6" t="inlineStr">
        <is>
          <t>365 days</t>
        </is>
      </c>
      <c r="S7" s="6" t="inlineStr">
        <is>
          <t>Processed date</t>
        </is>
      </c>
      <c r="T7" s="6" t="inlineStr">
        <is>
          <t>120 days</t>
        </is>
      </c>
      <c r="U7" s="6" t="inlineStr">
        <is>
          <t>Processed date</t>
        </is>
      </c>
      <c r="V7" s="6" t="n"/>
      <c r="W7" s="6" t="n"/>
      <c r="X7" s="6" t="n"/>
      <c r="Y7" s="6" t="inlineStr">
        <is>
          <t>1</t>
        </is>
      </c>
      <c r="Z7" s="9" t="n">
        <v>2493.33</v>
      </c>
      <c r="AA7" s="9" t="n">
        <v>2351.73</v>
      </c>
      <c r="AB7" s="9" t="n">
        <v>110.6</v>
      </c>
      <c r="AC7" s="7" t="n">
        <v>46122</v>
      </c>
      <c r="AD7" s="9" t="n">
        <v>31</v>
      </c>
      <c r="AE7" s="5" t="n">
        <v>136</v>
      </c>
      <c r="AF7" s="6" t="inlineStr">
        <is>
          <t>G90523</t>
        </is>
      </c>
      <c r="AG7" s="6" t="n"/>
      <c r="AH7" s="6" t="n"/>
      <c r="AI7" s="6" t="n"/>
      <c r="AJ7" s="5" t="n">
        <v>557571095</v>
      </c>
      <c r="AK7" s="6" t="inlineStr">
        <is>
          <t>LEATHEM, JARRETT</t>
        </is>
      </c>
      <c r="AL7" s="6" t="inlineStr">
        <is>
          <t>Premier Endoscopy Center, LLC</t>
        </is>
      </c>
      <c r="AM7" s="7" t="n">
        <v>46107</v>
      </c>
      <c r="AN7" s="6" t="inlineStr">
        <is>
          <t>ORTHO</t>
        </is>
      </c>
      <c r="AO7" s="6" t="inlineStr">
        <is>
          <t>283</t>
        </is>
      </c>
    </row>
    <row r="8">
      <c r="A8" s="2" t="inlineStr">
        <is>
          <t>Finalized</t>
        </is>
      </c>
      <c r="B8" s="3" t="n"/>
      <c r="C8" s="4" t="n">
        <v>46126</v>
      </c>
      <c r="D8" s="5" t="n">
        <v>554186385</v>
      </c>
      <c r="E8" s="6" t="inlineStr">
        <is>
          <t>HF539238719</t>
        </is>
      </c>
      <c r="F8" s="7" t="n">
        <v>46108</v>
      </c>
      <c r="G8" s="6" t="inlineStr">
        <is>
          <t>Mercy Care Plan (AHCCCS) - Complete Care &amp; Long Term Care (LTC)</t>
        </is>
      </c>
      <c r="H8" s="6" t="inlineStr">
        <is>
          <t>Medicare Part B Arizona *</t>
        </is>
      </c>
      <c r="I8" s="6" t="inlineStr">
        <is>
          <t>Mercy Care Plan (AHCCCS) - Complete Care &amp; Long Term Care (LTC)</t>
        </is>
      </c>
      <c r="J8" s="8" t="inlineStr">
        <is>
          <t>27279+LT x1</t>
        </is>
      </c>
      <c r="K8" s="4" t="n"/>
      <c r="L8" s="5">
        <f>IF($O8="","",$O8-TODAY())</f>
        <v/>
      </c>
      <c r="M8" s="5">
        <f>IF($C8="","",$C8+365-TODAY())</f>
        <v/>
      </c>
      <c r="N8" s="5">
        <f>IF($C8="","",$C8+120-TODAY())</f>
        <v/>
      </c>
      <c r="O8" s="7" t="n">
        <v>46473</v>
      </c>
      <c r="P8" s="6" t="inlineStr">
        <is>
          <t>365 days</t>
        </is>
      </c>
      <c r="Q8" s="6" t="inlineStr">
        <is>
          <t>MEDICARE</t>
        </is>
      </c>
      <c r="R8" s="6" t="inlineStr">
        <is>
          <t>365 days</t>
        </is>
      </c>
      <c r="S8" s="6" t="inlineStr">
        <is>
          <t>Processed date</t>
        </is>
      </c>
      <c r="T8" s="6" t="inlineStr">
        <is>
          <t>120 days</t>
        </is>
      </c>
      <c r="U8" s="6" t="inlineStr">
        <is>
          <t>Processed date</t>
        </is>
      </c>
      <c r="V8" s="6" t="inlineStr">
        <is>
          <t>LT</t>
        </is>
      </c>
      <c r="W8" s="6" t="n"/>
      <c r="X8" s="6" t="n"/>
      <c r="Y8" s="6" t="inlineStr">
        <is>
          <t>1</t>
        </is>
      </c>
      <c r="Z8" s="9" t="n">
        <v>5614.63</v>
      </c>
      <c r="AA8" s="9" t="n">
        <v>4889.05</v>
      </c>
      <c r="AB8" s="9" t="n">
        <v>578.1</v>
      </c>
      <c r="AC8" s="7" t="n">
        <v>46126</v>
      </c>
      <c r="AD8" s="9" t="n">
        <v>147.48</v>
      </c>
      <c r="AE8" s="5" t="n">
        <v>134</v>
      </c>
      <c r="AF8" s="6" t="inlineStr">
        <is>
          <t>M461</t>
        </is>
      </c>
      <c r="AG8" s="6" t="n"/>
      <c r="AH8" s="6" t="n"/>
      <c r="AI8" s="6" t="n"/>
      <c r="AJ8" s="5" t="n">
        <v>557570916</v>
      </c>
      <c r="AK8" s="6" t="inlineStr">
        <is>
          <t>MORALES, DAVID</t>
        </is>
      </c>
      <c r="AL8" s="6" t="inlineStr">
        <is>
          <t>ASAP Surgery Centers North Valley LLC</t>
        </is>
      </c>
      <c r="AM8" s="7" t="n">
        <v>46112</v>
      </c>
      <c r="AN8" s="6" t="inlineStr">
        <is>
          <t>ORTHO</t>
        </is>
      </c>
      <c r="AO8" s="6" t="inlineStr">
        <is>
          <t>10</t>
        </is>
      </c>
    </row>
    <row r="9">
      <c r="A9" s="2" t="n"/>
      <c r="B9" s="3" t="n"/>
      <c r="C9" s="4" t="n">
        <v>46204</v>
      </c>
      <c r="D9" s="5" t="n">
        <v>552284225</v>
      </c>
      <c r="E9" s="6" t="inlineStr">
        <is>
          <t>HF517981468</t>
        </is>
      </c>
      <c r="F9" s="7" t="n">
        <v>46085</v>
      </c>
      <c r="G9" s="6" t="inlineStr">
        <is>
          <t>HealthSpring Medicare Advantage</t>
        </is>
      </c>
      <c r="H9" s="6" t="inlineStr">
        <is>
          <t>HealthSpring Medicare Advantage</t>
        </is>
      </c>
      <c r="I9" s="6" t="inlineStr">
        <is>
          <t>No Payer</t>
        </is>
      </c>
      <c r="J9" s="8" t="inlineStr">
        <is>
          <t>63048 x1</t>
        </is>
      </c>
      <c r="K9" s="4" t="n"/>
      <c r="L9" s="5">
        <f>IF($O9="","",$O9-TODAY())</f>
        <v/>
      </c>
      <c r="M9" s="5">
        <f>IF($F9="","",$F9+90-TODAY())</f>
        <v/>
      </c>
      <c r="N9" s="5">
        <f>IF($C9="","",$C9+180-TODAY())</f>
        <v/>
      </c>
      <c r="O9" s="7" t="n">
        <v>46175</v>
      </c>
      <c r="P9" s="6" t="inlineStr">
        <is>
          <t>90 days</t>
        </is>
      </c>
      <c r="Q9" s="6" t="inlineStr">
        <is>
          <t>CIGNA / CIGNA MEDICARE</t>
        </is>
      </c>
      <c r="R9" s="6" t="inlineStr">
        <is>
          <t>90 days</t>
        </is>
      </c>
      <c r="S9" s="6" t="inlineStr">
        <is>
          <t>Date of service</t>
        </is>
      </c>
      <c r="T9" s="6" t="inlineStr">
        <is>
          <t>180 days</t>
        </is>
      </c>
      <c r="U9" s="6" t="inlineStr">
        <is>
          <t>Processed date</t>
        </is>
      </c>
      <c r="V9" s="6" t="n"/>
      <c r="W9" s="6" t="n"/>
      <c r="X9" s="6" t="n"/>
      <c r="Y9" s="6" t="inlineStr">
        <is>
          <t>1</t>
        </is>
      </c>
      <c r="Z9" s="9" t="n">
        <v>1433.32</v>
      </c>
      <c r="AA9" s="9" t="n">
        <v>0</v>
      </c>
      <c r="AB9" s="9" t="n">
        <v>0</v>
      </c>
      <c r="AC9" s="7" t="n">
        <v>46204</v>
      </c>
      <c r="AD9" s="9" t="n">
        <v>1433.32</v>
      </c>
      <c r="AE9" s="5" t="n">
        <v>157</v>
      </c>
      <c r="AF9" s="6" t="inlineStr">
        <is>
          <t>M4316</t>
        </is>
      </c>
      <c r="AG9" s="6" t="inlineStr">
        <is>
          <t>M4726</t>
        </is>
      </c>
      <c r="AH9" s="6" t="inlineStr">
        <is>
          <t>M5416</t>
        </is>
      </c>
      <c r="AI9" s="6" t="inlineStr">
        <is>
          <t>M4120</t>
        </is>
      </c>
      <c r="AJ9" s="5" t="n"/>
      <c r="AK9" s="6" t="inlineStr">
        <is>
          <t>MCCUNNIFF, PETER</t>
        </is>
      </c>
      <c r="AL9" s="6" t="inlineStr">
        <is>
          <t>ASAP Surgery Centers North Valley LLC</t>
        </is>
      </c>
      <c r="AM9" s="7" t="n">
        <v>46197</v>
      </c>
      <c r="AN9" s="6" t="inlineStr">
        <is>
          <t>ORTHO</t>
        </is>
      </c>
      <c r="AO9" s="6" t="inlineStr">
        <is>
          <t>759</t>
        </is>
      </c>
    </row>
    <row r="10">
      <c r="A10" s="2" t="n"/>
      <c r="B10" s="3" t="n"/>
      <c r="C10" s="4" t="n">
        <v>46097</v>
      </c>
      <c r="D10" s="5" t="n">
        <v>551964467</v>
      </c>
      <c r="E10" s="6" t="inlineStr">
        <is>
          <t>HF490461961</t>
        </is>
      </c>
      <c r="F10" s="7" t="n">
        <v>46087</v>
      </c>
      <c r="G10" s="6" t="inlineStr">
        <is>
          <t>Humana Gold Plus HMO</t>
        </is>
      </c>
      <c r="H10" s="6" t="inlineStr">
        <is>
          <t>Humana Gold Plus HMO</t>
        </is>
      </c>
      <c r="I10" s="6" t="inlineStr">
        <is>
          <t>No Payer</t>
        </is>
      </c>
      <c r="J10" s="8" t="inlineStr">
        <is>
          <t>63047 x1</t>
        </is>
      </c>
      <c r="K10" s="4" t="n"/>
      <c r="L10" s="5">
        <f>IF($O10="","",$O10-TODAY())</f>
        <v/>
      </c>
      <c r="M10" s="5">
        <f>IF($F10="","",$F10+90-TODAY())</f>
        <v/>
      </c>
      <c r="N10" s="5">
        <f>IF($C10="","",$C10+60-TODAY())</f>
        <v/>
      </c>
      <c r="O10" s="7" t="n">
        <v>46177</v>
      </c>
      <c r="P10" s="6" t="inlineStr">
        <is>
          <t>90 days</t>
        </is>
      </c>
      <c r="Q10" s="6" t="inlineStr">
        <is>
          <t>HUMANA MA</t>
        </is>
      </c>
      <c r="R10" s="6" t="inlineStr">
        <is>
          <t>90 days</t>
        </is>
      </c>
      <c r="S10" s="6" t="inlineStr">
        <is>
          <t>Date of service</t>
        </is>
      </c>
      <c r="T10" s="6" t="inlineStr">
        <is>
          <t>60 days</t>
        </is>
      </c>
      <c r="U10" s="6" t="inlineStr">
        <is>
          <t>Processed date</t>
        </is>
      </c>
      <c r="V10" s="6" t="n"/>
      <c r="W10" s="6" t="n"/>
      <c r="X10" s="6" t="n"/>
      <c r="Y10" s="6" t="inlineStr">
        <is>
          <t>1</t>
        </is>
      </c>
      <c r="Z10" s="9" t="n">
        <v>7623.07</v>
      </c>
      <c r="AA10" s="9" t="n">
        <v>0</v>
      </c>
      <c r="AB10" s="9" t="n">
        <v>0</v>
      </c>
      <c r="AC10" s="7" t="n">
        <v>46097</v>
      </c>
      <c r="AD10" s="9" t="n">
        <v>7623.07</v>
      </c>
      <c r="AE10" s="5" t="n">
        <v>155</v>
      </c>
      <c r="AF10" s="6" t="inlineStr">
        <is>
          <t>M48062</t>
        </is>
      </c>
      <c r="AG10" s="6" t="n"/>
      <c r="AH10" s="6" t="n"/>
      <c r="AI10" s="6" t="n"/>
      <c r="AJ10" s="5" t="n"/>
      <c r="AK10" s="6" t="inlineStr">
        <is>
          <t>MORALES, DAVID</t>
        </is>
      </c>
      <c r="AL10" s="6" t="inlineStr">
        <is>
          <t>ASAP Surgery Centers North Valley LLC</t>
        </is>
      </c>
      <c r="AM10" s="7" t="n">
        <v>46091</v>
      </c>
      <c r="AN10" s="6" t="inlineStr">
        <is>
          <t>ORTHO</t>
        </is>
      </c>
      <c r="AO10" s="6" t="inlineStr">
        <is>
          <t>452</t>
        </is>
      </c>
    </row>
    <row r="11">
      <c r="A11" s="2" t="n"/>
      <c r="B11" s="3" t="n"/>
      <c r="C11" s="4" t="n"/>
      <c r="D11" s="5" t="n">
        <v>553643849</v>
      </c>
      <c r="E11" s="6" t="inlineStr">
        <is>
          <t>HF537038069</t>
        </is>
      </c>
      <c r="F11" s="7" t="n">
        <v>46087</v>
      </c>
      <c r="G11" s="6" t="inlineStr">
        <is>
          <t>Blue Cross Blue Shield of Arizona (BCBS AZ)</t>
        </is>
      </c>
      <c r="H11" s="6" t="inlineStr">
        <is>
          <t>Blue Cross Blue Shield of Arizona (BCBS AZ)</t>
        </is>
      </c>
      <c r="I11" s="6" t="inlineStr">
        <is>
          <t>No Payer</t>
        </is>
      </c>
      <c r="J11" s="8" t="inlineStr">
        <is>
          <t>22853 x1; 22551 x1; 22845+59 x1</t>
        </is>
      </c>
      <c r="K11" s="4" t="n"/>
      <c r="L11" s="5">
        <f>IF($O11="","",$O11-TODAY())</f>
        <v/>
      </c>
      <c r="M11" s="5">
        <f>IF($C11="","",$C11+365-TODAY())</f>
        <v/>
      </c>
      <c r="N11" s="5">
        <f>IF($C11="","",$C11+365-TODAY())</f>
        <v/>
      </c>
      <c r="O11" s="7" t="n">
        <v>46177</v>
      </c>
      <c r="P11" s="6" t="inlineStr">
        <is>
          <t>90 days</t>
        </is>
      </c>
      <c r="Q11" s="6" t="inlineStr">
        <is>
          <t>BCBS</t>
        </is>
      </c>
      <c r="R11" s="6" t="inlineStr">
        <is>
          <t>365 days</t>
        </is>
      </c>
      <c r="S11" s="6" t="inlineStr">
        <is>
          <t>Processed date</t>
        </is>
      </c>
      <c r="T11" s="6" t="inlineStr">
        <is>
          <t>365 days</t>
        </is>
      </c>
      <c r="U11" s="6" t="inlineStr">
        <is>
          <t>Processed date</t>
        </is>
      </c>
      <c r="V11" s="6" t="inlineStr">
        <is>
          <t>59</t>
        </is>
      </c>
      <c r="W11" s="6" t="n"/>
      <c r="X11" s="6" t="n"/>
      <c r="Y11" s="6" t="inlineStr">
        <is>
          <t>1</t>
        </is>
      </c>
      <c r="Z11" s="9" t="n">
        <v>18400.34</v>
      </c>
      <c r="AA11" s="9" t="n">
        <v>0</v>
      </c>
      <c r="AB11" s="9" t="n">
        <v>0</v>
      </c>
      <c r="AC11" s="7" t="n"/>
      <c r="AD11" s="9" t="n">
        <v>18400.34</v>
      </c>
      <c r="AE11" s="5" t="n">
        <v>155</v>
      </c>
      <c r="AF11" s="6" t="inlineStr">
        <is>
          <t>M4802</t>
        </is>
      </c>
      <c r="AG11" s="6" t="inlineStr">
        <is>
          <t>M50021</t>
        </is>
      </c>
      <c r="AH11" s="6" t="n"/>
      <c r="AI11" s="6" t="n"/>
      <c r="AJ11" s="5" t="n"/>
      <c r="AK11" s="6" t="inlineStr">
        <is>
          <t>MAYURAN, VIKRAM</t>
        </is>
      </c>
      <c r="AL11" s="6" t="inlineStr">
        <is>
          <t>Banner Desert Medical Center</t>
        </is>
      </c>
      <c r="AM11" s="7" t="n">
        <v>46197</v>
      </c>
      <c r="AN11" s="6" t="inlineStr">
        <is>
          <t>ORTHO</t>
        </is>
      </c>
      <c r="AO11" s="6" t="inlineStr">
        <is>
          <t>520, 521, 522</t>
        </is>
      </c>
    </row>
    <row r="12">
      <c r="A12" s="2" t="n"/>
      <c r="B12" s="3" t="n"/>
      <c r="C12" s="4" t="n">
        <v>46108</v>
      </c>
      <c r="D12" s="5" t="n">
        <v>553652690</v>
      </c>
      <c r="E12" s="6" t="inlineStr">
        <is>
          <t>HF495165589</t>
        </is>
      </c>
      <c r="F12" s="7" t="n">
        <v>46093</v>
      </c>
      <c r="G12" s="6" t="inlineStr">
        <is>
          <t>Humana Gold Plus HMO</t>
        </is>
      </c>
      <c r="H12" s="6" t="inlineStr">
        <is>
          <t>Humana Gold Plus HMO</t>
        </is>
      </c>
      <c r="I12" s="6" t="inlineStr">
        <is>
          <t>No Payer</t>
        </is>
      </c>
      <c r="J12" s="8" t="inlineStr">
        <is>
          <t>22853 x1; 22845+59 x1; 22551 x1</t>
        </is>
      </c>
      <c r="K12" s="4" t="n"/>
      <c r="L12" s="5">
        <f>IF($O12="","",$O12-TODAY())</f>
        <v/>
      </c>
      <c r="M12" s="5">
        <f>IF($F12="","",$F12+90-TODAY())</f>
        <v/>
      </c>
      <c r="N12" s="5">
        <f>IF($C12="","",$C12+60-TODAY())</f>
        <v/>
      </c>
      <c r="O12" s="7" t="n">
        <v>46183</v>
      </c>
      <c r="P12" s="6" t="inlineStr">
        <is>
          <t>90 days</t>
        </is>
      </c>
      <c r="Q12" s="6" t="inlineStr">
        <is>
          <t>HUMANA MA</t>
        </is>
      </c>
      <c r="R12" s="6" t="inlineStr">
        <is>
          <t>90 days</t>
        </is>
      </c>
      <c r="S12" s="6" t="inlineStr">
        <is>
          <t>Date of service</t>
        </is>
      </c>
      <c r="T12" s="6" t="inlineStr">
        <is>
          <t>60 days</t>
        </is>
      </c>
      <c r="U12" s="6" t="inlineStr">
        <is>
          <t>Processed date</t>
        </is>
      </c>
      <c r="V12" s="6" t="inlineStr">
        <is>
          <t>59</t>
        </is>
      </c>
      <c r="W12" s="6" t="n"/>
      <c r="X12" s="6" t="n"/>
      <c r="Y12" s="6" t="inlineStr">
        <is>
          <t>1</t>
        </is>
      </c>
      <c r="Z12" s="9" t="n">
        <v>18400.34</v>
      </c>
      <c r="AA12" s="9" t="n">
        <v>0</v>
      </c>
      <c r="AB12" s="9" t="n">
        <v>0</v>
      </c>
      <c r="AC12" s="7" t="n">
        <v>46108</v>
      </c>
      <c r="AD12" s="9" t="n">
        <v>18400.34</v>
      </c>
      <c r="AE12" s="5" t="n">
        <v>149</v>
      </c>
      <c r="AF12" s="6" t="inlineStr">
        <is>
          <t>M5416</t>
        </is>
      </c>
      <c r="AG12" s="6" t="inlineStr">
        <is>
          <t>M4317</t>
        </is>
      </c>
      <c r="AH12" s="6" t="n"/>
      <c r="AI12" s="6" t="n"/>
      <c r="AJ12" s="5" t="n"/>
      <c r="AK12" s="6" t="inlineStr">
        <is>
          <t>MAYURAN, VIKRAM</t>
        </is>
      </c>
      <c r="AL12" s="6" t="inlineStr">
        <is>
          <t>Banner Desert Medical Center</t>
        </is>
      </c>
      <c r="AM12" s="7" t="n">
        <v>46105</v>
      </c>
      <c r="AN12" s="6" t="inlineStr">
        <is>
          <t>ORTHO</t>
        </is>
      </c>
      <c r="AO12" s="6" t="inlineStr">
        <is>
          <t>47, 48, 49</t>
        </is>
      </c>
    </row>
    <row r="13">
      <c r="A13" s="2" t="n"/>
      <c r="B13" s="3" t="n"/>
      <c r="C13" s="4" t="n">
        <v>46220</v>
      </c>
      <c r="D13" s="5" t="n">
        <v>553656838</v>
      </c>
      <c r="E13" s="6" t="inlineStr">
        <is>
          <t>HF536440270</t>
        </is>
      </c>
      <c r="F13" s="7" t="n">
        <v>46093</v>
      </c>
      <c r="G13" s="6" t="inlineStr">
        <is>
          <t>Humana Gold Plus HMO</t>
        </is>
      </c>
      <c r="H13" s="6" t="inlineStr">
        <is>
          <t>Humana Gold Plus HMO</t>
        </is>
      </c>
      <c r="I13" s="6" t="inlineStr">
        <is>
          <t>No Payer</t>
        </is>
      </c>
      <c r="J13" s="8" t="inlineStr">
        <is>
          <t>22853 x1; 22612 x1</t>
        </is>
      </c>
      <c r="K13" s="4" t="n"/>
      <c r="L13" s="5">
        <f>IF($O13="","",$O13-TODAY())</f>
        <v/>
      </c>
      <c r="M13" s="5">
        <f>IF($F13="","",$F13+90-TODAY())</f>
        <v/>
      </c>
      <c r="N13" s="5">
        <f>IF($C13="","",$C13+60-TODAY())</f>
        <v/>
      </c>
      <c r="O13" s="7" t="n">
        <v>46183</v>
      </c>
      <c r="P13" s="6" t="inlineStr">
        <is>
          <t>90 days</t>
        </is>
      </c>
      <c r="Q13" s="6" t="inlineStr">
        <is>
          <t>HUMANA MA</t>
        </is>
      </c>
      <c r="R13" s="6" t="inlineStr">
        <is>
          <t>90 days</t>
        </is>
      </c>
      <c r="S13" s="6" t="inlineStr">
        <is>
          <t>Date of service</t>
        </is>
      </c>
      <c r="T13" s="6" t="inlineStr">
        <is>
          <t>60 days</t>
        </is>
      </c>
      <c r="U13" s="6" t="inlineStr">
        <is>
          <t>Processed date</t>
        </is>
      </c>
      <c r="V13" s="6" t="n"/>
      <c r="W13" s="6" t="n"/>
      <c r="X13" s="6" t="n"/>
      <c r="Y13" s="6" t="inlineStr">
        <is>
          <t>1</t>
        </is>
      </c>
      <c r="Z13" s="9" t="n">
        <v>12650.96</v>
      </c>
      <c r="AA13" s="9" t="n">
        <v>0</v>
      </c>
      <c r="AB13" s="9" t="n">
        <v>0</v>
      </c>
      <c r="AC13" s="7" t="n">
        <v>46220</v>
      </c>
      <c r="AD13" s="9" t="n">
        <v>12650.96</v>
      </c>
      <c r="AE13" s="5" t="n">
        <v>149</v>
      </c>
      <c r="AF13" s="6" t="inlineStr">
        <is>
          <t>M5416</t>
        </is>
      </c>
      <c r="AG13" s="6" t="inlineStr">
        <is>
          <t>M48061</t>
        </is>
      </c>
      <c r="AH13" s="6" t="n"/>
      <c r="AI13" s="6" t="n"/>
      <c r="AJ13" s="5" t="n"/>
      <c r="AK13" s="6" t="inlineStr">
        <is>
          <t>MAYURAN, VIKRAM</t>
        </is>
      </c>
      <c r="AL13" s="6" t="inlineStr">
        <is>
          <t>Banner Desert Medical Center</t>
        </is>
      </c>
      <c r="AM13" s="7" t="n">
        <v>46105</v>
      </c>
      <c r="AN13" s="6" t="inlineStr">
        <is>
          <t>ORTHO</t>
        </is>
      </c>
      <c r="AO13" s="6" t="inlineStr">
        <is>
          <t>50, 104</t>
        </is>
      </c>
    </row>
    <row r="14">
      <c r="A14" s="2" t="n"/>
      <c r="B14" s="3" t="n"/>
      <c r="C14" s="4" t="n">
        <v>46127</v>
      </c>
      <c r="D14" s="5" t="n">
        <v>555351211</v>
      </c>
      <c r="E14" s="6" t="inlineStr">
        <is>
          <t>HF404885397</t>
        </is>
      </c>
      <c r="F14" s="7" t="n">
        <v>46093</v>
      </c>
      <c r="G14" s="6" t="inlineStr">
        <is>
          <t>UnitedHealthcare Community Plan / Arizona Long Term Care</t>
        </is>
      </c>
      <c r="H14" s="6" t="inlineStr">
        <is>
          <t>UnitedHealthcare Community Plan / Arizona Long Term Care</t>
        </is>
      </c>
      <c r="I14" s="6" t="inlineStr">
        <is>
          <t>No Payer</t>
        </is>
      </c>
      <c r="J14" s="8" t="inlineStr">
        <is>
          <t>63655 x1; 63685 x1</t>
        </is>
      </c>
      <c r="K14" s="4" t="n"/>
      <c r="L14" s="5">
        <f>IF($O14="","",$O14-TODAY())</f>
        <v/>
      </c>
      <c r="M14" s="5">
        <f>IF($C14="","",$C14+180-TODAY())</f>
        <v/>
      </c>
      <c r="N14" s="5">
        <f>IF($C14="","",$C14+365-TODAY())</f>
        <v/>
      </c>
      <c r="O14" s="7" t="n">
        <v>46183</v>
      </c>
      <c r="P14" s="6" t="inlineStr">
        <is>
          <t>90 days</t>
        </is>
      </c>
      <c r="Q14" s="6" t="inlineStr">
        <is>
          <t>UHC COMMUNITY</t>
        </is>
      </c>
      <c r="R14" s="6" t="inlineStr">
        <is>
          <t>180 days</t>
        </is>
      </c>
      <c r="S14" s="6" t="inlineStr">
        <is>
          <t>Processed date</t>
        </is>
      </c>
      <c r="T14" s="6" t="inlineStr">
        <is>
          <t>365 days</t>
        </is>
      </c>
      <c r="U14" s="6" t="inlineStr">
        <is>
          <t>Processed date</t>
        </is>
      </c>
      <c r="V14" s="6" t="n"/>
      <c r="W14" s="6" t="n"/>
      <c r="X14" s="6" t="n"/>
      <c r="Y14" s="6" t="inlineStr">
        <is>
          <t>1</t>
        </is>
      </c>
      <c r="Z14" s="9" t="n">
        <v>8277.57</v>
      </c>
      <c r="AA14" s="9" t="n">
        <v>0</v>
      </c>
      <c r="AB14" s="9" t="n">
        <v>0</v>
      </c>
      <c r="AC14" s="7" t="n">
        <v>46127</v>
      </c>
      <c r="AD14" s="9" t="n">
        <v>8277.57</v>
      </c>
      <c r="AE14" s="5" t="n">
        <v>149</v>
      </c>
      <c r="AF14" s="6" t="inlineStr">
        <is>
          <t>M961</t>
        </is>
      </c>
      <c r="AG14" s="6" t="inlineStr">
        <is>
          <t>M5416</t>
        </is>
      </c>
      <c r="AH14" s="6" t="n"/>
      <c r="AI14" s="6" t="n"/>
      <c r="AJ14" s="5" t="n"/>
      <c r="AK14" s="6" t="inlineStr">
        <is>
          <t>LUKE, TIMOTHY</t>
        </is>
      </c>
      <c r="AL14" s="6" t="inlineStr">
        <is>
          <t>ASAP Surgery Centers North Valley LLC</t>
        </is>
      </c>
      <c r="AM14" s="7" t="n">
        <v>46120</v>
      </c>
      <c r="AN14" s="6" t="inlineStr">
        <is>
          <t>ORTHO</t>
        </is>
      </c>
      <c r="AO14" s="6" t="inlineStr">
        <is>
          <t>650, 651</t>
        </is>
      </c>
    </row>
    <row r="15">
      <c r="A15" s="2" t="n"/>
      <c r="B15" s="3" t="n"/>
      <c r="C15" s="4" t="n">
        <v>46101</v>
      </c>
      <c r="D15" s="5" t="n">
        <v>553172544</v>
      </c>
      <c r="E15" s="6" t="inlineStr">
        <is>
          <t>HF551760467</t>
        </is>
      </c>
      <c r="F15" s="7" t="n">
        <v>46097</v>
      </c>
      <c r="G15" s="6" t="inlineStr">
        <is>
          <t>Humana</t>
        </is>
      </c>
      <c r="H15" s="6" t="inlineStr">
        <is>
          <t>Humana</t>
        </is>
      </c>
      <c r="I15" s="6" t="inlineStr">
        <is>
          <t>No Payer</t>
        </is>
      </c>
      <c r="J15" s="8" t="inlineStr">
        <is>
          <t>63030+50 x1; 63035+LT x1</t>
        </is>
      </c>
      <c r="K15" s="4" t="n"/>
      <c r="L15" s="5">
        <f>IF($O15="","",$O15-TODAY())</f>
        <v/>
      </c>
      <c r="M15" s="5">
        <f>IF($F15="","",$F15+90-TODAY())</f>
        <v/>
      </c>
      <c r="N15" s="5">
        <f>IF($C15="","",$C15+60-TODAY())</f>
        <v/>
      </c>
      <c r="O15" s="7" t="n">
        <v>46187</v>
      </c>
      <c r="P15" s="6" t="inlineStr">
        <is>
          <t>90 days</t>
        </is>
      </c>
      <c r="Q15" s="6" t="inlineStr">
        <is>
          <t>HUMANA COMMERCIAL</t>
        </is>
      </c>
      <c r="R15" s="6" t="inlineStr">
        <is>
          <t>90 days</t>
        </is>
      </c>
      <c r="S15" s="6" t="inlineStr">
        <is>
          <t>Date of service</t>
        </is>
      </c>
      <c r="T15" s="6" t="inlineStr">
        <is>
          <t>60 days</t>
        </is>
      </c>
      <c r="U15" s="6" t="inlineStr">
        <is>
          <t>Processed date</t>
        </is>
      </c>
      <c r="V15" s="6" t="inlineStr">
        <is>
          <t>50, LT</t>
        </is>
      </c>
      <c r="W15" s="6" t="n"/>
      <c r="X15" s="6" t="n"/>
      <c r="Y15" s="6" t="inlineStr">
        <is>
          <t>1</t>
        </is>
      </c>
      <c r="Z15" s="9" t="n">
        <v>7892.85</v>
      </c>
      <c r="AA15" s="9" t="n">
        <v>0</v>
      </c>
      <c r="AB15" s="9" t="n">
        <v>0</v>
      </c>
      <c r="AC15" s="7" t="n">
        <v>46101</v>
      </c>
      <c r="AD15" s="9" t="n">
        <v>7892.85</v>
      </c>
      <c r="AE15" s="5" t="n">
        <v>145</v>
      </c>
      <c r="AF15" s="6" t="inlineStr">
        <is>
          <t>M48062</t>
        </is>
      </c>
      <c r="AG15" s="6" t="inlineStr">
        <is>
          <t>M5416</t>
        </is>
      </c>
      <c r="AH15" s="6" t="inlineStr">
        <is>
          <t>M9963</t>
        </is>
      </c>
      <c r="AI15" s="6" t="inlineStr">
        <is>
          <t>M5126</t>
        </is>
      </c>
      <c r="AJ15" s="5" t="n"/>
      <c r="AK15" s="6" t="inlineStr">
        <is>
          <t>LUKE, TIMOTHY</t>
        </is>
      </c>
      <c r="AL15" s="6" t="inlineStr">
        <is>
          <t>ASAP Surgery Centers North Valley LLC</t>
        </is>
      </c>
      <c r="AM15" s="7" t="n">
        <v>46100</v>
      </c>
      <c r="AN15" s="6" t="inlineStr">
        <is>
          <t>ORTHO</t>
        </is>
      </c>
      <c r="AO15" s="6" t="inlineStr">
        <is>
          <t>138, 139</t>
        </is>
      </c>
    </row>
    <row r="16">
      <c r="A16" s="2" t="n"/>
      <c r="B16" s="3" t="n"/>
      <c r="C16" s="4" t="n">
        <v>46163</v>
      </c>
      <c r="D16" s="5" t="n">
        <v>553378154</v>
      </c>
      <c r="E16" s="6" t="inlineStr">
        <is>
          <t>HF518096784</t>
        </is>
      </c>
      <c r="F16" s="7" t="n">
        <v>46101</v>
      </c>
      <c r="G16" s="6" t="inlineStr">
        <is>
          <t>Aetna Legacy</t>
        </is>
      </c>
      <c r="H16" s="6" t="inlineStr">
        <is>
          <t>Aetna Legacy</t>
        </is>
      </c>
      <c r="I16" s="6" t="inlineStr">
        <is>
          <t>No Payer</t>
        </is>
      </c>
      <c r="J16" s="8" t="inlineStr">
        <is>
          <t>63047 x1</t>
        </is>
      </c>
      <c r="K16" s="4" t="n"/>
      <c r="L16" s="5">
        <f>IF($O16="","",$O16-TODAY())</f>
        <v/>
      </c>
      <c r="M16" s="5">
        <f>IF($C16="","",$C16+180-TODAY())</f>
        <v/>
      </c>
      <c r="N16" s="5">
        <f>IF($C16="","",$C16+180-TODAY())</f>
        <v/>
      </c>
      <c r="O16" s="7" t="n">
        <v>46221</v>
      </c>
      <c r="P16" s="6" t="inlineStr">
        <is>
          <t>120 days</t>
        </is>
      </c>
      <c r="Q16" s="6" t="inlineStr">
        <is>
          <t>AETNA</t>
        </is>
      </c>
      <c r="R16" s="6" t="inlineStr">
        <is>
          <t>180 days</t>
        </is>
      </c>
      <c r="S16" s="6" t="inlineStr">
        <is>
          <t>Processed date</t>
        </is>
      </c>
      <c r="T16" s="6" t="inlineStr">
        <is>
          <t>180 days</t>
        </is>
      </c>
      <c r="U16" s="6" t="inlineStr">
        <is>
          <t>Processed date</t>
        </is>
      </c>
      <c r="V16" s="6" t="n"/>
      <c r="W16" s="6" t="n"/>
      <c r="X16" s="6" t="n"/>
      <c r="Y16" s="6" t="inlineStr">
        <is>
          <t>1</t>
        </is>
      </c>
      <c r="Z16" s="9" t="n">
        <v>7623.07</v>
      </c>
      <c r="AA16" s="9" t="n">
        <v>0</v>
      </c>
      <c r="AB16" s="9" t="n">
        <v>0</v>
      </c>
      <c r="AC16" s="7" t="n">
        <v>46163</v>
      </c>
      <c r="AD16" s="9" t="n">
        <v>7623.07</v>
      </c>
      <c r="AE16" s="5" t="n">
        <v>141</v>
      </c>
      <c r="AF16" s="6" t="inlineStr">
        <is>
          <t>M48062</t>
        </is>
      </c>
      <c r="AG16" s="6" t="n"/>
      <c r="AH16" s="6" t="n"/>
      <c r="AI16" s="6" t="n"/>
      <c r="AJ16" s="5" t="n"/>
      <c r="AK16" s="6" t="inlineStr">
        <is>
          <t>LEATHEM, JARRETT</t>
        </is>
      </c>
      <c r="AL16" s="6" t="inlineStr">
        <is>
          <t>Premier Endoscopy Center, LLC</t>
        </is>
      </c>
      <c r="AM16" s="7" t="n">
        <v>46105</v>
      </c>
      <c r="AN16" s="6" t="inlineStr">
        <is>
          <t>ORTHO</t>
        </is>
      </c>
      <c r="AO16" s="6" t="inlineStr">
        <is>
          <t>347</t>
        </is>
      </c>
    </row>
  </sheetData>
  <autoFilter ref="A1:AO16"/>
  <conditionalFormatting sqref="L2:L1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6">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6">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6">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O1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v>46113</v>
      </c>
      <c r="D2" s="5" t="n">
        <v>567164585</v>
      </c>
      <c r="E2" s="6" t="inlineStr">
        <is>
          <t>HF330249847</t>
        </is>
      </c>
      <c r="F2" s="7" t="n">
        <v>46098</v>
      </c>
      <c r="G2" s="6" t="inlineStr">
        <is>
          <t>Mercy Care RBHA</t>
        </is>
      </c>
      <c r="H2" s="6" t="inlineStr">
        <is>
          <t>Mercy Care RBHA</t>
        </is>
      </c>
      <c r="I2" s="6" t="inlineStr">
        <is>
          <t>No Payer</t>
        </is>
      </c>
      <c r="J2" s="8" t="inlineStr">
        <is>
          <t>93923 x1; 93925 x1</t>
        </is>
      </c>
      <c r="K2" s="4" t="n"/>
      <c r="L2" s="5">
        <f>IF($O2="","",$O2-TODAY())</f>
        <v/>
      </c>
      <c r="M2" s="5">
        <f>IF($F2="","",$F2+365-TODAY())</f>
        <v/>
      </c>
      <c r="N2" s="5">
        <f>IF($F2="","",$F2+365-TODAY())</f>
        <v/>
      </c>
      <c r="O2" s="7" t="n">
        <v>46278</v>
      </c>
      <c r="P2" s="6" t="inlineStr">
        <is>
          <t>180 days</t>
        </is>
      </c>
      <c r="Q2" s="6" t="inlineStr">
        <is>
          <t>MERCY CARE MEDICAID</t>
        </is>
      </c>
      <c r="R2" s="6" t="inlineStr">
        <is>
          <t>365 days</t>
        </is>
      </c>
      <c r="S2" s="6" t="inlineStr">
        <is>
          <t>Date of service</t>
        </is>
      </c>
      <c r="T2" s="6" t="inlineStr">
        <is>
          <t>365 days</t>
        </is>
      </c>
      <c r="U2" s="6" t="inlineStr">
        <is>
          <t>Date of service</t>
        </is>
      </c>
      <c r="V2" s="6" t="n"/>
      <c r="W2" s="6" t="n"/>
      <c r="X2" s="6" t="n"/>
      <c r="Y2" s="6" t="inlineStr">
        <is>
          <t>1</t>
        </is>
      </c>
      <c r="Z2" s="9" t="n">
        <v>2528.26</v>
      </c>
      <c r="AA2" s="9" t="n">
        <v>0</v>
      </c>
      <c r="AB2" s="9" t="n">
        <v>0</v>
      </c>
      <c r="AC2" s="7" t="n">
        <v>46113</v>
      </c>
      <c r="AD2" s="9" t="n">
        <v>2528.26</v>
      </c>
      <c r="AE2" s="5" t="n">
        <v>144</v>
      </c>
      <c r="AF2" s="6" t="inlineStr">
        <is>
          <t>M5417</t>
        </is>
      </c>
      <c r="AG2" s="6" t="inlineStr">
        <is>
          <t>E1142</t>
        </is>
      </c>
      <c r="AH2" s="6" t="n"/>
      <c r="AI2" s="6" t="n"/>
      <c r="AJ2" s="5" t="n"/>
      <c r="AK2" s="6" t="inlineStr">
        <is>
          <t>LEATHEM, JARRETT</t>
        </is>
      </c>
      <c r="AL2" s="6" t="inlineStr">
        <is>
          <t>ASAP - Gilbert</t>
        </is>
      </c>
      <c r="AM2" s="7" t="n">
        <v>46106</v>
      </c>
      <c r="AN2" s="6" t="inlineStr">
        <is>
          <t>US</t>
        </is>
      </c>
      <c r="AO2" s="6" t="inlineStr">
        <is>
          <t>553, 554</t>
        </is>
      </c>
    </row>
    <row r="3">
      <c r="A3" s="2" t="n"/>
      <c r="B3" s="3" t="n"/>
      <c r="C3" s="4" t="n">
        <v>46113</v>
      </c>
      <c r="D3" s="5" t="n">
        <v>566164852</v>
      </c>
      <c r="E3" s="6" t="inlineStr">
        <is>
          <t>HF497596195</t>
        </is>
      </c>
      <c r="F3" s="7" t="n">
        <v>46091</v>
      </c>
      <c r="G3" s="6" t="inlineStr">
        <is>
          <t>Medicare Part B Arizona *</t>
        </is>
      </c>
      <c r="H3" s="6" t="inlineStr">
        <is>
          <t>Medicare Part B Arizona *</t>
        </is>
      </c>
      <c r="I3" s="6" t="inlineStr">
        <is>
          <t>AARP United Healthcare</t>
        </is>
      </c>
      <c r="J3" s="8" t="inlineStr">
        <is>
          <t>93970 x1</t>
        </is>
      </c>
      <c r="K3" s="4" t="n"/>
      <c r="L3" s="5">
        <f>IF($O3="","",$O3-TODAY())</f>
        <v/>
      </c>
      <c r="M3" s="5">
        <f>IF($C3="","",$C3+365-TODAY())</f>
        <v/>
      </c>
      <c r="N3" s="5">
        <f>IF($C3="","",$C3+120-TODAY())</f>
        <v/>
      </c>
      <c r="O3" s="7" t="n">
        <v>46456</v>
      </c>
      <c r="P3" s="6" t="inlineStr">
        <is>
          <t>365 days</t>
        </is>
      </c>
      <c r="Q3" s="6" t="inlineStr">
        <is>
          <t>MEDICARE</t>
        </is>
      </c>
      <c r="R3" s="6" t="inlineStr">
        <is>
          <t>365 days</t>
        </is>
      </c>
      <c r="S3" s="6" t="inlineStr">
        <is>
          <t>Processed date</t>
        </is>
      </c>
      <c r="T3" s="6" t="inlineStr">
        <is>
          <t>120 days</t>
        </is>
      </c>
      <c r="U3" s="6" t="inlineStr">
        <is>
          <t>Processed date</t>
        </is>
      </c>
      <c r="V3" s="6" t="n"/>
      <c r="W3" s="6" t="n"/>
      <c r="X3" s="6" t="n"/>
      <c r="Y3" s="6" t="inlineStr">
        <is>
          <t>1</t>
        </is>
      </c>
      <c r="Z3" s="9" t="n">
        <v>1294.23</v>
      </c>
      <c r="AA3" s="9" t="n">
        <v>0</v>
      </c>
      <c r="AB3" s="9" t="n">
        <v>0</v>
      </c>
      <c r="AC3" s="7" t="n">
        <v>46113</v>
      </c>
      <c r="AD3" s="9" t="n">
        <v>1294.23</v>
      </c>
      <c r="AE3" s="5" t="n">
        <v>151</v>
      </c>
      <c r="AF3" s="6" t="inlineStr">
        <is>
          <t>I8312</t>
        </is>
      </c>
      <c r="AG3" s="6" t="inlineStr">
        <is>
          <t>I872</t>
        </is>
      </c>
      <c r="AH3" s="6" t="inlineStr">
        <is>
          <t>M1712</t>
        </is>
      </c>
      <c r="AI3" s="6" t="n"/>
      <c r="AJ3" s="5" t="n"/>
      <c r="AK3" s="6" t="inlineStr">
        <is>
          <t>LEATHEM, JARRETT</t>
        </is>
      </c>
      <c r="AL3" s="6" t="inlineStr">
        <is>
          <t>ASAP - Gilbert</t>
        </is>
      </c>
      <c r="AM3" s="7" t="n">
        <v>46106</v>
      </c>
      <c r="AN3" s="6" t="inlineStr">
        <is>
          <t>US</t>
        </is>
      </c>
      <c r="AO3" s="6" t="inlineStr">
        <is>
          <t>460</t>
        </is>
      </c>
    </row>
    <row r="4">
      <c r="A4" s="2" t="n"/>
      <c r="B4" s="3" t="n"/>
      <c r="C4" s="4" t="n">
        <v>46126</v>
      </c>
      <c r="D4" s="5" t="n">
        <v>555443022</v>
      </c>
      <c r="E4" s="6" t="inlineStr">
        <is>
          <t>HF553586044</t>
        </is>
      </c>
      <c r="F4" s="7" t="n">
        <v>46112</v>
      </c>
      <c r="G4" s="6" t="inlineStr">
        <is>
          <t>Medicare Part B Arizona *</t>
        </is>
      </c>
      <c r="H4" s="6" t="inlineStr">
        <is>
          <t>Medicare Part B Arizona *</t>
        </is>
      </c>
      <c r="I4" s="6" t="inlineStr">
        <is>
          <t>United Healthcare</t>
        </is>
      </c>
      <c r="J4" s="8" t="inlineStr">
        <is>
          <t>93970 x1; 93923 x1</t>
        </is>
      </c>
      <c r="K4" s="4" t="n"/>
      <c r="L4" s="5">
        <f>IF($O4="","",$O4-TODAY())</f>
        <v/>
      </c>
      <c r="M4" s="5">
        <f>IF($C4="","",$C4+365-TODAY())</f>
        <v/>
      </c>
      <c r="N4" s="5">
        <f>IF($C4="","",$C4+120-TODAY())</f>
        <v/>
      </c>
      <c r="O4" s="7" t="n">
        <v>46477</v>
      </c>
      <c r="P4" s="6" t="inlineStr">
        <is>
          <t>365 days</t>
        </is>
      </c>
      <c r="Q4" s="6" t="inlineStr">
        <is>
          <t>MEDICARE</t>
        </is>
      </c>
      <c r="R4" s="6" t="inlineStr">
        <is>
          <t>365 days</t>
        </is>
      </c>
      <c r="S4" s="6" t="inlineStr">
        <is>
          <t>Processed date</t>
        </is>
      </c>
      <c r="T4" s="6" t="inlineStr">
        <is>
          <t>120 days</t>
        </is>
      </c>
      <c r="U4" s="6" t="inlineStr">
        <is>
          <t>Processed date</t>
        </is>
      </c>
      <c r="V4" s="6" t="n"/>
      <c r="W4" s="6" t="n"/>
      <c r="X4" s="6" t="n"/>
      <c r="Y4" s="6" t="inlineStr">
        <is>
          <t>1</t>
        </is>
      </c>
      <c r="Z4" s="9" t="n">
        <v>2173.29</v>
      </c>
      <c r="AA4" s="9" t="n">
        <v>0</v>
      </c>
      <c r="AB4" s="9" t="n">
        <v>0</v>
      </c>
      <c r="AC4" s="7" t="n">
        <v>46126</v>
      </c>
      <c r="AD4" s="9" t="n">
        <v>2173.29</v>
      </c>
      <c r="AE4" s="5" t="n">
        <v>130</v>
      </c>
      <c r="AF4" s="6" t="inlineStr">
        <is>
          <t>I4891</t>
        </is>
      </c>
      <c r="AG4" s="6" t="inlineStr">
        <is>
          <t>I83893</t>
        </is>
      </c>
      <c r="AH4" s="6" t="inlineStr">
        <is>
          <t>I872</t>
        </is>
      </c>
      <c r="AI4" s="6" t="n"/>
      <c r="AJ4" s="5" t="n"/>
      <c r="AK4" s="6" t="inlineStr">
        <is>
          <t>LEATHEM, JARRETT</t>
        </is>
      </c>
      <c r="AL4" s="6" t="inlineStr">
        <is>
          <t>ASAP - Gilbert</t>
        </is>
      </c>
      <c r="AM4" s="7" t="n">
        <v>46121</v>
      </c>
      <c r="AN4" s="6" t="inlineStr">
        <is>
          <t>US</t>
        </is>
      </c>
      <c r="AO4" s="6" t="inlineStr">
        <is>
          <t>116, 117</t>
        </is>
      </c>
    </row>
    <row r="5">
      <c r="A5" s="2" t="n"/>
      <c r="B5" s="3" t="n"/>
      <c r="C5" s="4" t="n">
        <v>46156</v>
      </c>
      <c r="D5" s="5" t="n">
        <v>553770568</v>
      </c>
      <c r="E5" s="6" t="inlineStr">
        <is>
          <t>HF508997880</t>
        </is>
      </c>
      <c r="F5" s="7" t="n">
        <v>46084</v>
      </c>
      <c r="G5" s="6" t="inlineStr">
        <is>
          <t>Banner Health Physician Hospital Organization Plan Administration</t>
        </is>
      </c>
      <c r="H5" s="6" t="inlineStr">
        <is>
          <t>Banner Health Physician Hospital Organization Plan Administration</t>
        </is>
      </c>
      <c r="I5" s="6" t="inlineStr">
        <is>
          <t>No Payer</t>
        </is>
      </c>
      <c r="J5" s="8" t="inlineStr">
        <is>
          <t>93970 x1</t>
        </is>
      </c>
      <c r="K5" s="4" t="n"/>
      <c r="L5" s="5">
        <f>IF($O5="","",$O5-TODAY())</f>
        <v/>
      </c>
      <c r="M5" s="5" t="n"/>
      <c r="N5" s="5" t="n"/>
      <c r="O5" s="7" t="n">
        <v>46144</v>
      </c>
      <c r="P5" s="6" t="inlineStr">
        <is>
          <t>60 days</t>
        </is>
      </c>
      <c r="Q5" s="6" t="inlineStr">
        <is>
          <t>BANNER HEALTH NETWORK (BHN)</t>
        </is>
      </c>
      <c r="R5" s="6" t="n"/>
      <c r="S5" s="6" t="n"/>
      <c r="T5" s="6" t="n"/>
      <c r="U5" s="6" t="n"/>
      <c r="V5" s="6" t="n"/>
      <c r="W5" s="6" t="n"/>
      <c r="X5" s="6" t="n"/>
      <c r="Y5" s="6" t="inlineStr">
        <is>
          <t>1</t>
        </is>
      </c>
      <c r="Z5" s="9" t="n">
        <v>1294.23</v>
      </c>
      <c r="AA5" s="9" t="n">
        <v>0</v>
      </c>
      <c r="AB5" s="9" t="n">
        <v>0</v>
      </c>
      <c r="AC5" s="7" t="n">
        <v>46156</v>
      </c>
      <c r="AD5" s="9" t="n">
        <v>1294.23</v>
      </c>
      <c r="AE5" s="5" t="n">
        <v>158</v>
      </c>
      <c r="AF5" s="6" t="inlineStr">
        <is>
          <t>M5416</t>
        </is>
      </c>
      <c r="AG5" s="6" t="inlineStr">
        <is>
          <t>E785</t>
        </is>
      </c>
      <c r="AH5" s="6" t="inlineStr">
        <is>
          <t>I10</t>
        </is>
      </c>
      <c r="AI5" s="6" t="inlineStr">
        <is>
          <t>I739</t>
        </is>
      </c>
      <c r="AJ5" s="5" t="n"/>
      <c r="AK5" s="6" t="inlineStr">
        <is>
          <t>LEATHEM, JARRETT</t>
        </is>
      </c>
      <c r="AL5" s="6" t="inlineStr">
        <is>
          <t>ASAP - Gilbert</t>
        </is>
      </c>
      <c r="AM5" s="7" t="n">
        <v>46106</v>
      </c>
      <c r="AN5" s="6" t="inlineStr">
        <is>
          <t>US</t>
        </is>
      </c>
      <c r="AO5" s="6" t="inlineStr">
        <is>
          <t>613</t>
        </is>
      </c>
    </row>
    <row r="6">
      <c r="A6" s="2" t="n"/>
      <c r="B6" s="3" t="n"/>
      <c r="C6" s="4" t="n">
        <v>46113</v>
      </c>
      <c r="D6" s="5" t="n">
        <v>553766486</v>
      </c>
      <c r="E6" s="6" t="inlineStr">
        <is>
          <t>HF539049375</t>
        </is>
      </c>
      <c r="F6" s="7" t="n">
        <v>46084</v>
      </c>
      <c r="G6" s="6" t="inlineStr">
        <is>
          <t>CIGNA HealthSprings</t>
        </is>
      </c>
      <c r="H6" s="6" t="inlineStr">
        <is>
          <t>CIGNA HealthSprings</t>
        </is>
      </c>
      <c r="I6" s="6" t="inlineStr">
        <is>
          <t>No Payer</t>
        </is>
      </c>
      <c r="J6" s="8" t="inlineStr">
        <is>
          <t>93970 x1; 93923 x1</t>
        </is>
      </c>
      <c r="K6" s="4" t="n"/>
      <c r="L6" s="5">
        <f>IF($O6="","",$O6-TODAY())</f>
        <v/>
      </c>
      <c r="M6" s="5">
        <f>IF($F6="","",$F6+90-TODAY())</f>
        <v/>
      </c>
      <c r="N6" s="5">
        <f>IF($C6="","",$C6+180-TODAY())</f>
        <v/>
      </c>
      <c r="O6" s="7" t="n">
        <v>46174</v>
      </c>
      <c r="P6" s="6" t="inlineStr">
        <is>
          <t>90 days</t>
        </is>
      </c>
      <c r="Q6" s="6" t="inlineStr">
        <is>
          <t>CIGNA / CIGNA MEDICARE</t>
        </is>
      </c>
      <c r="R6" s="6" t="inlineStr">
        <is>
          <t>90 days</t>
        </is>
      </c>
      <c r="S6" s="6" t="inlineStr">
        <is>
          <t>Date of service</t>
        </is>
      </c>
      <c r="T6" s="6" t="inlineStr">
        <is>
          <t>180 days</t>
        </is>
      </c>
      <c r="U6" s="6" t="inlineStr">
        <is>
          <t>Processed date</t>
        </is>
      </c>
      <c r="V6" s="6" t="n"/>
      <c r="W6" s="6" t="n"/>
      <c r="X6" s="6" t="n"/>
      <c r="Y6" s="6" t="inlineStr">
        <is>
          <t>1</t>
        </is>
      </c>
      <c r="Z6" s="9" t="n">
        <v>2173.29</v>
      </c>
      <c r="AA6" s="9" t="n">
        <v>0</v>
      </c>
      <c r="AB6" s="9" t="n">
        <v>0</v>
      </c>
      <c r="AC6" s="7" t="n">
        <v>46113</v>
      </c>
      <c r="AD6" s="9" t="n">
        <v>2173.29</v>
      </c>
      <c r="AE6" s="5" t="n">
        <v>158</v>
      </c>
      <c r="AF6" s="6" t="inlineStr">
        <is>
          <t>M5416</t>
        </is>
      </c>
      <c r="AG6" s="6" t="inlineStr">
        <is>
          <t>R600</t>
        </is>
      </c>
      <c r="AH6" s="6" t="inlineStr">
        <is>
          <t>E139</t>
        </is>
      </c>
      <c r="AI6" s="6" t="inlineStr">
        <is>
          <t>I10</t>
        </is>
      </c>
      <c r="AJ6" s="5" t="n"/>
      <c r="AK6" s="6" t="inlineStr">
        <is>
          <t>LEATHEM, JARRETT</t>
        </is>
      </c>
      <c r="AL6" s="6" t="inlineStr">
        <is>
          <t>ASAP - Gilbert</t>
        </is>
      </c>
      <c r="AM6" s="7" t="n">
        <v>46106</v>
      </c>
      <c r="AN6" s="6" t="inlineStr">
        <is>
          <t>US</t>
        </is>
      </c>
      <c r="AO6" s="6" t="inlineStr">
        <is>
          <t>658, 659</t>
        </is>
      </c>
    </row>
    <row r="7">
      <c r="A7" s="2" t="n"/>
      <c r="B7" s="3" t="n"/>
      <c r="C7" s="4" t="n">
        <v>46135</v>
      </c>
      <c r="D7" s="5" t="n">
        <v>555085468</v>
      </c>
      <c r="E7" s="6" t="inlineStr">
        <is>
          <t>HF470511781</t>
        </is>
      </c>
      <c r="F7" s="7" t="n">
        <v>46098</v>
      </c>
      <c r="G7" s="6" t="inlineStr">
        <is>
          <t>Blue Cross Blue Shield of Arizona (BCBS AZ)</t>
        </is>
      </c>
      <c r="H7" s="6" t="inlineStr">
        <is>
          <t>Blue Cross Blue Shield of Arizona (BCBS AZ)</t>
        </is>
      </c>
      <c r="I7" s="6" t="inlineStr">
        <is>
          <t>United Healthcare</t>
        </is>
      </c>
      <c r="J7" s="8" t="inlineStr">
        <is>
          <t>93970 x1</t>
        </is>
      </c>
      <c r="K7" s="4" t="n"/>
      <c r="L7" s="5">
        <f>IF($O7="","",$O7-TODAY())</f>
        <v/>
      </c>
      <c r="M7" s="5">
        <f>IF($C7="","",$C7+365-TODAY())</f>
        <v/>
      </c>
      <c r="N7" s="5">
        <f>IF($C7="","",$C7+365-TODAY())</f>
        <v/>
      </c>
      <c r="O7" s="7" t="n">
        <v>46188</v>
      </c>
      <c r="P7" s="6" t="inlineStr">
        <is>
          <t>90 days</t>
        </is>
      </c>
      <c r="Q7" s="6" t="inlineStr">
        <is>
          <t>BCBS</t>
        </is>
      </c>
      <c r="R7" s="6" t="inlineStr">
        <is>
          <t>365 days</t>
        </is>
      </c>
      <c r="S7" s="6" t="inlineStr">
        <is>
          <t>Processed date</t>
        </is>
      </c>
      <c r="T7" s="6" t="inlineStr">
        <is>
          <t>365 days</t>
        </is>
      </c>
      <c r="U7" s="6" t="inlineStr">
        <is>
          <t>Processed date</t>
        </is>
      </c>
      <c r="V7" s="6" t="n"/>
      <c r="W7" s="6" t="n"/>
      <c r="X7" s="6" t="n"/>
      <c r="Y7" s="6" t="inlineStr">
        <is>
          <t>1</t>
        </is>
      </c>
      <c r="Z7" s="9" t="n">
        <v>1294.23</v>
      </c>
      <c r="AA7" s="9" t="n">
        <v>0</v>
      </c>
      <c r="AB7" s="9" t="n">
        <v>0</v>
      </c>
      <c r="AC7" s="7" t="n">
        <v>46135</v>
      </c>
      <c r="AD7" s="9" t="n">
        <v>1294.23</v>
      </c>
      <c r="AE7" s="5" t="n">
        <v>144</v>
      </c>
      <c r="AF7" s="6" t="inlineStr">
        <is>
          <t>M5412</t>
        </is>
      </c>
      <c r="AG7" s="6" t="inlineStr">
        <is>
          <t>R609</t>
        </is>
      </c>
      <c r="AH7" s="6" t="n"/>
      <c r="AI7" s="6" t="n"/>
      <c r="AJ7" s="5" t="n"/>
      <c r="AK7" s="6" t="inlineStr">
        <is>
          <t>LEATHEM, JARRETT</t>
        </is>
      </c>
      <c r="AL7" s="6" t="inlineStr">
        <is>
          <t>ASAP - Gilbert</t>
        </is>
      </c>
      <c r="AM7" s="7" t="n">
        <v>46119</v>
      </c>
      <c r="AN7" s="6" t="inlineStr">
        <is>
          <t>US</t>
        </is>
      </c>
      <c r="AO7" s="6" t="inlineStr">
        <is>
          <t>649</t>
        </is>
      </c>
    </row>
    <row r="8">
      <c r="A8" s="2" t="n"/>
      <c r="B8" s="3" t="n"/>
      <c r="C8" s="4" t="n">
        <v>46220</v>
      </c>
      <c r="D8" s="5" t="n">
        <v>553063753</v>
      </c>
      <c r="E8" s="6" t="inlineStr">
        <is>
          <t>HF419953579</t>
        </is>
      </c>
      <c r="F8" s="7" t="n">
        <v>46099</v>
      </c>
      <c r="G8" s="6" t="inlineStr">
        <is>
          <t>Humana Gold Plus HMO</t>
        </is>
      </c>
      <c r="H8" s="6" t="inlineStr">
        <is>
          <t>Humana Gold Plus HMO</t>
        </is>
      </c>
      <c r="I8" s="6" t="inlineStr">
        <is>
          <t>No Payer</t>
        </is>
      </c>
      <c r="J8" s="8" t="inlineStr">
        <is>
          <t>93970 x1; 93923 x1; 93925 x1</t>
        </is>
      </c>
      <c r="K8" s="4" t="n"/>
      <c r="L8" s="5">
        <f>IF($O8="","",$O8-TODAY())</f>
        <v/>
      </c>
      <c r="M8" s="5">
        <f>IF($F8="","",$F8+90-TODAY())</f>
        <v/>
      </c>
      <c r="N8" s="5">
        <f>IF($C8="","",$C8+60-TODAY())</f>
        <v/>
      </c>
      <c r="O8" s="7" t="n">
        <v>46189</v>
      </c>
      <c r="P8" s="6" t="inlineStr">
        <is>
          <t>90 days</t>
        </is>
      </c>
      <c r="Q8" s="6" t="inlineStr">
        <is>
          <t>HUMANA MA</t>
        </is>
      </c>
      <c r="R8" s="6" t="inlineStr">
        <is>
          <t>90 days</t>
        </is>
      </c>
      <c r="S8" s="6" t="inlineStr">
        <is>
          <t>Date of service</t>
        </is>
      </c>
      <c r="T8" s="6" t="inlineStr">
        <is>
          <t>60 days</t>
        </is>
      </c>
      <c r="U8" s="6" t="inlineStr">
        <is>
          <t>Processed date</t>
        </is>
      </c>
      <c r="V8" s="6" t="n"/>
      <c r="W8" s="6" t="n"/>
      <c r="X8" s="6" t="n"/>
      <c r="Y8" s="6" t="inlineStr">
        <is>
          <t>1</t>
        </is>
      </c>
      <c r="Z8" s="9" t="n">
        <v>3822.49</v>
      </c>
      <c r="AA8" s="9" t="n">
        <v>0</v>
      </c>
      <c r="AB8" s="9" t="n">
        <v>0</v>
      </c>
      <c r="AC8" s="7" t="n">
        <v>46220</v>
      </c>
      <c r="AD8" s="9" t="n">
        <v>3822.49</v>
      </c>
      <c r="AE8" s="5" t="n">
        <v>143</v>
      </c>
      <c r="AF8" s="6" t="inlineStr">
        <is>
          <t>M47816</t>
        </is>
      </c>
      <c r="AG8" s="6" t="inlineStr">
        <is>
          <t>M47817</t>
        </is>
      </c>
      <c r="AH8" s="6" t="inlineStr">
        <is>
          <t>Z79891</t>
        </is>
      </c>
      <c r="AI8" s="6" t="inlineStr">
        <is>
          <t>I872</t>
        </is>
      </c>
      <c r="AJ8" s="5" t="n"/>
      <c r="AK8" s="6" t="inlineStr">
        <is>
          <t>ADLER, STEVEN</t>
        </is>
      </c>
      <c r="AL8" s="6" t="inlineStr">
        <is>
          <t>ASAP - DEER VALLEY</t>
        </is>
      </c>
      <c r="AM8" s="7" t="n">
        <v>46125</v>
      </c>
      <c r="AN8" s="6" t="inlineStr">
        <is>
          <t>US</t>
        </is>
      </c>
      <c r="AO8" s="6" t="inlineStr">
        <is>
          <t>387, 388, 389</t>
        </is>
      </c>
    </row>
    <row r="9">
      <c r="A9" s="2" t="inlineStr">
        <is>
          <t>Finalized</t>
        </is>
      </c>
      <c r="B9" s="3" t="n"/>
      <c r="C9" s="4" t="n">
        <v>46114</v>
      </c>
      <c r="D9" s="5" t="n">
        <v>553857983</v>
      </c>
      <c r="E9" s="6" t="inlineStr">
        <is>
          <t>HF546700195</t>
        </is>
      </c>
      <c r="F9" s="7" t="n">
        <v>46099</v>
      </c>
      <c r="G9" s="6" t="inlineStr">
        <is>
          <t>Tricare West</t>
        </is>
      </c>
      <c r="H9" s="6" t="inlineStr">
        <is>
          <t>CIGNA HealthSprings</t>
        </is>
      </c>
      <c r="I9" s="6" t="inlineStr">
        <is>
          <t>Tricare West</t>
        </is>
      </c>
      <c r="J9" s="8" t="inlineStr">
        <is>
          <t>93925 x1</t>
        </is>
      </c>
      <c r="K9" s="4" t="n"/>
      <c r="L9" s="5">
        <f>IF($O9="","",$O9-TODAY())</f>
        <v/>
      </c>
      <c r="M9" s="5">
        <f>IF($F9="","",$F9+90-TODAY())</f>
        <v/>
      </c>
      <c r="N9" s="5">
        <f>IF($C9="","",$C9+180-TODAY())</f>
        <v/>
      </c>
      <c r="O9" s="7" t="n">
        <v>46189</v>
      </c>
      <c r="P9" s="6" t="inlineStr">
        <is>
          <t>90 days</t>
        </is>
      </c>
      <c r="Q9" s="6" t="inlineStr">
        <is>
          <t>CIGNA / CIGNA MEDICARE</t>
        </is>
      </c>
      <c r="R9" s="6" t="inlineStr">
        <is>
          <t>90 days</t>
        </is>
      </c>
      <c r="S9" s="6" t="inlineStr">
        <is>
          <t>Date of service</t>
        </is>
      </c>
      <c r="T9" s="6" t="inlineStr">
        <is>
          <t>180 days</t>
        </is>
      </c>
      <c r="U9" s="6" t="inlineStr">
        <is>
          <t>Processed date</t>
        </is>
      </c>
      <c r="V9" s="6" t="n"/>
      <c r="W9" s="6" t="n"/>
      <c r="X9" s="6" t="n"/>
      <c r="Y9" s="6" t="inlineStr">
        <is>
          <t>1</t>
        </is>
      </c>
      <c r="Z9" s="9" t="n">
        <v>1649.2</v>
      </c>
      <c r="AA9" s="9" t="n">
        <v>1420.82</v>
      </c>
      <c r="AB9" s="9" t="n">
        <v>160.93</v>
      </c>
      <c r="AC9" s="7" t="n">
        <v>46114</v>
      </c>
      <c r="AD9" s="9" t="n">
        <v>67.45</v>
      </c>
      <c r="AE9" s="5" t="n">
        <v>143</v>
      </c>
      <c r="AF9" s="6" t="inlineStr">
        <is>
          <t>I70213</t>
        </is>
      </c>
      <c r="AG9" s="6" t="n"/>
      <c r="AH9" s="6" t="n"/>
      <c r="AI9" s="6" t="n"/>
      <c r="AJ9" s="5" t="n">
        <v>555928717</v>
      </c>
      <c r="AK9" s="6" t="inlineStr">
        <is>
          <t>BURGHER, ABRAM</t>
        </is>
      </c>
      <c r="AL9" s="6" t="inlineStr">
        <is>
          <t>ASAP - Surprise - Reems</t>
        </is>
      </c>
      <c r="AM9" s="7" t="n">
        <v>46106</v>
      </c>
      <c r="AN9" s="6" t="inlineStr">
        <is>
          <t>US</t>
        </is>
      </c>
      <c r="AO9" s="6" t="inlineStr">
        <is>
          <t>270</t>
        </is>
      </c>
    </row>
    <row r="10">
      <c r="A10" s="2" t="n"/>
      <c r="B10" s="3" t="n"/>
      <c r="C10" s="4" t="n"/>
      <c r="D10" s="5" t="n">
        <v>555431454</v>
      </c>
      <c r="E10" s="6" t="inlineStr">
        <is>
          <t>HF537299610</t>
        </is>
      </c>
      <c r="F10" s="7" t="n">
        <v>46105</v>
      </c>
      <c r="G10" s="6" t="inlineStr">
        <is>
          <t>CIGNA HealthSprings</t>
        </is>
      </c>
      <c r="H10" s="6" t="inlineStr">
        <is>
          <t>CIGNA HealthSprings</t>
        </is>
      </c>
      <c r="I10" s="6" t="inlineStr">
        <is>
          <t>No Payer</t>
        </is>
      </c>
      <c r="J10" s="8" t="inlineStr">
        <is>
          <t>93970 x1</t>
        </is>
      </c>
      <c r="K10" s="4" t="n"/>
      <c r="L10" s="5">
        <f>IF($O10="","",$O10-TODAY())</f>
        <v/>
      </c>
      <c r="M10" s="5">
        <f>IF($F10="","",$F10+90-TODAY())</f>
        <v/>
      </c>
      <c r="N10" s="5">
        <f>IF($C10="","",$C10+180-TODAY())</f>
        <v/>
      </c>
      <c r="O10" s="7" t="n">
        <v>46195</v>
      </c>
      <c r="P10" s="6" t="inlineStr">
        <is>
          <t>90 days</t>
        </is>
      </c>
      <c r="Q10" s="6" t="inlineStr">
        <is>
          <t>CIGNA / CIGNA MEDICARE</t>
        </is>
      </c>
      <c r="R10" s="6" t="inlineStr">
        <is>
          <t>90 days</t>
        </is>
      </c>
      <c r="S10" s="6" t="inlineStr">
        <is>
          <t>Date of service</t>
        </is>
      </c>
      <c r="T10" s="6" t="inlineStr">
        <is>
          <t>180 days</t>
        </is>
      </c>
      <c r="U10" s="6" t="inlineStr">
        <is>
          <t>Processed date</t>
        </is>
      </c>
      <c r="V10" s="6" t="n"/>
      <c r="W10" s="6" t="n"/>
      <c r="X10" s="6" t="n"/>
      <c r="Y10" s="6" t="inlineStr">
        <is>
          <t>1</t>
        </is>
      </c>
      <c r="Z10" s="9" t="n">
        <v>1294.23</v>
      </c>
      <c r="AA10" s="9" t="n">
        <v>0</v>
      </c>
      <c r="AB10" s="9" t="n">
        <v>0</v>
      </c>
      <c r="AC10" s="7" t="n"/>
      <c r="AD10" s="9" t="n">
        <v>1294.23</v>
      </c>
      <c r="AE10" s="5" t="n">
        <v>137</v>
      </c>
      <c r="AF10" s="6" t="inlineStr">
        <is>
          <t>M1711</t>
        </is>
      </c>
      <c r="AG10" s="6" t="inlineStr">
        <is>
          <t>I872</t>
        </is>
      </c>
      <c r="AH10" s="6" t="inlineStr">
        <is>
          <t>I83811</t>
        </is>
      </c>
      <c r="AI10" s="6" t="n"/>
      <c r="AJ10" s="5" t="n"/>
      <c r="AK10" s="6" t="inlineStr">
        <is>
          <t>LEATHEM, JARRETT</t>
        </is>
      </c>
      <c r="AL10" s="6" t="inlineStr">
        <is>
          <t>ASAP - Gilbert</t>
        </is>
      </c>
      <c r="AM10" s="7" t="n">
        <v>46121</v>
      </c>
      <c r="AN10" s="6" t="inlineStr">
        <is>
          <t>US</t>
        </is>
      </c>
      <c r="AO10" s="6" t="inlineStr">
        <is>
          <t>821</t>
        </is>
      </c>
    </row>
    <row r="11">
      <c r="A11" s="2" t="n"/>
      <c r="B11" s="3" t="n"/>
      <c r="C11" s="4" t="n">
        <v>46126</v>
      </c>
      <c r="D11" s="5" t="n">
        <v>555432879</v>
      </c>
      <c r="E11" s="6" t="inlineStr">
        <is>
          <t>HF545494297</t>
        </is>
      </c>
      <c r="F11" s="7" t="n">
        <v>46105</v>
      </c>
      <c r="G11" s="6" t="inlineStr">
        <is>
          <t>Optum Care Medical Network of Arizona, Utah, &amp; Washington (LifePrint)</t>
        </is>
      </c>
      <c r="H11" s="6" t="inlineStr">
        <is>
          <t>Optum Care Medical Network of Arizona, Utah, &amp; Washington (LifePrint)</t>
        </is>
      </c>
      <c r="I11" s="6" t="inlineStr">
        <is>
          <t>No Payer</t>
        </is>
      </c>
      <c r="J11" s="8" t="inlineStr">
        <is>
          <t>93970 x1</t>
        </is>
      </c>
      <c r="K11" s="4" t="n"/>
      <c r="L11" s="5">
        <f>IF($O11="","",$O11-TODAY())</f>
        <v/>
      </c>
      <c r="M11" s="5">
        <f>IF($C11="","",$C11+365-TODAY())</f>
        <v/>
      </c>
      <c r="N11" s="5">
        <f>IF($C11="","",$C11+365-TODAY())</f>
        <v/>
      </c>
      <c r="O11" s="7" t="n">
        <v>46195</v>
      </c>
      <c r="P11" s="6" t="inlineStr">
        <is>
          <t>90 days</t>
        </is>
      </c>
      <c r="Q11" s="6" t="inlineStr">
        <is>
          <t>OPTUM</t>
        </is>
      </c>
      <c r="R11" s="6" t="inlineStr">
        <is>
          <t>365 days</t>
        </is>
      </c>
      <c r="S11" s="6" t="inlineStr">
        <is>
          <t>Processed date</t>
        </is>
      </c>
      <c r="T11" s="6" t="inlineStr">
        <is>
          <t>365 days</t>
        </is>
      </c>
      <c r="U11" s="6" t="inlineStr">
        <is>
          <t>Processed date</t>
        </is>
      </c>
      <c r="V11" s="6" t="n"/>
      <c r="W11" s="6" t="n"/>
      <c r="X11" s="6" t="n"/>
      <c r="Y11" s="6" t="inlineStr">
        <is>
          <t>1</t>
        </is>
      </c>
      <c r="Z11" s="9" t="n">
        <v>1294.23</v>
      </c>
      <c r="AA11" s="9" t="n">
        <v>0</v>
      </c>
      <c r="AB11" s="9" t="n">
        <v>0</v>
      </c>
      <c r="AC11" s="7" t="n">
        <v>46126</v>
      </c>
      <c r="AD11" s="9" t="n">
        <v>1294.23</v>
      </c>
      <c r="AE11" s="5" t="n">
        <v>137</v>
      </c>
      <c r="AF11" s="6" t="inlineStr">
        <is>
          <t>M1712</t>
        </is>
      </c>
      <c r="AG11" s="6" t="inlineStr">
        <is>
          <t>G894</t>
        </is>
      </c>
      <c r="AH11" s="6" t="inlineStr">
        <is>
          <t>E785</t>
        </is>
      </c>
      <c r="AI11" s="6" t="n"/>
      <c r="AJ11" s="5" t="n"/>
      <c r="AK11" s="6" t="inlineStr">
        <is>
          <t>LEATHEM, JARRETT</t>
        </is>
      </c>
      <c r="AL11" s="6" t="inlineStr">
        <is>
          <t>ASAP - Gilbert</t>
        </is>
      </c>
      <c r="AM11" s="7" t="n">
        <v>46121</v>
      </c>
      <c r="AN11" s="6" t="inlineStr">
        <is>
          <t>US</t>
        </is>
      </c>
      <c r="AO11" s="6" t="inlineStr">
        <is>
          <t>629</t>
        </is>
      </c>
    </row>
    <row r="12">
      <c r="A12" s="2" t="n"/>
      <c r="B12" s="3" t="n"/>
      <c r="C12" s="4" t="n">
        <v>46113</v>
      </c>
      <c r="D12" s="5" t="n">
        <v>553787632</v>
      </c>
      <c r="E12" s="6" t="inlineStr">
        <is>
          <t>HF442066976</t>
        </is>
      </c>
      <c r="F12" s="7" t="n">
        <v>46085</v>
      </c>
      <c r="G12" s="6" t="inlineStr">
        <is>
          <t>Aetna Medicare PPO</t>
        </is>
      </c>
      <c r="H12" s="6" t="inlineStr">
        <is>
          <t>Aetna Medicare PPO</t>
        </is>
      </c>
      <c r="I12" s="6" t="inlineStr">
        <is>
          <t>No Payer</t>
        </is>
      </c>
      <c r="J12" s="8" t="inlineStr">
        <is>
          <t>93970 x1; 93925 x1</t>
        </is>
      </c>
      <c r="K12" s="4" t="n"/>
      <c r="L12" s="5">
        <f>IF($O12="","",$O12-TODAY())</f>
        <v/>
      </c>
      <c r="M12" s="5">
        <f>IF($C12="","",$C12+180-TODAY())</f>
        <v/>
      </c>
      <c r="N12" s="5">
        <f>IF($C12="","",$C12+180-TODAY())</f>
        <v/>
      </c>
      <c r="O12" s="7" t="n">
        <v>46205</v>
      </c>
      <c r="P12" s="6" t="inlineStr">
        <is>
          <t>120 days</t>
        </is>
      </c>
      <c r="Q12" s="6" t="inlineStr">
        <is>
          <t>AETNA</t>
        </is>
      </c>
      <c r="R12" s="6" t="inlineStr">
        <is>
          <t>180 days</t>
        </is>
      </c>
      <c r="S12" s="6" t="inlineStr">
        <is>
          <t>Processed date</t>
        </is>
      </c>
      <c r="T12" s="6" t="inlineStr">
        <is>
          <t>180 days</t>
        </is>
      </c>
      <c r="U12" s="6" t="inlineStr">
        <is>
          <t>Processed date</t>
        </is>
      </c>
      <c r="V12" s="6" t="n"/>
      <c r="W12" s="6" t="n"/>
      <c r="X12" s="6" t="n"/>
      <c r="Y12" s="6" t="inlineStr">
        <is>
          <t>1</t>
        </is>
      </c>
      <c r="Z12" s="9" t="n">
        <v>2943.43</v>
      </c>
      <c r="AA12" s="9" t="n">
        <v>0</v>
      </c>
      <c r="AB12" s="9" t="n">
        <v>0</v>
      </c>
      <c r="AC12" s="7" t="n">
        <v>46113</v>
      </c>
      <c r="AD12" s="9" t="n">
        <v>2943.43</v>
      </c>
      <c r="AE12" s="5" t="n">
        <v>157</v>
      </c>
      <c r="AF12" s="6" t="inlineStr">
        <is>
          <t>I70213</t>
        </is>
      </c>
      <c r="AG12" s="6" t="inlineStr">
        <is>
          <t>I739</t>
        </is>
      </c>
      <c r="AH12" s="6" t="n"/>
      <c r="AI12" s="6" t="n"/>
      <c r="AJ12" s="5" t="n"/>
      <c r="AK12" s="6" t="inlineStr">
        <is>
          <t>BURGHER, ABRAM</t>
        </is>
      </c>
      <c r="AL12" s="6" t="inlineStr">
        <is>
          <t>ASAP - Surprise - Reems</t>
        </is>
      </c>
      <c r="AM12" s="7" t="n">
        <v>46106</v>
      </c>
      <c r="AN12" s="6" t="inlineStr">
        <is>
          <t>US</t>
        </is>
      </c>
      <c r="AO12" s="6" t="inlineStr">
        <is>
          <t>348, 349</t>
        </is>
      </c>
    </row>
    <row r="13">
      <c r="A13" s="2" t="n"/>
      <c r="B13" s="3" t="n"/>
      <c r="C13" s="4" t="n">
        <v>46129</v>
      </c>
      <c r="D13" s="5" t="n">
        <v>553810379</v>
      </c>
      <c r="E13" s="6" t="inlineStr">
        <is>
          <t>HF550437353</t>
        </is>
      </c>
      <c r="F13" s="7" t="n">
        <v>46092</v>
      </c>
      <c r="G13" s="6" t="inlineStr">
        <is>
          <t>Banner Health &amp; Aetna Health Insurance Company</t>
        </is>
      </c>
      <c r="H13" s="6" t="inlineStr">
        <is>
          <t>Banner Health &amp; Aetna Health Insurance Company</t>
        </is>
      </c>
      <c r="I13" s="6" t="inlineStr">
        <is>
          <t>No Payer</t>
        </is>
      </c>
      <c r="J13" s="8" t="inlineStr">
        <is>
          <t>93923 x1</t>
        </is>
      </c>
      <c r="K13" s="4" t="n"/>
      <c r="L13" s="5">
        <f>IF($O13="","",$O13-TODAY())</f>
        <v/>
      </c>
      <c r="M13" s="5">
        <f>IF($C13="","",$C13+180-TODAY())</f>
        <v/>
      </c>
      <c r="N13" s="5">
        <f>IF($C13="","",$C13+180-TODAY())</f>
        <v/>
      </c>
      <c r="O13" s="7" t="n">
        <v>46212</v>
      </c>
      <c r="P13" s="6" t="inlineStr">
        <is>
          <t>120 days</t>
        </is>
      </c>
      <c r="Q13" s="6" t="inlineStr">
        <is>
          <t>BANNER HEALTH &amp; AETNA</t>
        </is>
      </c>
      <c r="R13" s="6" t="inlineStr">
        <is>
          <t>180 days</t>
        </is>
      </c>
      <c r="S13" s="6" t="inlineStr">
        <is>
          <t>Processed date</t>
        </is>
      </c>
      <c r="T13" s="6" t="inlineStr">
        <is>
          <t>180 days</t>
        </is>
      </c>
      <c r="U13" s="6" t="inlineStr">
        <is>
          <t>Processed date</t>
        </is>
      </c>
      <c r="V13" s="6" t="n"/>
      <c r="W13" s="6" t="n"/>
      <c r="X13" s="6" t="n"/>
      <c r="Y13" s="6" t="inlineStr">
        <is>
          <t>1</t>
        </is>
      </c>
      <c r="Z13" s="9" t="n">
        <v>879.0599999999999</v>
      </c>
      <c r="AA13" s="9" t="n">
        <v>0</v>
      </c>
      <c r="AB13" s="9" t="n">
        <v>0</v>
      </c>
      <c r="AC13" s="7" t="n">
        <v>46129</v>
      </c>
      <c r="AD13" s="9" t="n">
        <v>879.0599999999999</v>
      </c>
      <c r="AE13" s="5" t="n">
        <v>150</v>
      </c>
      <c r="AF13" s="6" t="inlineStr">
        <is>
          <t>I70213</t>
        </is>
      </c>
      <c r="AG13" s="6" t="inlineStr">
        <is>
          <t>I739</t>
        </is>
      </c>
      <c r="AH13" s="6" t="n"/>
      <c r="AI13" s="6" t="n"/>
      <c r="AJ13" s="5" t="n"/>
      <c r="AK13" s="6" t="inlineStr">
        <is>
          <t>BURGHER, ABRAM</t>
        </is>
      </c>
      <c r="AL13" s="6" t="inlineStr">
        <is>
          <t>ASAP - Surprise - Reems</t>
        </is>
      </c>
      <c r="AM13" s="7" t="n">
        <v>46106</v>
      </c>
      <c r="AN13" s="6" t="inlineStr">
        <is>
          <t>US</t>
        </is>
      </c>
      <c r="AO13" s="6" t="inlineStr">
        <is>
          <t>708</t>
        </is>
      </c>
    </row>
    <row r="14">
      <c r="A14" s="2" t="n"/>
      <c r="B14" s="3" t="n"/>
      <c r="C14" s="4" t="n">
        <v>46127</v>
      </c>
      <c r="D14" s="5" t="n">
        <v>555438747</v>
      </c>
      <c r="E14" s="6" t="inlineStr">
        <is>
          <t>HF518754066</t>
        </is>
      </c>
      <c r="F14" s="7" t="n">
        <v>46112</v>
      </c>
      <c r="G14" s="6" t="inlineStr">
        <is>
          <t>Aetna Medicare PPO</t>
        </is>
      </c>
      <c r="H14" s="6" t="inlineStr">
        <is>
          <t>Aetna Medicare PPO</t>
        </is>
      </c>
      <c r="I14" s="6" t="inlineStr">
        <is>
          <t>No Payer</t>
        </is>
      </c>
      <c r="J14" s="8" t="inlineStr">
        <is>
          <t>93923 x1</t>
        </is>
      </c>
      <c r="K14" s="4" t="n"/>
      <c r="L14" s="5">
        <f>IF($O14="","",$O14-TODAY())</f>
        <v/>
      </c>
      <c r="M14" s="5">
        <f>IF($C14="","",$C14+180-TODAY())</f>
        <v/>
      </c>
      <c r="N14" s="5">
        <f>IF($C14="","",$C14+180-TODAY())</f>
        <v/>
      </c>
      <c r="O14" s="7" t="n">
        <v>46232</v>
      </c>
      <c r="P14" s="6" t="inlineStr">
        <is>
          <t>120 days</t>
        </is>
      </c>
      <c r="Q14" s="6" t="inlineStr">
        <is>
          <t>AETNA</t>
        </is>
      </c>
      <c r="R14" s="6" t="inlineStr">
        <is>
          <t>180 days</t>
        </is>
      </c>
      <c r="S14" s="6" t="inlineStr">
        <is>
          <t>Processed date</t>
        </is>
      </c>
      <c r="T14" s="6" t="inlineStr">
        <is>
          <t>180 days</t>
        </is>
      </c>
      <c r="U14" s="6" t="inlineStr">
        <is>
          <t>Processed date</t>
        </is>
      </c>
      <c r="V14" s="6" t="n"/>
      <c r="W14" s="6" t="n"/>
      <c r="X14" s="6" t="n"/>
      <c r="Y14" s="6" t="inlineStr">
        <is>
          <t>1</t>
        </is>
      </c>
      <c r="Z14" s="9" t="n">
        <v>879.0599999999999</v>
      </c>
      <c r="AA14" s="9" t="n">
        <v>0</v>
      </c>
      <c r="AB14" s="9" t="n">
        <v>0</v>
      </c>
      <c r="AC14" s="7" t="n">
        <v>46127</v>
      </c>
      <c r="AD14" s="9" t="n">
        <v>879.0599999999999</v>
      </c>
      <c r="AE14" s="5" t="n">
        <v>130</v>
      </c>
      <c r="AF14" s="6" t="inlineStr">
        <is>
          <t>I739</t>
        </is>
      </c>
      <c r="AG14" s="6" t="inlineStr">
        <is>
          <t>I872</t>
        </is>
      </c>
      <c r="AH14" s="6" t="n"/>
      <c r="AI14" s="6" t="n"/>
      <c r="AJ14" s="5" t="n"/>
      <c r="AK14" s="6" t="inlineStr">
        <is>
          <t>LEATHEM, JARRETT</t>
        </is>
      </c>
      <c r="AL14" s="6" t="inlineStr">
        <is>
          <t>ASAP - Gilbert</t>
        </is>
      </c>
      <c r="AM14" s="7" t="n">
        <v>46121</v>
      </c>
      <c r="AN14" s="6" t="inlineStr">
        <is>
          <t>US</t>
        </is>
      </c>
      <c r="AO14" s="6" t="inlineStr">
        <is>
          <t>146</t>
        </is>
      </c>
    </row>
    <row r="15">
      <c r="A15" s="2" t="n"/>
      <c r="B15" s="3" t="n"/>
      <c r="C15" s="4" t="n">
        <v>46146</v>
      </c>
      <c r="D15" s="5" t="n">
        <v>566781514</v>
      </c>
      <c r="E15" s="6" t="inlineStr">
        <is>
          <t>HF505830380</t>
        </is>
      </c>
      <c r="F15" s="7" t="n">
        <v>46098</v>
      </c>
      <c r="G15" s="6" t="inlineStr">
        <is>
          <t>AARP MedicareComplete (SecureHorizons &amp; Oxford Network)</t>
        </is>
      </c>
      <c r="H15" s="6" t="inlineStr">
        <is>
          <t>AARP MedicareComplete (SecureHorizons &amp; Oxford Network)</t>
        </is>
      </c>
      <c r="I15" s="6" t="inlineStr">
        <is>
          <t>No Payer</t>
        </is>
      </c>
      <c r="J15" s="8" t="inlineStr">
        <is>
          <t>93970 x1; 93923 x1; 93925 x1</t>
        </is>
      </c>
      <c r="K15" s="4" t="n"/>
      <c r="L15" s="5">
        <f>IF($O15="","",$O15-TODAY())</f>
        <v/>
      </c>
      <c r="M15" s="5">
        <f>IF($C15="","",$C15+180-TODAY())</f>
        <v/>
      </c>
      <c r="N15" s="5">
        <f>IF($C15="","",$C15+365-TODAY())</f>
        <v/>
      </c>
      <c r="O15" s="7" t="n"/>
      <c r="P15" s="6" t="n"/>
      <c r="Q15" s="6" t="inlineStr">
        <is>
          <t>AARP MA CHOICE / MEDICARE COMPLETE</t>
        </is>
      </c>
      <c r="R15" s="6" t="inlineStr">
        <is>
          <t>180 days</t>
        </is>
      </c>
      <c r="S15" s="6" t="inlineStr">
        <is>
          <t>Processed date</t>
        </is>
      </c>
      <c r="T15" s="6" t="inlineStr">
        <is>
          <t>365 days</t>
        </is>
      </c>
      <c r="U15" s="6" t="inlineStr">
        <is>
          <t>Processed date</t>
        </is>
      </c>
      <c r="V15" s="6" t="n"/>
      <c r="W15" s="6" t="n"/>
      <c r="X15" s="6" t="n"/>
      <c r="Y15" s="6" t="inlineStr">
        <is>
          <t>1</t>
        </is>
      </c>
      <c r="Z15" s="9" t="n">
        <v>3822.49</v>
      </c>
      <c r="AA15" s="9" t="n">
        <v>0</v>
      </c>
      <c r="AB15" s="9" t="n">
        <v>0</v>
      </c>
      <c r="AC15" s="7" t="n">
        <v>46146</v>
      </c>
      <c r="AD15" s="9" t="n">
        <v>3822.49</v>
      </c>
      <c r="AE15" s="5" t="n">
        <v>144</v>
      </c>
      <c r="AF15" s="6" t="inlineStr">
        <is>
          <t>M79604</t>
        </is>
      </c>
      <c r="AG15" s="6" t="inlineStr">
        <is>
          <t>M79605</t>
        </is>
      </c>
      <c r="AH15" s="6" t="inlineStr">
        <is>
          <t>R600</t>
        </is>
      </c>
      <c r="AI15" s="6" t="n"/>
      <c r="AJ15" s="5" t="n"/>
      <c r="AK15" s="6" t="inlineStr">
        <is>
          <t>LEATHEM, JARRETT</t>
        </is>
      </c>
      <c r="AL15" s="6" t="inlineStr">
        <is>
          <t>ASAP - Gilbert</t>
        </is>
      </c>
      <c r="AM15" s="7" t="n">
        <v>46106</v>
      </c>
      <c r="AN15" s="6" t="inlineStr">
        <is>
          <t>US</t>
        </is>
      </c>
      <c r="AO15" s="6" t="inlineStr">
        <is>
          <t>867, 868, 869</t>
        </is>
      </c>
    </row>
  </sheetData>
  <autoFilter ref="A1:AO15"/>
  <conditionalFormatting sqref="L2:L15">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5">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5">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5">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7"/>
  <sheetViews>
    <sheetView showGridLines="0" workbookViewId="0">
      <selection activeCell="A1" sqref="A1"/>
    </sheetView>
  </sheetViews>
  <sheetFormatPr baseColWidth="8" defaultRowHeight="15"/>
  <cols>
    <col width="118" customWidth="1" min="1" max="1"/>
  </cols>
  <sheetData>
    <row r="1">
      <c r="A1" s="10" t="inlineStr">
        <is>
          <t>2026-03 March - Specialty Claims</t>
        </is>
      </c>
    </row>
    <row r="2">
      <c r="A2" s="11" t="inlineStr"/>
    </row>
    <row r="3">
      <c r="A3" s="11" t="inlineStr">
        <is>
          <t>73 claim lines with a date of service in 2026-03 March,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0</t>
        </is>
      </c>
    </row>
    <row r="10">
      <c r="A10" s="11" t="inlineStr">
        <is>
          <t xml:space="preserve">    3 - Due in 31+ days: 28</t>
        </is>
      </c>
    </row>
    <row r="11">
      <c r="A11" s="11" t="inlineStr">
        <is>
          <t xml:space="preserve">    4 - Past deadline: 40</t>
        </is>
      </c>
    </row>
    <row r="12">
      <c r="A12" s="11" t="inlineStr">
        <is>
          <t xml:space="preserve">    5 - No limit on file: 5</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Where a payer had two possible limits the shorter one was used, so the real deadline can only be later, never earlier. Filing Limit and Limit Carrier name the figure applied and the carrier row it came from.</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Date Worked 1 starts empty.</t>
        </is>
      </c>
    </row>
    <row r="26">
      <c r="A26" s="11" t="inlineStr">
        <is>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is>
      </c>
    </row>
    <row r="27">
      <c r="A27" s="11" t="inlineStr"/>
    </row>
    <row r="28">
      <c r="A28" s="12" t="inlineStr">
        <is>
          <t>Corrected claim and appeal countdowns</t>
        </is>
      </c>
    </row>
    <row r="29">
      <c r="A29" s="11" t="inlineStr">
        <is>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is>
      </c>
    </row>
    <row r="30">
      <c r="A30" s="11" t="inlineStr">
        <is>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is>
      </c>
    </row>
    <row r="31">
      <c r="A31" s="11" t="inlineStr">
        <is>
          <t>These windows matter most on the rows whose initial filing deadline has already passed. Note the traps the reference calls out: Cigna does not restart the clock for a corrected claim, and Medicare separates reopening from redetermination.</t>
        </is>
      </c>
    </row>
    <row r="32">
      <c r="A32" s="11" t="inlineStr"/>
    </row>
    <row r="33">
      <c r="A33" s="12" t="inlineStr">
        <is>
          <t>How this file feeds the master</t>
        </is>
      </c>
    </row>
    <row r="34">
      <c r="A34"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5">
      <c r="A35" s="11" t="inlineStr">
        <is>
          <t>The link is matched on Primary Claim ID, not on row position, so sorting and filtering these sheets is safe. Do not edit that column, and do not rename the specialty sheet tabs.</t>
        </is>
      </c>
    </row>
    <row r="36">
      <c r="A36" s="11" t="inlineStr"/>
    </row>
    <row r="37">
      <c r="A37"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2026-08-13T00:38:29Z</dcterms:created>
  <dcterms:modified xsi:type="dcterms:W3CDTF">2026-08-13T00:38:29Z</dcterms:modified>
</cp:coreProperties>
</file>