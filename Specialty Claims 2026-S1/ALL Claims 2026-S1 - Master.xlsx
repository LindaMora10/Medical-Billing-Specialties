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<sst xmlns="http://schemas.openxmlformats.org/spreadsheetml/2006/main" count="22721" uniqueCount="1771">
  <si>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</si>
  <si>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</si>
  <si>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</si>
  <si>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</si>
  <si>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</si>
  <si>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</si>
  <si>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</si>
  <si>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</si>
  <si>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</si>
  <si>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</si>
  <si>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</si>
  <si>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</si>
  <si>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</si>
  <si>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</si>
  <si>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</si>
  <si>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</si>
  <si>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</si>
  <si>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</si>
  <si>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</si>
  <si>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2026-02 February - Specialty Claims.xlsx</t>
  </si>
  <si>
    <t xml:space="preserve">    [3]  2026-03 March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</si>
  <si>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</si>
  <si>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</si>
  <si>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</si>
  <si>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</si>
  <si>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</si>
  <si>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</si>
  <si>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</si>
  <si>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</si>
  <si>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</si>
  <si>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</si>
  <si>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</si>
  <si>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</si>
  <si>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</si>
  <si>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</si>
  <si>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</si>
  <si>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</si>
  <si>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</si>
  <si>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</si>
  <si>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</si>
  <si>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</si>
  <si>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</si>
  <si>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</si>
  <si>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</si>
  <si>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</si>
  <si>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</si>
  <si>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</si>
  <si>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</si>
  <si>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</si>
  <si>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</si>
  <si>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</si>
  <si>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</si>
  <si>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</si>
  <si>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</si>
  <si>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</si>
  <si>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</si>
  <si>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</si>
  <si>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</si>
  <si>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</si>
  <si>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</si>
  <si>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</si>
  <si>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</si>
  <si>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</si>
  <si>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</si>
  <si>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</si>
  <si>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</si>
  <si>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</si>
  <si>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</si>
  <si>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</si>
  <si>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</si>
  <si>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</si>
  <si>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</si>
  <si>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</si>
  <si>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</si>
  <si>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</si>
  <si>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</si>
  <si>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</si>
  <si>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</si>
  <si>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</si>
  <si>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</si>
  <si>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</si>
  <si>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</si>
  <si>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</si>
  <si>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</si>
  <si>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</si>
  <si>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</si>
  <si>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</si>
  <si>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</si>
  <si>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</si>
  <si>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</si>
  <si>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</si>
  <si>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</si>
  <si>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</si>
  <si>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</si>
  <si>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</si>
  <si>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</si>
  <si>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</si>
  <si>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</si>
  <si>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</si>
  <si>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</si>
  <si>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</si>
  <si>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</si>
  <si>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</si>
  <si>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</si>
  <si>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</si>
  <si>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</si>
  <si>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</si>
  <si>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</si>
  <si>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</si>
  <si>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</si>
  <si>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</si>
  <si>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</si>
  <si>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</si>
  <si>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</si>
  <si>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</si>
  <si>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</si>
  <si>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</si>
  <si>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</si>
  <si>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</si>
  <si>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</si>
  <si>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</si>
  <si>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</si>
  <si>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</si>
  <si>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</si>
  <si>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</si>
  <si>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</si>
  <si>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</si>
  <si>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</si>
  <si>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</si>
  <si>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</si>
  <si>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</si>
  <si>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</si>
  <si>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</si>
  <si>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</si>
  <si>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</si>
  <si>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</si>
  <si>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</si>
  <si>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</si>
  <si>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</si>
  <si>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</si>
  <si>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</si>
  <si>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</si>
  <si>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</si>
  <si>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</si>
  <si>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</si>
  <si>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</si>
  <si>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</si>
  <si>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</si>
  <si>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</si>
  <si>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</si>
  <si>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</si>
  <si>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</si>
  <si>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</si>
  <si>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</si>
  <si>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</si>
  <si>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</si>
  <si>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</si>
  <si>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</si>
  <si>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</si>
  <si>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</si>
  <si>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</si>
  <si>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</si>
  <si>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</si>
  <si>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</si>
  <si>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</si>
  <si>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</si>
  <si>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</si>
  <si>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</si>
  <si>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</si>
  <si>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</si>
  <si>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</si>
  <si>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</si>
  <si>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</si>
  <si>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</si>
  <si>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</si>
  <si>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</si>
  <si>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</si>
  <si>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</si>
  <si>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</si>
  <si>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</si>
  <si>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</si>
  <si>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</si>
  <si>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</si>
  <si>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</si>
  <si>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</si>
  <si>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</si>
  <si>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</si>
  <si>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</si>
  <si>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</si>
  <si>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</si>
  <si>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</si>
  <si>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</si>
  <si>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</si>
  <si>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</si>
  <si>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</si>
  <si>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</si>
  <si>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</si>
  <si>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</si>
  <si>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</si>
  <si>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</si>
  <si>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</si>
  <si>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</si>
  <si>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</si>
  <si>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</si>
  <si>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</si>
  <si>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</si>
  <si>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</si>
  <si>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</si>
  <si>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</si>
  <si>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</si>
  <si>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</si>
  <si>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</si>
  <si>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</si>
  <si>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</si>
  <si>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</si>
  <si>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</si>
  <si>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</si>
  <si>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</si>
  <si>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</si>
  <si>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</si>
  <si>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</si>
  <si>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</si>
  <si>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</si>
  <si>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</si>
  <si>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</si>
  <si>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</si>
  <si>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</si>
  <si>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</si>
  <si>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</si>
  <si>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</si>
  <si>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</si>
  <si>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</si>
  <si>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</si>
  <si>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</si>
  <si>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</si>
  <si>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</si>
  <si>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</si>
  <si>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</si>
  <si>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</si>
  <si>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</si>
  <si>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</si>
  <si>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</si>
  <si>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</si>
  <si>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</si>
  <si>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</si>
  <si>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</si>
  <si>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</si>
  <si>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</si>
  <si>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</si>
  <si>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</si>
  <si>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</si>
  <si>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</si>
  <si>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</si>
  <si>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</si>
  <si>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</si>
  <si>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</si>
  <si>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</si>
  <si>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</si>
  <si>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</si>
  <si>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</si>
  <si>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</si>
  <si>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</si>
  <si>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</si>
  <si>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</si>
  <si>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</si>
  <si>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</si>
  <si>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</si>
  <si>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</si>
  <si>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</si>
  <si>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</si>
  <si>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</si>
  <si>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</si>
  <si>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</si>
  <si>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</si>
  <si>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</si>
  <si>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</si>
  <si>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</si>
  <si>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</si>
  <si>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</si>
  <si>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</si>
  <si>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</si>
  <si>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</si>
  <si>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</si>
  <si>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</si>
  <si>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</si>
  <si>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</si>
  <si>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</si>
  <si>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</si>
  <si>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</si>
  <si>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</si>
  <si>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</si>
  <si>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</si>
  <si>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</si>
  <si>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</si>
  <si>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</si>
  <si>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</si>
  <si>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</si>
  <si>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</si>
  <si>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</si>
  <si>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</si>
  <si>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</si>
  <si>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</si>
  <si>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</si>
  <si>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</si>
  <si>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</si>
  <si>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</si>
  <si>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</si>
  <si>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</si>
  <si>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</si>
  <si>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</si>
  <si>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</si>
  <si>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</si>
  <si>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</si>
  <si>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</si>
  <si>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</si>
  <si>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</si>
  <si>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</si>
  <si>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</si>
  <si>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</si>
  <si>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</si>
  <si>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</si>
  <si>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</si>
  <si>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</si>
  <si>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</si>
  <si>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</si>
  <si>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</si>
  <si>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</si>
  <si>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</si>
  <si>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</si>
  <si>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</si>
  <si>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</si>
  <si>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</si>
  <si>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</si>
  <si>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</si>
  <si>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</si>
  <si>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</si>
  <si>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</si>
  <si>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</si>
  <si>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</si>
  <si>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</si>
  <si>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</si>
  <si>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</si>
  <si>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</si>
  <si>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</si>
  <si>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</si>
  <si>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</si>
  <si>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</si>
  <si>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</si>
  <si>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</si>
  <si>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</si>
  <si>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</si>
  <si>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</si>
  <si>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</si>
  <si>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</si>
  <si>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</si>
  <si>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</si>
  <si>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</si>
  <si>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</si>
  <si>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</si>
  <si>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</si>
  <si>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</si>
  <si>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</si>
  <si>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</si>
  <si>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</si>
  <si>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</si>
  <si>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</si>
  <si>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</si>
  <si>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</si>
  <si>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</si>
  <si>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</si>
  <si>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</si>
  <si>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</si>
  <si>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</si>
  <si>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</si>
  <si>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</si>
  <si>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</si>
  <si>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</si>
  <si>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</si>
  <si>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</si>
  <si>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</si>
  <si>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</si>
  <si>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</si>
  <si>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</si>
  <si>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</si>
  <si>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</si>
  <si>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</si>
  <si>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</si>
  <si>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</si>
  <si>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</si>
  <si>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</si>
  <si>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</si>
  <si>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</si>
  <si>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</si>
  <si>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</si>
  <si>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</si>
  <si>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</si>
  <si>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</si>
  <si>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</si>
  <si>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</si>
  <si>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</si>
  <si>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</si>
  <si>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</si>
  <si>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</si>
  <si>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</si>
  <si>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</si>
  <si>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</si>
  <si>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</si>
  <si>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</si>
  <si>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</si>
  <si>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</si>
  <si>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</si>
  <si>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</si>
  <si>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</si>
  <si>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</si>
  <si>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</si>
  <si>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</si>
  <si>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</si>
  <si>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</si>
  <si>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</si>
  <si>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</si>
  <si>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</si>
  <si>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</si>
  <si>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</si>
  <si>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</si>
  <si>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</si>
  <si>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</si>
  <si>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</si>
  <si>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</si>
  <si>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</si>
  <si>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</si>
  <si>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</si>
  <si>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</si>
  <si>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</si>
  <si>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</si>
  <si>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</si>
  <si>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</si>
  <si>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</si>
  <si>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</si>
  <si>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</si>
  <si>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</si>
  <si>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</si>
  <si>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</si>
  <si>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</si>
  <si>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</si>
  <si>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</si>
  <si>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</si>
  <si>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</si>
  <si>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</si>
  <si>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</si>
  <si>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</si>
  <si>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</si>
  <si>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</si>
  <si>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</si>
  <si>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</si>
  <si>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</si>
  <si>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</si>
  <si>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</si>
  <si>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</si>
  <si>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</si>
  <si>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</si>
  <si>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</si>
  <si>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</si>
  <si>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</si>
  <si>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</si>
  <si>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</si>
  <si>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</si>
  <si>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</si>
  <si>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</si>
  <si>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</si>
  <si>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</si>
  <si>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</si>
  <si>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</si>
  <si>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</si>
  <si>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</si>
  <si>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</si>
  <si>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</si>
  <si>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</si>
  <si>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</si>
  <si>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</si>
  <si>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</si>
  <si>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</si>
  <si>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</si>
  <si>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</si>
  <si>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</si>
  <si>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</si>
  <si>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</si>
  <si>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</si>
  <si>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</si>
  <si>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</si>
  <si>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</si>
  <si>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</si>
  <si>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</si>
  <si>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</si>
  <si>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</si>
  <si>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</si>
  <si>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</si>
  <si>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</si>
  <si>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</si>
  <si>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</si>
  <si>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</si>
  <si>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</si>
  <si>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</si>
  <si>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</si>
  <si>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</si>
  <si>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</si>
  <si>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</si>
  <si>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</si>
  <si>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</si>
  <si>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</si>
  <si>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</si>
  <si>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</si>
  <si>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</si>
  <si>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</si>
  <si>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</si>
  <si>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</si>
  <si>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</si>
  <si>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</si>
  <si>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</si>
  <si>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</si>
  <si>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</si>
  <si>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</si>
  <si>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</si>
  <si>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</si>
  <si>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</si>
  <si>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</si>
  <si>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</si>
  <si>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</si>
  <si>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</si>
  <si>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</si>
  <si>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</si>
  <si>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</si>
  <si>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</si>
  <si>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</si>
  <si>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</si>
  <si>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</si>
  <si>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</si>
  <si>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</si>
  <si>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</si>
  <si>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</si>
  <si>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</si>
  <si>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</si>
  <si>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</si>
  <si>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</si>
  <si>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</si>
  <si>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</si>
  <si>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</si>
  <si>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</si>
  <si>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</si>
  <si>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</si>
  <si>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</si>
  <si>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</si>
  <si>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</si>
  <si>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</si>
  <si>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</si>
  <si>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</si>
  <si>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</si>
  <si>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</si>
  <si>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</si>
  <si>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</si>
  <si>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</si>
  <si>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</si>
  <si>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</si>
  <si>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</si>
  <si>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</si>
  <si>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</si>
  <si>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</si>
  <si>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</si>
  <si>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</si>
  <si>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</si>
  <si>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</si>
  <si>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</si>
  <si>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</si>
  <si>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</si>
  <si>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</si>
  <si>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</si>
  <si>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</si>
  <si>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</si>
  <si>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</si>
  <si>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</si>
  <si>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</si>
  <si>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</si>
  <si>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</si>
  <si>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</si>
  <si>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</si>
  <si>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</si>
  <si>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</si>
  <si>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</si>
  <si>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</si>
  <si>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</si>
  <si>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</si>
  <si>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</si>
  <si>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</si>
  <si>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</si>
  <si>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</si>
  <si>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</si>
  <si>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</si>
  <si>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</si>
  <si>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</si>
  <si>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</si>
  <si>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</si>
  <si>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</si>
  <si>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</si>
  <si>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</si>
  <si>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</si>
  <si>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</si>
  <si>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</si>
  <si>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</si>
  <si>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</si>
  <si>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</si>
  <si>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</si>
  <si>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</si>
  <si>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</si>
  <si>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</si>
  <si>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</si>
  <si>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</si>
  <si>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</si>
  <si>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</si>
  <si>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</si>
  <si>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</si>
  <si>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</si>
  <si>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</si>
  <si>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</si>
  <si>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</si>
  <si>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</si>
  <si>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</si>
  <si>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</si>
  <si>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</si>
  <si>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</si>
  <si>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</si>
  <si>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</si>
  <si>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</si>
  <si>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</si>
  <si>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</si>
  <si>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</si>
  <si>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</si>
  <si>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</si>
  <si>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</si>
  <si>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</si>
  <si>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</si>
  <si>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</si>
  <si>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</si>
  <si>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</si>
  <si>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</si>
  <si>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</si>
  <si>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</si>
  <si>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</si>
  <si>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</si>
  <si>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</si>
  <si>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</si>
  <si>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</si>
  <si>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</si>
  <si>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</si>
  <si>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</si>
  <si>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</si>
  <si>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</si>
  <si>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</si>
  <si>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</si>
  <si>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</si>
  <si>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</si>
  <si>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</si>
  <si>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</si>
  <si>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</si>
  <si>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</si>
  <si>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</si>
  <si>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</si>
  <si>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</si>
  <si>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</si>
  <si>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</si>
  <si>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</si>
  <si>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</si>
  <si>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</si>
  <si>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</si>
  <si>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</si>
  <si>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</si>
  <si>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</si>
  <si>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</si>
  <si>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</si>
  <si>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</si>
  <si>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</si>
  <si>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</si>
  <si>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</si>
  <si>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</si>
  <si>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</si>
  <si>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</si>
  <si>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</si>
  <si>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</si>
  <si>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</si>
  <si>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</si>
  <si>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</si>
  <si>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</si>
  <si>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</si>
  <si>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</si>
  <si>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</si>
  <si>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</si>
  <si>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</si>
  <si>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</si>
  <si>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</si>
  <si>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</si>
  <si>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</si>
  <si>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</si>
  <si>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</si>
  <si>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</si>
  <si>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</si>
  <si>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</si>
  <si>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</si>
  <si>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</si>
  <si>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</si>
  <si>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</si>
  <si>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</si>
  <si>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</si>
  <si>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</si>
  <si>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</si>
  <si>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</si>
  <si>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</si>
  <si>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</si>
  <si>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</si>
  <si>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</si>
  <si>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</si>
  <si>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</si>
  <si>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</si>
  <si>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</si>
  <si>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</si>
  <si>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</si>
  <si>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</si>
  <si>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</si>
  <si>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</si>
  <si>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</si>
  <si>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</si>
  <si>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</si>
  <si>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</si>
  <si>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</si>
  <si>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</si>
  <si>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</si>
  <si>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</si>
  <si>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</si>
  <si>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</si>
  <si>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</si>
  <si>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</si>
  <si>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</si>
  <si>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</si>
  <si>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</si>
  <si>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</si>
  <si>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</si>
  <si>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</si>
  <si>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</si>
  <si>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</si>
  <si>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</si>
  <si>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</si>
  <si>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</si>
  <si>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</si>
  <si>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</si>
  <si>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</si>
  <si>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</si>
  <si>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</si>
  <si>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</si>
  <si>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</si>
  <si>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</si>
  <si>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</si>
  <si>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</si>
  <si>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</si>
  <si>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</si>
  <si>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</si>
  <si>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</si>
  <si>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</si>
  <si>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</si>
  <si>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</si>
  <si>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</si>
  <si>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</si>
  <si>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</si>
  <si>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</si>
  <si>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</si>
  <si>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</si>
  <si>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</si>
  <si>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</si>
  <si>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</si>
  <si>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</si>
  <si>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</si>
  <si>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</si>
  <si>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</si>
  <si>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</si>
  <si>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</si>
  <si>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</si>
  <si>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</si>
  <si>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</si>
  <si>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</si>
  <si>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</si>
  <si>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</si>
  <si>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</si>
  <si>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</si>
  <si>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</si>
  <si>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</si>
  <si>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</si>
  <si>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</si>
  <si>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</si>
  <si>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</si>
  <si>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</si>
  <si>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</si>
  <si>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</si>
  <si>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</si>
  <si>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</si>
  <si>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</si>
  <si>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</si>
  <si>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</si>
  <si>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</si>
  <si>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</si>
  <si>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</si>
  <si>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</si>
  <si>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</si>
  <si>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</si>
  <si>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</si>
  <si>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</si>
  <si>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</si>
  <si>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</si>
  <si>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</si>
  <si>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</si>
  <si>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</si>
  <si>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</si>
  <si>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</si>
  <si>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</si>
  <si>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</si>
  <si>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</si>
  <si>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</si>
  <si>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</si>
  <si>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</si>
  <si>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</si>
  <si>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</si>
  <si>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</si>
  <si>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</si>
  <si>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</si>
  <si>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</si>
  <si>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</si>
  <si>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</si>
  <si>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</si>
  <si>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</si>
  <si>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</si>
  <si>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</si>
  <si>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</si>
  <si>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</si>
  <si>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</si>
  <si>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</si>
  <si>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</si>
  <si>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</si>
  <si>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</si>
  <si>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</si>
  <si>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</si>
  <si>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</si>
  <si>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</si>
  <si>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</si>
  <si>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</si>
  <si>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</si>
  <si>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</si>
  <si>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</si>
  <si>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</si>
  <si>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</si>
  <si>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</si>
  <si>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</si>
  <si>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</si>
  <si>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</si>
  <si>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</si>
  <si>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</si>
  <si>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</si>
  <si>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</si>
  <si>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</si>
  <si>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</si>
  <si>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</si>
  <si>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</si>
  <si>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</si>
  <si>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</si>
  <si>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</si>
  <si>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</si>
  <si>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</si>
  <si>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</si>
  <si>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</si>
  <si>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</si>
  <si>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</si>
  <si>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</si>
  <si>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</si>
  <si>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</si>
  <si>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</si>
  <si>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</si>
  <si>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</si>
  <si>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</si>
  <si>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</si>
  <si>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</si>
  <si>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</si>
  <si>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</si>
  <si>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</si>
  <si>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</si>
  <si>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</si>
  <si>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</si>
  <si>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</si>
  <si>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</si>
  <si>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</si>
  <si>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</si>
  <si>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</si>
  <si>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</si>
  <si>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</si>
  <si>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</si>
  <si>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</si>
  <si>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</si>
  <si>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</si>
  <si>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</si>
  <si>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</si>
  <si>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</si>
  <si>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</si>
  <si>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</si>
  <si>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</si>
  <si>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</si>
  <si>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</si>
  <si>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</si>
  <si>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</si>
  <si>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</si>
  <si>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</si>
  <si>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</si>
  <si>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</si>
  <si>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</si>
  <si>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</si>
  <si>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</si>
  <si>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</si>
  <si>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</si>
  <si>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</si>
  <si>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</si>
  <si>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</si>
  <si>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</si>
  <si>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</si>
  <si>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</si>
  <si>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</si>
  <si>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</si>
  <si>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</si>
  <si>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</si>
  <si>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</si>
  <si>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</si>
  <si>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</si>
  <si>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</si>
  <si>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</si>
  <si>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</si>
  <si>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</si>
  <si>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</si>
  <si>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</si>
  <si>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</si>
  <si>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</si>
  <si>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</si>
  <si>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</si>
  <si>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</si>
  <si>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</si>
  <si>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</si>
  <si>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</si>
  <si>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</si>
  <si>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</si>
  <si>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</si>
  <si>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</si>
  <si>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</si>
  <si>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</si>
  <si>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</si>
  <si>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</si>
  <si>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</si>
  <si>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</si>
  <si>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</si>
  <si>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</si>
  <si>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</si>
  <si>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</si>
  <si>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</si>
  <si>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</si>
  <si>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</si>
  <si>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</si>
  <si>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</si>
  <si>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</si>
  <si>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</si>
  <si>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</si>
  <si>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</si>
  <si>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</si>
  <si>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</si>
  <si>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</si>
  <si>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</si>
  <si>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</si>
  <si>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</si>
  <si>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</si>
  <si>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</si>
  <si>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</si>
  <si>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</si>
  <si>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</si>
  <si>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</si>
  <si>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</si>
  <si>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</si>
  <si>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</si>
  <si>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</si>
  <si>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</si>
  <si>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</si>
  <si>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</si>
  <si>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</si>
  <si>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</si>
  <si>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</si>
  <si>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</si>
  <si>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</si>
  <si>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</si>
  <si>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</si>
  <si>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</si>
  <si>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</si>
  <si>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</si>
  <si>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</si>
  <si>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</si>
  <si>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</si>
  <si>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</si>
  <si>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</si>
  <si>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</si>
  <si>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</si>
  <si>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</si>
  <si>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</si>
  <si>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</si>
  <si>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</si>
  <si>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</si>
  <si>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</si>
  <si>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</si>
  <si>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</si>
  <si>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</si>
  <si>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</si>
  <si>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</si>
  <si>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</si>
  <si>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</si>
  <si>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</si>
  <si>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</si>
  <si>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</si>
  <si>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</si>
  <si>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</si>
  <si>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</si>
  <si>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</si>
  <si>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</si>
  <si>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</si>
  <si>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</si>
  <si>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</si>
  <si>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</si>
  <si>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</si>
  <si>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</si>
  <si>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</si>
  <si>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</si>
  <si>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</si>
  <si>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</si>
  <si>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</si>
  <si>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</si>
  <si>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</si>
  <si>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</si>
  <si>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</si>
  <si>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</si>
  <si>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</si>
  <si>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</si>
  <si>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</si>
  <si>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</si>
  <si>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</si>
  <si>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</si>
  <si>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</si>
  <si>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</si>
  <si>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</si>
  <si>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</si>
  <si>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</si>
  <si>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</si>
  <si>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</si>
  <si>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</si>
  <si>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</si>
  <si>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</si>
  <si>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</si>
  <si>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</si>
  <si>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</si>
  <si>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</si>
  <si>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</si>
  <si>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</si>
  <si>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</si>
  <si>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</si>
  <si>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</si>
  <si>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</si>
  <si>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</si>
  <si>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</si>
  <si>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</si>
  <si>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</si>
  <si>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</si>
  <si>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</si>
  <si>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</si>
  <si>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</si>
  <si>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</si>
  <si>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</si>
  <si>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</si>
  <si>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</si>
  <si>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</si>
  <si>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</si>
  <si>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</si>
  <si>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</si>
  <si>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</si>
  <si>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</si>
  <si>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</si>
  <si>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</si>
  <si>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</si>
  <si>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</si>
  <si>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</si>
  <si>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</si>
  <si>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</si>
  <si>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</si>
  <si>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</si>
  <si>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</si>
  <si>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</si>
  <si>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</si>
  <si>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</si>
  <si>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</si>
  <si>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</si>
  <si>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</si>
  <si>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</si>
  <si>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</si>
  <si>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</si>
  <si>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</si>
  <si>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</si>
  <si>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</si>
  <si>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</si>
  <si>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</si>
  <si>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</si>
  <si>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</si>
  <si>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</si>
  <si>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</si>
  <si>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</si>
  <si>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</si>
  <si>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</si>
  <si>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</si>
  <si>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</si>
  <si>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</si>
  <si>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</si>
  <si>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</si>
  <si>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</si>
  <si>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</si>
  <si>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</si>
  <si>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</si>
  <si>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</si>
  <si>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</si>
  <si>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</si>
  <si>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</si>
  <si>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</si>
  <si>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</si>
  <si>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</si>
  <si>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</si>
  <si>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</si>
  <si>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</si>
  <si>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</si>
  <si>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</si>
  <si>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</si>
  <si>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</si>
  <si>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</si>
  <si>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</si>
  <si>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</si>
  <si>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</si>
  <si>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</si>
  <si>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</si>
  <si>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</si>
  <si>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</si>
  <si>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</si>
  <si>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</si>
  <si>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</si>
  <si>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</si>
  <si>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</si>
  <si>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</si>
  <si>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</si>
  <si>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</si>
  <si>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</si>
  <si>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</si>
  <si>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</si>
  <si>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</si>
  <si>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</si>
  <si>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</si>
  <si>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</si>
  <si>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</si>
  <si>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</si>
  <si>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</si>
  <si>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</si>
  <si>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</si>
  <si>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</si>
  <si>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</si>
  <si>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</si>
  <si>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</si>
  <si>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</si>
  <si>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</si>
  <si>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</si>
  <si>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</si>
  <si>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</si>
  <si>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</si>
  <si>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</si>
  <si>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</si>
  <si>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</si>
  <si>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</si>
  <si>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</si>
  <si>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</si>
  <si>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</si>
  <si>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</si>
  <si>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</si>
  <si>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</si>
  <si>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</si>
  <si>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</si>
  <si>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</si>
  <si>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</si>
  <si>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</si>
  <si>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</si>
  <si>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</si>
  <si>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</si>
  <si>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</si>
  <si>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</si>
  <si>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</si>
  <si>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</si>
  <si>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</si>
  <si>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</si>
  <si>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</si>
  <si>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</si>
  <si>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</si>
  <si>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</si>
  <si>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</si>
  <si>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</si>
  <si>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</si>
  <si>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</si>
  <si>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</si>
  <si>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</si>
  <si>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</si>
  <si>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</si>
  <si>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</si>
  <si>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</si>
  <si>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</si>
  <si>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</si>
  <si>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</si>
  <si>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</si>
  <si>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</si>
  <si>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</si>
  <si>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</si>
  <si>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</si>
  <si>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</si>
  <si>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</si>
  <si>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</si>
  <si>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</si>
  <si>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</si>
  <si>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</si>
  <si>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</si>
  <si>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</si>
  <si>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</si>
  <si>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</si>
  <si>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</si>
  <si>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</si>
  <si>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</si>
  <si>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</si>
  <si>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</si>
  <si>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</si>
  <si>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</si>
  <si>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</si>
  <si>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</si>
  <si>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</si>
  <si>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</si>
  <si>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</si>
  <si>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</si>
  <si>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</si>
  <si>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</si>
  <si>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</si>
  <si>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</si>
  <si>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</si>
  <si>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</si>
  <si>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</si>
  <si>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</si>
  <si>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</si>
  <si>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</si>
  <si>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</si>
  <si>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</si>
  <si>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</si>
  <si>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</si>
  <si>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</si>
  <si>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</si>
  <si>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</si>
  <si>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</si>
  <si>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</si>
  <si>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</si>
  <si>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</si>
  <si>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</si>
  <si>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</si>
  <si>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</si>
  <si>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</si>
  <si>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</si>
  <si>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</si>
  <si>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</si>
  <si>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</si>
  <si>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</si>
  <si>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</si>
  <si>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</si>
  <si>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</si>
  <si>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</si>
  <si>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</si>
  <si>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</si>
  <si>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</si>
  <si>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</si>
  <si>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</si>
  <si>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</si>
  <si>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</si>
  <si>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</si>
  <si>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</si>
  <si>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</si>
  <si>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</si>
  <si>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</si>
  <si>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</si>
  <si>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</si>
  <si>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</si>
  <si>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</si>
  <si>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</si>
  <si>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</si>
  <si>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</si>
  <si>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</si>
  <si>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</si>
  <si>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</si>
  <si>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</si>
  <si>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</si>
  <si>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</si>
  <si>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</si>
  <si>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</si>
  <si>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</si>
  <si>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</si>
  <si>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</si>
  <si>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</si>
  <si>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</si>
  <si>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</si>
  <si>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</si>
  <si>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</si>
  <si>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</si>
  <si>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</si>
  <si>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</si>
  <si>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</si>
  <si>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</si>
  <si>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</si>
  <si>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</si>
  <si>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</si>
  <si>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</si>
  <si>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</si>
  <si>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</si>
  <si>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</si>
  <si>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</si>
  <si>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</si>
  <si>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</si>
  <si>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</si>
  <si>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</si>
  <si>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</si>
  <si>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</si>
  <si>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</si>
  <si>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</si>
  <si>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</si>
  <si>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</si>
  <si>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</si>
  <si>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</si>
  <si>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</si>
  <si>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</si>
  <si>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</si>
  <si>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</si>
  <si>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</si>
  <si>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</si>
  <si>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</si>
  <si>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</si>
  <si>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</si>
  <si>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</si>
  <si>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</si>
  <si>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</si>
  <si>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</si>
  <si>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</si>
  <si>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</si>
  <si>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</si>
  <si>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</si>
  <si>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</si>
  <si>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</si>
  <si>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</si>
  <si>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</si>
  <si>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</si>
  <si>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</si>
  <si>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</si>
  <si>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</si>
  <si>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</si>
  <si>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</si>
  <si>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</si>
  <si>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</si>
  <si>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</si>
  <si>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</si>
  <si>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</si>
  <si>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</si>
  <si>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</si>
  <si>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</si>
  <si>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</si>
  <si>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</si>
  <si>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</si>
  <si>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</si>
  <si>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</si>
  <si>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</si>
  <si>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</si>
  <si>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</si>
  <si>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</si>
  <si>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</si>
  <si>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</si>
  <si>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</si>
  <si>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</si>
  <si>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</si>
  <si>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</si>
  <si>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</si>
  <si>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</si>
  <si>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</si>
  <si>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</si>
  <si>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</si>
  <si>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</si>
  <si>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</si>
  <si>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</si>
  <si>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</si>
  <si>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</si>
  <si>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</si>
  <si>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</si>
  <si>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</si>
  <si>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</si>
  <si>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</si>
  <si>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</si>
  <si>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</si>
  <si>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</si>
  <si>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</si>
  <si>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</si>
  <si>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</si>
  <si>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</si>
  <si>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</si>
  <si>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</si>
  <si>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</si>
  <si>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</si>
  <si>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</si>
  <si>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</si>
  <si>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</si>
  <si>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</si>
  <si>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</si>
  <si>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</si>
  <si>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</si>
  <si>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</si>
  <si>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</si>
  <si>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</si>
  <si>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</si>
  <si>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</si>
  <si>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</si>
  <si>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</si>
  <si>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</si>
  <si>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</si>
  <si>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</si>
  <si>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</si>
  <si>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</si>
  <si>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</si>
  <si>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</si>
  <si>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</si>
  <si>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</si>
  <si>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</si>
  <si>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</si>
  <si>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</si>
  <si>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</si>
  <si>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</si>
  <si>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</si>
  <si>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</si>
  <si>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</si>
  <si>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</si>
  <si>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</si>
  <si>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</si>
  <si>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</si>
  <si>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</si>
  <si>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</si>
  <si>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</si>
  <si>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</si>
  <si>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</si>
  <si>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</si>
  <si>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</si>
  <si>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</si>
  <si>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</si>
  <si>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</si>
  <si>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</si>
  <si>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</si>
  <si>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</si>
  <si>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</si>
  <si>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</si>
  <si>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</si>
  <si>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</si>
  <si>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</si>
  <si>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</si>
  <si>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</si>
  <si>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</si>
  <si>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</si>
  <si>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</si>
  <si>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</si>
  <si>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</si>
  <si>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</si>
  <si>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</si>
  <si>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</si>
  <si>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</si>
  <si>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</si>
  <si>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</si>
  <si>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</si>
  <si>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</si>
  <si>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</si>
  <si>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</si>
  <si>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</si>
  <si>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</si>
  <si>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</si>
  <si>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</si>
  <si>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</si>
  <si>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</si>
  <si>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</si>
  <si>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</si>
  <si>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</si>
  <si>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</si>
  <si>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</si>
  <si>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</si>
  <si>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</si>
  <si>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</si>
  <si>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</si>
  <si>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</si>
  <si>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</si>
  <si>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</si>
  <si>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</si>
  <si>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</si>
  <si>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</si>
  <si>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</si>
  <si>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</si>
  <si>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</si>
  <si>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</si>
  <si>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</si>
  <si>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</si>
  <si>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</si>
  <si>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</si>
  <si>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</si>
  <si>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</si>
  <si>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</si>
  <si>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</si>
  <si>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</si>
  <si>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</si>
  <si>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</si>
  <si>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</si>
  <si>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</si>
  <si>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</si>
  <si>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</si>
  <si>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</si>
  <si>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</si>
  <si>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</si>
  <si>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</si>
  <si>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</si>
  <si>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</si>
  <si>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</si>
  <si>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</si>
  <si>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</si>
  <si>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</si>
  <si>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</si>
  <si>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</si>
  <si>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</si>
  <si>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</si>
  <si>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</si>
  <si>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</si>
  <si>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</si>
  <si>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</si>
  <si>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</si>
  <si>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</si>
  <si>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</si>
  <si>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</si>
  <si>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</si>
  <si>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</si>
  <si>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</si>
  <si>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</si>
  <si>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</si>
  <si>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</si>
  <si>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</si>
  <si>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</si>
  <si>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</si>
  <si>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</si>
  <si>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</si>
  <si>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</si>
  <si>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</si>
  <si>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</si>
  <si>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</si>
  <si>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</si>
  <si>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</si>
  <si>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</si>
  <si>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</si>
  <si>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</si>
  <si>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</si>
  <si>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</si>
  <si>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</si>
  <si>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</si>
  <si>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</si>
  <si>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</si>
  <si>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</si>
  <si>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</si>
  <si>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</si>
  <si>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</si>
  <si>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</si>
  <si>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</si>
  <si>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</si>
  <si>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</si>
  <si>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</si>
  <si>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</si>
  <si>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</si>
  <si>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</si>
  <si>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</si>
  <si>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</si>
  <si>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</si>
  <si>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</si>
  <si>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</si>
  <si>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</si>
  <si>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</si>
  <si>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</si>
  <si>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</si>
  <si>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</si>
  <si>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</si>
  <si>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</si>
  <si>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</si>
  <si>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</si>
  <si>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</si>
  <si>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</si>
  <si>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</si>
  <si>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</si>
  <si>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</si>
  <si>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</si>
  <si>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</si>
  <si>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</si>
  <si>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</si>
  <si>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</si>
  <si>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</si>
  <si>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</si>
  <si>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</si>
  <si>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</si>
  <si>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</si>
  <si>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</si>
  <si>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</si>
  <si>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</si>
  <si>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</si>
  <si>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</si>
  <si>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</si>
  <si>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</si>
  <si>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</si>
  <si>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</si>
  <si>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</si>
  <si>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</si>
  <si>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</si>
  <si>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</si>
  <si>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</si>
  <si>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</si>
  <si>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</si>
  <si>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</si>
  <si>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</si>
  <si>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</si>
  <si>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</si>
  <si>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</si>
  <si>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</si>
  <si>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</si>
  <si>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</si>
  <si>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</si>
  <si>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</si>
  <si>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</si>
  <si>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</si>
  <si>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</si>
  <si>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</si>
  <si>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</si>
  <si>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</si>
  <si>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</si>
  <si>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</si>
  <si>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</si>
  <si>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</si>
  <si>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</si>
  <si>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</si>
  <si>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</si>
  <si>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</si>
  <si>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</si>
  <si>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</si>
  <si>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</si>
  <si>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</si>
  <si>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</si>
  <si>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</si>
  <si>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</si>
  <si>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</si>
  <si>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</si>
  <si>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</si>
  <si>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</si>
  <si>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</si>
  <si>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</si>
  <si>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</si>
  <si>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</si>
  <si>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</si>
  <si>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</si>
  <si>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</si>
  <si>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</si>
  <si>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</si>
  <si>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</si>
  <si>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</si>
  <si>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</si>
  <si>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</si>
  <si>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</si>
  <si>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</si>
  <si>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</si>
  <si>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</si>
  <si>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</si>
  <si>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</si>
  <si>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</si>
  <si>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</si>
  <si>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</si>
  <si>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</si>
  <si>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</si>
  <si>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</si>
  <si>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</si>
  <si>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</si>
  <si>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</si>
  <si>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</si>
  <si>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</si>
  <si>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</si>
  <si>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</si>
  <si>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</si>
  <si>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</si>
  <si>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</si>
  <si>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</si>
  <si>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</si>
  <si>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</si>
  <si>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</si>
  <si>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</si>
  <si>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</si>
  <si>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</si>
  <si>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</si>
  <si>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</si>
  <si>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</si>
  <si>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</si>
  <si>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</si>
  <si>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</si>
  <si>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</si>
  <si>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</si>
  <si>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</si>
  <si>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</si>
  <si>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</si>
  <si>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</si>
  <si>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</si>
  <si>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</si>
  <si>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</si>
  <si>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</si>
  <si>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</si>
  <si>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</si>
  <si>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</si>
  <si>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</si>
  <si>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</si>
  <si>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</si>
  <si>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</si>
  <si>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</si>
  <si>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</si>
  <si>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</si>
  <si>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</si>
  <si>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</si>
  <si>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</si>
  <si>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</si>
  <si>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</si>
  <si>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</si>
  <si>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</si>
  <si>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</si>
  <si>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</si>
  <si>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</si>
  <si>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</si>
  <si>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</si>
  <si>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</si>
  <si>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</si>
  <si>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</si>
  <si>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</si>
  <si>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</si>
  <si>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</si>
  <si>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</si>
  <si>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</si>
  <si>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</si>
  <si>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</si>
  <si>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</si>
  <si>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</si>
  <si>
    <t xml:space="preserve">Statuses currently in use: Denied, Finalized, PAID, Pending, Received, Rejected, Under Review.</t>
  </si>
  <si>
    <t xml:space="preserve">Statuses currently in use: Denied, Finalized, Not found, PAID, Pending, Received, Rejected, Under Review.</t>
  </si>
  <si>
    <t xml:space="preserve">Every one of the 482 claims for 2026 S1, all specialties and all six months in one place, on the 'All Claims' tab.</t>
  </si>
  <si>
    <t xml:space="preserve">    1 - Due in 5 days or less: 21</t>
  </si>
  <si>
    <t xml:space="preserve">    2 - Due in 6-30 days: 25</t>
  </si>
  <si>
    <t xml:space="preserve">    3 - Due in 31+ days: 155</t>
  </si>
  <si>
    <t xml:space="preserve">    4 - Past deadline: 238</t>
  </si>
  <si>
    <t xml:space="preserve">    5 - No limit on file: 43</t>
  </si>
  <si>
    <t xml:space="preserve">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</si>
  <si>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 xml:space="preserve">    1 - Due in 5 days or less: 20</t>
  </si>
  <si>
    <t xml:space="preserve">    4 - Past deadline: 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</si>
</sst>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Under Review</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Under Review</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Under Review</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Under Review</v>
          </cell>
          <cell r="B8" t="str">
            <v xml:space="preserve">I need to ask Juan for MR </v>
          </cell>
          <cell r="C8">
            <v>46220</v>
          </cell>
          <cell r="D8">
            <v>553063753</v>
          </cell>
          <cell r="K8"/>
        </row>
        <row r="9">
          <cell r="A9" t="str">
            <v>Not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Denied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Denied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Region B - PT state on portal: WI - DND N104 This claim/service is not payable under our claims jurisdiction area</v>
          </cell>
          <cell r="C6">
            <v>46247</v>
          </cell>
          <cell r="D6">
            <v>556799664</v>
          </cell>
          <cell r="K6">
            <v>46283</v>
          </cell>
        </row>
        <row r="7">
          <cell r="A7" t="str">
            <v>Pending</v>
          </cell>
          <cell r="B7" t="str">
            <v>secondary - Primary paid</v>
          </cell>
          <cell r="C7">
            <v>46151</v>
          </cell>
          <cell r="D7">
            <v>556803684</v>
          </cell>
          <cell r="K7">
            <v>46261</v>
          </cell>
        </row>
        <row r="8">
          <cell r="A8" t="str">
            <v>Under Review</v>
          </cell>
          <cell r="B8" t="str">
            <v>Shift to PT if I find same and similar on portal  - ABN signed - Another L0650 was dispensed back on 04/25/2022 - Supplier SONOSPINE ARIZONA LLC - DND L0650 M3 Equipment is the same or similar to equipment already being used</v>
          </cell>
          <cell r="C8">
            <v>46148</v>
          </cell>
          <cell r="D8">
            <v>557840581</v>
          </cell>
          <cell r="K8"/>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Under Review</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t="str">
            <v>Under Review</v>
          </cell>
          <cell r="B33" t="str">
            <v>Waiting for account to get activated again</v>
          </cell>
          <cell r="C33"/>
          <cell r="D33">
            <v>557846752</v>
          </cell>
          <cell r="K33"/>
        </row>
        <row r="34">
          <cell r="A34" t="str">
            <v>Under Review</v>
          </cell>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t="str">
            <v>Under Review</v>
          </cell>
          <cell r="B20" t="str">
            <v xml:space="preserve">trying to get access to EOB with imperial </v>
          </cell>
          <cell r="C20"/>
          <cell r="D20">
            <v>556696226</v>
          </cell>
          <cell r="K20"/>
        </row>
        <row r="21">
          <cell r="A21" t="str">
            <v>Under Review</v>
          </cell>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Under Review</v>
          </cell>
          <cell r="B19" t="str">
            <v>START A CHAT AND ASK FOR A PIQ REVIEW OR STATUS</v>
          </cell>
          <cell r="C19">
            <v>46177</v>
          </cell>
          <cell r="D19">
            <v>565376983</v>
          </cell>
          <cell r="K19"/>
        </row>
        <row r="20">
          <cell r="A20" t="str">
            <v>Under Review</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Under Review</v>
          </cell>
          <cell r="B22" t="str">
            <v>Send pending msm to Bri</v>
          </cell>
          <cell r="C22">
            <v>46153</v>
          </cell>
          <cell r="D22">
            <v>558622490</v>
          </cell>
          <cell r="K22"/>
        </row>
        <row r="23">
          <cell r="A23" t="str">
            <v>Under Review</v>
          </cell>
          <cell r="B23" t="str">
            <v xml:space="preserve">Waiting for Bri's reply - Juan sent MR to me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Under Review</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Under Review</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Under Review</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Under Review</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Finalized</v>
          </cell>
          <cell r="B1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A74" t="str">
            <v>Under Review</v>
          </cell>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Under Review</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Under Review</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Finalized</v>
          </cell>
          <cell r="B16" t="str">
            <v xml:space="preserve">Adjusted balance - no auth found - DND Acodes missing auth  </v>
          </cell>
          <cell r="C16">
            <v>46222</v>
          </cell>
          <cell r="D16">
            <v>563166125</v>
          </cell>
          <cell r="K16">
            <v>46282</v>
          </cell>
        </row>
        <row r="17">
          <cell r="A17" t="str">
            <v>Under Review</v>
          </cell>
          <cell r="B17" t="str">
            <v>DND Acodes Preferred Homecare is responsible for these services. Please submit the claim to Preferred Homecare for consideration.</v>
          </cell>
          <cell r="C17">
            <v>46204</v>
          </cell>
          <cell r="D17">
            <v>563182075</v>
          </cell>
        </row>
        <row r="18">
          <cell r="A18" t="str">
            <v>Finalized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Under Review</v>
          </cell>
          <cell r="B20"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Finalized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Finalized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A50" t="str">
            <v>Under Review</v>
          </cell>
          <cell r="B50" t="str">
            <v>Waiting for account to get activated again</v>
          </cell>
          <cell r="D50">
            <v>562142694</v>
          </cell>
        </row>
        <row r="51">
          <cell r="A51" t="str">
            <v>Finalized</v>
          </cell>
          <cell r="B51" t="str">
            <v>PAID</v>
          </cell>
          <cell r="C51">
            <v>46233</v>
          </cell>
          <cell r="D51">
            <v>564104168</v>
          </cell>
          <cell r="K51">
            <v>46276</v>
          </cell>
        </row>
        <row r="52">
          <cell r="A52" t="str">
            <v>Under Review</v>
          </cell>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Under Review</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Under Review</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A37" t="str">
            <v>Under Review</v>
          </cell>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1762</v>
      </c>
    </row>
    <row r="4" spans="1:1" x14ac:dyDescent="0.25">
      <c r="A4" s="2"/>
    </row>
    <row r="5" spans="1:1" x14ac:dyDescent="0.25">
      <c r="A5" s="3" t="s">
        <v>2</v>
      </c>
    </row>
    <row r="6" spans="1:1" ht="30" x14ac:dyDescent="0.25">
      <c r="A6" s="2" t="s">
        <v>3</v>
      </c>
    </row>
    <row r="7" spans="1:1" x14ac:dyDescent="0.25">
      <c r="A7" s="2" t="s">
        <v>1769</v>
      </c>
    </row>
    <row r="8" spans="1:1" x14ac:dyDescent="0.25">
      <c r="A8" s="2" t="s">
        <v>1764</v>
      </c>
    </row>
    <row r="9" spans="1:1" x14ac:dyDescent="0.25">
      <c r="A9" s="2" t="s">
        <v>1765</v>
      </c>
    </row>
    <row r="10" spans="1:1" x14ac:dyDescent="0.25">
      <c r="A10" s="2" t="s">
        <v>1770</v>
      </c>
    </row>
    <row r="11" spans="1:1" x14ac:dyDescent="0.25">
      <c r="A11" s="2" t="s">
        <v>1767</v>
      </c>
    </row>
    <row r="12" spans="1:1" x14ac:dyDescent="0.25">
      <c r="A12" s="2"/>
    </row>
    <row r="13" spans="1:1" ht="45" x14ac:dyDescent="0.25">
      <c r="A13" s="2" t="s">
        <v>9</v>
      </c>
    </row>
    <row r="14" spans="1:1" x14ac:dyDescent="0.25">
      <c r="A14" s="2"/>
    </row>
    <row r="15" spans="1:1" x14ac:dyDescent="0.25">
      <c r="A15" s="3" t="s">
        <v>10</v>
      </c>
    </row>
    <row r="16" spans="1:1" ht="45" x14ac:dyDescent="0.25">
      <c r="A16" s="2" t="s">
        <v>1768</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1761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row>
    <row r="3" spans="1:41"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row>
    <row r="4" spans="1:41"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row>
    <row r="5" spans="1:41"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row>
    <row r="6" spans="1:41"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row>
    <row r="7" spans="1:41"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row>
    <row r="8" spans="1:41"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row>
    <row r="9" spans="1:41"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row>
    <row r="10" spans="1:41"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IF($C10="","",$C10+540-TODAY())</f>
        <v>442</v>
      </c>
      <c r="O10" s="9">
        <v>46250</v>
      </c>
      <c r="P10" s="8" t="s">
        <v>88</v>
      </c>
      <c r="Q10" s="8" t="s">
        <v>150</v>
      </c>
      <c r="R10" s="8" t="s">
        <v>88</v>
      </c>
      <c r="S10" s="8" t="s">
        <v>105</v>
      </c>
      <c r="T10" s="8" t="s">
        <v>1741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row>
    <row r="11" spans="1:41"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row>
    <row r="12" spans="1:41"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row>
    <row r="13" spans="1:41"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row>
    <row r="14" spans="1:41"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row>
    <row r="15" spans="1:41"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row>
    <row r="16" spans="1:41"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row>
    <row r="17" spans="1:41"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row>
    <row r="18" spans="1:41"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row>
    <row r="19" spans="1:41"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row>
    <row r="20" spans="1:41"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row>
    <row r="21" spans="1:41"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row>
    <row r="22" spans="1:41"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row>
    <row r="23" spans="1:41"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row>
    <row r="24" spans="1:41"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row>
    <row r="25" spans="1:41"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row>
    <row r="26" spans="1:41"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row>
    <row r="27" spans="1:41"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row>
    <row r="28" spans="1:41"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row>
    <row r="29" spans="1:41"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row>
    <row r="30" spans="1:41" x14ac:dyDescent="0.25">
      <c r="A30" s="5" t="str">
        <f>IFERROR(IF(INDEX([4]DME!$A$2:$A$34,MATCH($D30,[4]DME!$D$2:$D$34,0))="","",INDEX([4]DME!$A$2:$A$34,MATCH($D30,[4]DME!$D$2:$D$34,0))),"")</f>
        <v>Finalized</v>
      </c>
      <c r="B30" s="5" t="str">
        <f>IFERROR(IF(INDEX([4]DME!$B$2:$B$34,MATCH($D30,[4]DME!$D$2:$D$34,0))="","",INDEX([4]DME!$B$2:$B$34,MATCH($D30,[4]DME!$D$2:$D$34,0))),"")</f>
        <v>Adjusted balance - 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row>
    <row r="31" spans="1:41"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row>
    <row r="32" spans="1:41"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row>
    <row r="33" spans="1:41"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row>
    <row r="34" spans="1:41"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row>
    <row r="35" spans="1:41" x14ac:dyDescent="0.25">
      <c r="A35" s="5" t="str">
        <f>IFERROR(IF(INDEX([6]DME!$A$2:$A$52,MATCH($D35,[6]DME!$D$2:$D$52,0))="","",INDEX([6]DME!$A$2:$A$52,MATCH($D35,[6]DME!$D$2:$D$52,0))),"")</f>
        <v>Finalized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row>
    <row r="36" spans="1:41"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row>
    <row r="37" spans="1:41"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IF($F37="","",$F37+90-TODAY())</f>
        <v>-19</v>
      </c>
      <c r="N37" s="11">
        <f ca="1">IF($C37="","",$C37+365-TODAY())</f>
        <v>285</v>
      </c>
      <c r="O37" s="9">
        <v>46264</v>
      </c>
      <c r="P37" s="8" t="s">
        <v>88</v>
      </c>
      <c r="Q37" s="8" t="s">
        <v>298</v>
      </c>
      <c r="R37" s="8" t="s">
        <v>88</v>
      </c>
      <c r="S37" s="8" t="s">
        <v>105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row>
    <row r="38" spans="1:41"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row>
    <row r="39" spans="1:41"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row>
    <row r="40" spans="1:41"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row>
    <row r="41" spans="1:41"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row>
    <row r="42" spans="1:41"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row>
    <row r="43" spans="1:41"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570988442</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row>
    <row r="44" spans="1:41"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row>
    <row r="45" spans="1:41"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row>
    <row r="46" spans="1:41"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row>
    <row r="47" spans="1:41" x14ac:dyDescent="0.25">
      <c r="A47" s="5" t="str">
        <f>IFERROR(IF(INDEX([6]DME!$A$2:$A$52,MATCH($D47,[6]DME!$D$2:$D$52,0))="","",INDEX([6]DME!$A$2:$A$52,MATCH($D47,[6]DME!$D$2:$D$52,0))),"")</f>
        <v>Under Review</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row>
    <row r="48" spans="1:41"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row>
    <row r="49" spans="1:41"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570979198</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row>
    <row r="50" spans="1:41" x14ac:dyDescent="0.25">
      <c r="A50" s="5" t="str">
        <f>IFERROR(IF(INDEX([6]ORTHO!$A$2:$A$39,MATCH($D50,[6]ORTHO!$D$2:$D$39,0))="","",INDEX([6]ORTHO!$A$2:$A$39,MATCH($D50,[6]ORTHO!$D$2:$D$39,0))),"")</f>
        <v>Under Review</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IF($F50="","",$F50+90-TODAY())</f>
        <v>-12</v>
      </c>
      <c r="N50" s="11">
        <f ca="1">IF($C50="","",$C50+365-TODAY())</f>
        <v>279</v>
      </c>
      <c r="O50" s="9">
        <v>46271</v>
      </c>
      <c r="P50" s="8" t="s">
        <v>88</v>
      </c>
      <c r="Q50" s="8" t="s">
        <v>298</v>
      </c>
      <c r="R50" s="8" t="s">
        <v>88</v>
      </c>
      <c r="S50" s="8" t="s">
        <v>105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row>
    <row r="51" spans="1:41"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IF($C51="","",$C51+540-TODAY())</f>
        <v>493</v>
      </c>
      <c r="O51" s="9">
        <v>46271</v>
      </c>
      <c r="P51" s="8" t="s">
        <v>88</v>
      </c>
      <c r="Q51" s="8" t="s">
        <v>150</v>
      </c>
      <c r="R51" s="8" t="s">
        <v>88</v>
      </c>
      <c r="S51" s="8" t="s">
        <v>105</v>
      </c>
      <c r="T51" s="8" t="s">
        <v>1741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row>
    <row r="52" spans="1:41"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row>
    <row r="53" spans="1:41"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570979060</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row>
    <row r="54" spans="1:41"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569910853</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row>
    <row r="55" spans="1:41"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570976486</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row>
    <row r="56" spans="1:41"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row>
    <row r="57" spans="1:41"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row>
    <row r="58" spans="1:41"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row>
    <row r="59" spans="1:41"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571031540</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row>
    <row r="60" spans="1:41"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IF($F60="","",$F60+90-TODAY())</f>
        <v>-10</v>
      </c>
      <c r="N60" s="11">
        <f ca="1">IF($C60="","",$C60+365-TODAY())</f>
        <v>286</v>
      </c>
      <c r="O60" s="9">
        <v>46273</v>
      </c>
      <c r="P60" s="8" t="s">
        <v>88</v>
      </c>
      <c r="Q60" s="8" t="s">
        <v>298</v>
      </c>
      <c r="R60" s="8" t="s">
        <v>88</v>
      </c>
      <c r="S60" s="8" t="s">
        <v>105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row>
    <row r="61" spans="1:41" x14ac:dyDescent="0.25">
      <c r="A61" s="5" t="str">
        <f>IFERROR(IF(INDEX([6]ORTHO!$A$2:$A$39,MATCH($D61,[6]ORTHO!$D$2:$D$39,0))="","",INDEX([6]ORTHO!$A$2:$A$39,MATCH($D61,[6]ORTHO!$D$2:$D$39,0))),"")</f>
        <v>Under Review</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IF($F61="","",$F61+90-TODAY())</f>
        <v>-9</v>
      </c>
      <c r="N61" s="11">
        <f ca="1">IF($C61="","",$C61+365-TODAY())</f>
        <v>279</v>
      </c>
      <c r="O61" s="9">
        <v>46274</v>
      </c>
      <c r="P61" s="8" t="s">
        <v>88</v>
      </c>
      <c r="Q61" s="8" t="s">
        <v>298</v>
      </c>
      <c r="R61" s="8" t="s">
        <v>88</v>
      </c>
      <c r="S61" s="8" t="s">
        <v>105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row>
    <row r="62" spans="1:41" x14ac:dyDescent="0.25">
      <c r="A62" s="5" t="str">
        <f>IFERROR(IF(INDEX([6]ORTHO!$A$2:$A$39,MATCH($D62,[6]ORTHO!$D$2:$D$39,0))="","",INDEX([6]ORTHO!$A$2:$A$39,MATCH($D62,[6]ORTHO!$D$2:$D$39,0))),"")</f>
        <v>Finalized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570992620</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IF($F62="","",$F62+90-TODAY())</f>
        <v>-9</v>
      </c>
      <c r="N62" s="11">
        <f ca="1">IF($C62="","",$C62+365-TODAY())</f>
        <v>278</v>
      </c>
      <c r="O62" s="9">
        <v>46274</v>
      </c>
      <c r="P62" s="8" t="s">
        <v>88</v>
      </c>
      <c r="Q62" s="8" t="s">
        <v>298</v>
      </c>
      <c r="R62" s="8" t="s">
        <v>88</v>
      </c>
      <c r="S62" s="8" t="s">
        <v>105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row>
    <row r="63" spans="1:41"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570992408</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row>
    <row r="64" spans="1:41" x14ac:dyDescent="0.25">
      <c r="A64" s="5" t="str">
        <f>IFERROR(IF(INDEX([6]DME!$A$2:$A$52,MATCH($D64,[6]DME!$D$2:$D$52,0))="","",INDEX([6]DME!$A$2:$A$52,MATCH($D64,[6]DME!$D$2:$D$52,0))),"")</f>
        <v>Under Review</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IF($F64="","",$F64+90-TODAY())</f>
        <v>-8</v>
      </c>
      <c r="N64" s="11">
        <f ca="1">IF($C64="","",$C64+365-TODAY())</f>
        <v>286</v>
      </c>
      <c r="O64" s="9">
        <v>46275</v>
      </c>
      <c r="P64" s="8" t="s">
        <v>88</v>
      </c>
      <c r="Q64" s="8" t="s">
        <v>298</v>
      </c>
      <c r="R64" s="8" t="s">
        <v>88</v>
      </c>
      <c r="S64" s="8" t="s">
        <v>105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row>
    <row r="65" spans="1:41" x14ac:dyDescent="0.25">
      <c r="A65" s="5" t="str">
        <f>IFERROR(IF(INDEX([5]ORTHO!$A$2:$A$24,MATCH($D65,[5]ORTHO!$D$2:$D$24,0))="","",INDEX([5]ORTHO!$A$2:$A$24,MATCH($D65,[5]ORTHO!$D$2:$D$24,0))),"")</f>
        <v>Pending</v>
      </c>
      <c r="B65" s="5" t="str">
        <f>IFERROR(IF(INDEX([5]ORTHO!$B$2:$B$24,MATCH($D65,[5]ORTHO!$D$2:$D$24,0))="","",INDEX([5]ORTHO!$B$2:$B$24,MATCH($D65,[5]ORTHO!$D$2:$D$24,0))),"")</f>
        <v xml:space="preserve">Claim not found - Resubmitted - Asked April to print </v>
      </c>
      <c r="C65" s="6">
        <f>IFERROR(IF(INDEX([5]ORTHO!$C$2:$C$24,MATCH($D65,[5]ORTHO!$D$2:$D$24,0))="","",INDEX([5]ORTHO!$C$2:$C$24,MATCH($D65,[5]ORTHO!$D$2:$D$24,0))),"")</f>
        <v>46184</v>
      </c>
      <c r="D65" s="7">
        <v>568765283</v>
      </c>
      <c r="E65" s="8" t="s">
        <v>438</v>
      </c>
      <c r="F65" s="9">
        <v>46156</v>
      </c>
      <c r="G65" s="8" t="s">
        <v>268</v>
      </c>
      <c r="H65" s="8" t="s">
        <v>268</v>
      </c>
      <c r="I65" s="8" t="s">
        <v>70</v>
      </c>
      <c r="J65" s="8" t="s">
        <v>439</v>
      </c>
      <c r="K65" s="6">
        <f>IFERROR(IF(INDEX([5]ORTHO!$K$2:$K$24,MATCH($D65,[5]ORTHO!$D$2:$D$24,0))="","",INDEX([5]ORTHO!$K$2:$K$24,MATCH($D65,[5]ORTHO!$D$2:$D$24,0))),"")</f>
        <v>46250</v>
      </c>
      <c r="L65" s="11">
        <f ca="1">IF($O65="","",$O65-TODAY())</f>
        <v>-7</v>
      </c>
      <c r="M65" s="11">
        <f ca="1">IF($C65="","",$C65+365-TODAY())</f>
        <v>266</v>
      </c>
      <c r="N65" s="11">
        <f ca="1">IF($C65="","",$C65+90-TODAY())</f>
        <v>-9</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row>
    <row r="66" spans="1:41"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row>
    <row r="67" spans="1:41"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row>
    <row r="68" spans="1:41" x14ac:dyDescent="0.25">
      <c r="A68" s="5" t="str">
        <f>IFERROR(IF(INDEX([6]BH!$A$2:$A$82,MATCH($D68,[6]BH!$D$2:$D$82,0))="","",INDEX([6]BH!$A$2:$A$82,MATCH($D68,[6]BH!$D$2:$D$82,0))),"")</f>
        <v>Under Review</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row>
    <row r="69" spans="1:41"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row>
    <row r="70" spans="1:41" x14ac:dyDescent="0.25">
      <c r="A70" s="5" t="str">
        <f>IFERROR(IF(INDEX([6]DME!$A$2:$A$52,MATCH($D70,[6]DME!$D$2:$D$52,0))="","",INDEX([6]DME!$A$2:$A$52,MATCH($D70,[6]DME!$D$2:$D$52,0))),"")</f>
        <v>Under Review</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row>
    <row r="71" spans="1:41" x14ac:dyDescent="0.25">
      <c r="A71" s="5" t="str">
        <f>IFERROR(IF(INDEX([6]US!$A$2:$A$22,MATCH($D71,[6]US!$D$2:$D$22,0))="","",INDEX([6]US!$A$2:$A$22,MATCH($D71,[6]US!$D$2:$D$22,0))),"")</f>
        <v>Finalized</v>
      </c>
      <c r="B71" s="5" t="str">
        <f>IFERROR(IF(INDEX([6]US!$B$2:$B$22,MATCH($D71,[6]US!$D$2:$D$22,0))="","",INDEX([6]US!$B$2:$B$22,MATCH($D71,[6]US!$D$2:$D$22,0))),"")</f>
        <v>PAID - Removed Dx I872, and resubmitted</v>
      </c>
      <c r="C71" s="6">
        <f>IFERROR(IF(INDEX([6]US!$C$2:$C$22,MATCH($D71,[6]US!$D$2:$D$22,0))="","",INDEX([6]US!$C$2:$C$22,MATCH($D71,[6]US!$D$2:$D$22,0))),"")</f>
        <v>46202</v>
      </c>
      <c r="D71" s="7">
        <v>570990107</v>
      </c>
      <c r="E71" s="8" t="s">
        <v>473</v>
      </c>
      <c r="F71" s="9">
        <v>46190</v>
      </c>
      <c r="G71" s="8" t="s">
        <v>102</v>
      </c>
      <c r="H71" s="8" t="s">
        <v>102</v>
      </c>
      <c r="I71" s="8" t="s">
        <v>70</v>
      </c>
      <c r="J71" s="8" t="s">
        <v>71</v>
      </c>
      <c r="K71" s="6">
        <f>IFERROR(IF(INDEX([6]US!$K$2:$K$22,MATCH($D71,[6]US!$D$2:$D$22,0))="","",INDEX([6]US!$K$2:$K$22,MATCH($D71,[6]US!$D$2:$D$22,0))),"")</f>
        <v>46282</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row>
    <row r="72" spans="1:41"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row>
    <row r="73" spans="1:41"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row>
    <row r="74" spans="1:41"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row>
    <row r="75" spans="1:41" x14ac:dyDescent="0.25">
      <c r="A75" s="5" t="str">
        <f>IFERROR(IF(INDEX([6]DME!$A$2:$A$52,MATCH($D75,[6]DME!$D$2:$D$52,0))="","",INDEX([6]DME!$A$2:$A$52,MATCH($D75,[6]DME!$D$2:$D$52,0))),"")</f>
        <v>Finalized</v>
      </c>
      <c r="B75" s="5" t="str">
        <f>IFERROR(IF(INDEX([6]DME!$B$2:$B$52,MATCH($D75,[6]DME!$D$2:$D$52,0))="","",INDEX([6]DME!$B$2:$B$52,MATCH($D75,[6]DME!$D$2:$D$52,0))),"")</f>
        <v>Insurance paid - Edited insured's info, and resubmitted - DND Remark: Patient/Insured health identification number and name do not match</v>
      </c>
      <c r="C75" s="6">
        <f>IFERROR(IF(INDEX([6]DME!$C$2:$C$52,MATCH($D75,[6]DME!$D$2:$D$52,0))="","",INDEX([6]DME!$C$2:$C$52,MATCH($D75,[6]DME!$D$2:$D$52,0))),"")</f>
        <v>46203</v>
      </c>
      <c r="D75" s="7">
        <v>571030818</v>
      </c>
      <c r="E75" s="8" t="s">
        <v>428</v>
      </c>
      <c r="F75" s="9">
        <v>46191</v>
      </c>
      <c r="G75" s="8" t="s">
        <v>296</v>
      </c>
      <c r="H75" s="8" t="s">
        <v>296</v>
      </c>
      <c r="I75" s="8" t="s">
        <v>296</v>
      </c>
      <c r="J75" s="8" t="s">
        <v>189</v>
      </c>
      <c r="K75" s="6">
        <f>IFERROR(IF(INDEX([6]DME!$K$2:$K$52,MATCH($D75,[6]DME!$D$2:$D$52,0))="","",INDEX([6]DME!$K$2:$K$52,MATCH($D75,[6]DME!$D$2:$D$52,0))),"")</f>
        <v>46282</v>
      </c>
      <c r="L75" s="11">
        <f ca="1">IF($O75="","",$O75-TODAY())</f>
        <v>-2</v>
      </c>
      <c r="M75" s="11">
        <f ca="1">IF($F75="","",$F75+90-TODAY())</f>
        <v>-2</v>
      </c>
      <c r="N75" s="11">
        <f ca="1">IF($C75="","",$C75+365-TODAY())</f>
        <v>285</v>
      </c>
      <c r="O75" s="9">
        <v>46281</v>
      </c>
      <c r="P75" s="8" t="s">
        <v>88</v>
      </c>
      <c r="Q75" s="8" t="s">
        <v>298</v>
      </c>
      <c r="R75" s="8" t="s">
        <v>88</v>
      </c>
      <c r="S75" s="8" t="s">
        <v>105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row>
    <row r="76" spans="1:41"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row>
    <row r="77" spans="1:41"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571013418</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row>
    <row r="78" spans="1:41" x14ac:dyDescent="0.25">
      <c r="A78" s="5" t="str">
        <f>IFERROR(IF(INDEX([6]BH!$A$2:$A$82,MATCH($D78,[6]BH!$D$2:$D$82,0))="","",INDEX([6]BH!$A$2:$A$82,MATCH($D78,[6]BH!$D$2:$D$82,0))),"")</f>
        <v>Finalized</v>
      </c>
      <c r="B78" s="5" t="str">
        <f>IFERROR(IF(INDEX([6]BH!$B$2:$B$82,MATCH($D78,[6]BH!$D$2:$D$82,0))="","",INDEX([6]BH!$B$2:$B$82,MATCH($D78,[6]BH!$D$2:$D$82,0))),"")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IF($F78="","",$F78+90-TODAY())</f>
        <v>2</v>
      </c>
      <c r="N78" s="11">
        <f ca="1">IF($C78="","",$C78+365-TODAY())</f>
        <v>320</v>
      </c>
      <c r="O78" s="9">
        <v>46285</v>
      </c>
      <c r="P78" s="8" t="s">
        <v>88</v>
      </c>
      <c r="Q78" s="8" t="s">
        <v>298</v>
      </c>
      <c r="R78" s="8" t="s">
        <v>88</v>
      </c>
      <c r="S78" s="8" t="s">
        <v>105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row>
    <row r="79" spans="1:41" x14ac:dyDescent="0.25">
      <c r="A79" s="5" t="str">
        <f>IFERROR(IF(INDEX([6]DME!$A$2:$A$52,MATCH($D79,[6]DME!$D$2:$D$52,0))="","",INDEX([6]DME!$A$2:$A$52,MATCH($D79,[6]DME!$D$2:$D$52,0))),"")</f>
        <v>Finalized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row>
    <row r="80" spans="1:41" x14ac:dyDescent="0.25">
      <c r="A80" s="5" t="str">
        <f>IFERROR(IF(INDEX([6]DME!$A$2:$A$52,MATCH($D80,[6]DME!$D$2:$D$52,0))="","",INDEX([6]DME!$A$2:$A$52,MATCH($D80,[6]DME!$D$2:$D$52,0))),"")</f>
        <v>Finalized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row>
    <row r="81" spans="1:41" x14ac:dyDescent="0.25">
      <c r="A81" s="5" t="str">
        <f>IFERROR(IF(INDEX([6]DME!$A$2:$A$52,MATCH($D81,[6]DME!$D$2:$D$52,0))="","",INDEX([6]DME!$A$2:$A$52,MATCH($D81,[6]DME!$D$2:$D$52,0))),"")</f>
        <v>Under Review</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row>
    <row r="82" spans="1:41" x14ac:dyDescent="0.25">
      <c r="A82" s="5" t="str">
        <f>IFERROR(IF(INDEX([6]DME!$A$2:$A$52,MATCH($D82,[6]DME!$D$2:$D$52,0))="","",INDEX([6]DME!$A$2:$A$52,MATCH($D82,[6]DME!$D$2:$D$52,0))),"")</f>
        <v>Finalized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IF($F82="","",$F82+90-TODAY())</f>
        <v>2</v>
      </c>
      <c r="N82" s="11">
        <f ca="1">IF($C82="","",$C82+365-TODAY())</f>
        <v>292</v>
      </c>
      <c r="O82" s="9">
        <v>46285</v>
      </c>
      <c r="P82" s="8" t="s">
        <v>88</v>
      </c>
      <c r="Q82" s="8" t="s">
        <v>298</v>
      </c>
      <c r="R82" s="8" t="s">
        <v>88</v>
      </c>
      <c r="S82" s="8" t="s">
        <v>105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row>
    <row r="83" spans="1:41"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row>
    <row r="84" spans="1:41"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IF($C84="","",$C84+540-TODAY())</f>
        <v>497</v>
      </c>
      <c r="O84" s="9">
        <v>46285</v>
      </c>
      <c r="P84" s="8" t="s">
        <v>88</v>
      </c>
      <c r="Q84" s="8" t="s">
        <v>150</v>
      </c>
      <c r="R84" s="8" t="s">
        <v>88</v>
      </c>
      <c r="S84" s="8" t="s">
        <v>105</v>
      </c>
      <c r="T84" s="8" t="s">
        <v>1741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row>
    <row r="85" spans="1:41"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row>
    <row r="86" spans="1:41"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row>
    <row r="87" spans="1:41" x14ac:dyDescent="0.25">
      <c r="A87" s="5" t="str">
        <f>IFERROR(IF(INDEX([6]DME!$A$2:$A$52,MATCH($D87,[6]DME!$D$2:$D$52,0))="","",INDEX([6]DME!$A$2:$A$52,MATCH($D87,[6]DME!$D$2:$D$52,0))),"")</f>
        <v>Under Review</v>
      </c>
      <c r="B87" s="5" t="str">
        <f>IFERROR(IF(INDEX([6]DME!$B$2:$B$52,MATCH($D87,[6]DME!$D$2:$D$52,0))="","",INDEX([6]DME!$B$2:$B$52,MATCH($D87,[6]DME!$D$2:$D$52,0))),"")</f>
        <v>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row>
    <row r="88" spans="1:41"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row>
    <row r="89" spans="1:41"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row>
    <row r="90" spans="1:41"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572208778</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row>
    <row r="91" spans="1:41"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row>
    <row r="92" spans="1:41"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row>
    <row r="93" spans="1:41" x14ac:dyDescent="0.25">
      <c r="A93" s="5" t="str">
        <f>IFERROR(IF(INDEX([6]DME!$A$2:$A$52,MATCH($D93,[6]DME!$D$2:$D$52,0))="","",INDEX([6]DME!$A$2:$A$52,MATCH($D93,[6]DME!$D$2:$D$52,0))),"")</f>
        <v>Finalized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IF($F93="","",$F93+90-TODAY())</f>
        <v>5</v>
      </c>
      <c r="N93" s="11">
        <f ca="1">IF($C93="","",$C93+365-TODAY())</f>
        <v>325</v>
      </c>
      <c r="O93" s="9">
        <v>46288</v>
      </c>
      <c r="P93" s="8" t="s">
        <v>88</v>
      </c>
      <c r="Q93" s="8" t="s">
        <v>298</v>
      </c>
      <c r="R93" s="8" t="s">
        <v>88</v>
      </c>
      <c r="S93" s="8" t="s">
        <v>105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row>
    <row r="94" spans="1:41" x14ac:dyDescent="0.25">
      <c r="A94" s="5" t="str">
        <f>IFERROR(IF(INDEX([5]BH!$A$2:$A$33,MATCH($D94,[5]BH!$D$2:$D$33,0))="","",INDEX([5]BH!$A$2:$A$33,MATCH($D94,[5]BH!$D$2:$D$33,0))),"")</f>
        <v>Under Review</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row>
    <row r="95" spans="1:41"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row>
    <row r="96" spans="1:41"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row>
    <row r="97" spans="1:41" x14ac:dyDescent="0.25">
      <c r="A97" s="5" t="str">
        <f>IFERROR(IF(INDEX([6]DME!$A$2:$A$52,MATCH($D97,[6]DME!$D$2:$D$52,0))="","",INDEX([6]DME!$A$2:$A$52,MATCH($D97,[6]DME!$D$2:$D$52,0))),"")</f>
        <v>Finalized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row>
    <row r="98" spans="1:41"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572251031</v>
      </c>
      <c r="E98" s="8" t="s">
        <v>588</v>
      </c>
      <c r="F98" s="9">
        <v>46202</v>
      </c>
      <c r="G98" s="8" t="s">
        <v>296</v>
      </c>
      <c r="H98" s="8" t="s">
        <v>296</v>
      </c>
      <c r="I98" s="8" t="s">
        <v>70</v>
      </c>
      <c r="J98" s="8" t="s">
        <v>479</v>
      </c>
      <c r="K98" s="6">
        <f>IFERROR(IF(INDEX([6]DME!$K$2:$K$52,MATCH($D98,[6]DME!$D$2:$D$52,0))="","",INDEX([6]DME!$K$2:$K$52,MATCH($D98,[6]DME!$D$2:$D$52,0))),"")</f>
        <v>46283</v>
      </c>
      <c r="L98" s="11">
        <f ca="1">IF($O98="","",$O98-TODAY())</f>
        <v>9</v>
      </c>
      <c r="M98" s="11">
        <f ca="1">IF($F98="","",$F98+90-TODAY())</f>
        <v>9</v>
      </c>
      <c r="N98" s="11">
        <f ca="1">IF($C98="","",$C98+365-TODAY())</f>
        <v>292</v>
      </c>
      <c r="O98" s="9">
        <v>46292</v>
      </c>
      <c r="P98" s="8" t="s">
        <v>88</v>
      </c>
      <c r="Q98" s="8" t="s">
        <v>298</v>
      </c>
      <c r="R98" s="8" t="s">
        <v>88</v>
      </c>
      <c r="S98" s="8" t="s">
        <v>105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row>
    <row r="99" spans="1:41"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IF($C99="","",$C99+540-TODAY())</f>
        <v>519</v>
      </c>
      <c r="O99" s="9">
        <v>46292</v>
      </c>
      <c r="P99" s="8" t="s">
        <v>88</v>
      </c>
      <c r="Q99" s="8" t="s">
        <v>150</v>
      </c>
      <c r="R99" s="8" t="s">
        <v>88</v>
      </c>
      <c r="S99" s="8" t="s">
        <v>105</v>
      </c>
      <c r="T99" s="8" t="s">
        <v>1741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row>
    <row r="100" spans="1:41"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572251311</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row>
    <row r="101" spans="1:41"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row>
    <row r="102" spans="1:41"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row>
    <row r="103" spans="1:41"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row>
    <row r="104" spans="1:41"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row>
    <row r="105" spans="1:41"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row>
    <row r="106" spans="1:41"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row>
    <row r="107" spans="1:41"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row>
    <row r="108" spans="1:41"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row>
    <row r="109" spans="1:41"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row>
    <row r="110" spans="1:41"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row>
    <row r="111" spans="1:41"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row>
    <row r="112" spans="1:41"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row>
    <row r="113" spans="1:41"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row>
    <row r="114" spans="1:41"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row>
    <row r="115" spans="1:41"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row>
    <row r="116" spans="1:41"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row>
    <row r="117" spans="1:41"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row>
    <row r="118" spans="1:41"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row>
    <row r="119" spans="1:41"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row>
    <row r="120" spans="1:41"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row>
    <row r="121" spans="1:41" x14ac:dyDescent="0.25">
      <c r="A121" s="5" t="str">
        <f>IFERROR(IF(INDEX([5]DME!$A$2:$A$35,MATCH($D121,[5]DME!$D$2:$D$35,0))="","",INDEX([5]DME!$A$2:$A$35,MATCH($D121,[5]DME!$D$2:$D$35,0))),"")</f>
        <v>Under Review</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row>
    <row r="122" spans="1:41"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row>
    <row r="123" spans="1:41"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row>
    <row r="124" spans="1:41"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row>
    <row r="125" spans="1:41"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row>
    <row r="126" spans="1:41"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row>
    <row r="127" spans="1:41"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row>
    <row r="128" spans="1:41"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row>
    <row r="129" spans="1:41"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row>
    <row r="130" spans="1:41"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row>
    <row r="131" spans="1:41"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row>
    <row r="132" spans="1:41"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row>
    <row r="133" spans="1:41"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row>
    <row r="134" spans="1:41"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row>
    <row r="135" spans="1:41"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row>
    <row r="136" spans="1:41"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row>
    <row r="137" spans="1:41"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row>
    <row r="138" spans="1:41"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row>
    <row r="139" spans="1:41"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row>
    <row r="140" spans="1:41"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row>
    <row r="141" spans="1:41"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row>
    <row r="142" spans="1:41"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row>
    <row r="143" spans="1:41"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row>
    <row r="144" spans="1:41"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row>
    <row r="145" spans="1:41"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row>
    <row r="146" spans="1:41"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row>
    <row r="147" spans="1:41"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row>
    <row r="148" spans="1:41"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row>
    <row r="149" spans="1:41"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row>
    <row r="150" spans="1:41"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row>
    <row r="151" spans="1:41"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row>
    <row r="152" spans="1:41"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row>
    <row r="153" spans="1:41"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row>
    <row r="154" spans="1:41"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row>
    <row r="155" spans="1:41"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row>
    <row r="156" spans="1:41"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row>
    <row r="157" spans="1:41"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row>
    <row r="158" spans="1:41"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row>
    <row r="159" spans="1:41"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row>
    <row r="160" spans="1:41"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row>
    <row r="161" spans="1:41"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row>
    <row r="162" spans="1:41"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row>
    <row r="163" spans="1:41" x14ac:dyDescent="0.25">
      <c r="A163" s="5" t="str">
        <f>IFERROR(IF(INDEX([2]US!$A$2:$A$15,MATCH($D163,[2]US!$D$2:$D$15,0))="","",INDEX([2]US!$A$2:$A$15,MATCH($D163,[2]US!$D$2:$D$15,0))),"")</f>
        <v>Denied</v>
      </c>
      <c r="B163" s="5" t="str">
        <f>IFERROR(IF(INDEX([2]US!$B$2:$B$15,MATCH($D163,[2]US!$D$2:$D$15,0))="","",INDEX([2]US!$B$2:$B$15,MATCH($D163,[2]US!$D$2:$D$15,0))),"")</f>
        <v>Corrected ordering/referring provider, and resubmitted</v>
      </c>
      <c r="C163" s="6">
        <f>IFERROR(IF(INDEX([2]US!$C$2:$C$15,MATCH($D163,[2]US!$D$2:$D$15,0))="","",INDEX([2]US!$C$2:$C$15,MATCH($D163,[2]US!$D$2:$D$15,0))),"")</f>
        <v>46113</v>
      </c>
      <c r="D163" s="7">
        <v>571606148</v>
      </c>
      <c r="E163" s="8" t="s">
        <v>834</v>
      </c>
      <c r="F163" s="9">
        <v>46091</v>
      </c>
      <c r="G163" s="8" t="s">
        <v>640</v>
      </c>
      <c r="H163" s="8" t="s">
        <v>640</v>
      </c>
      <c r="I163" s="8" t="s">
        <v>755</v>
      </c>
      <c r="J163" s="8" t="s">
        <v>222</v>
      </c>
      <c r="K163" s="6">
        <f>IFERROR(IF(INDEX([2]US!$K$2:$K$15,MATCH($D163,[2]US!$D$2:$D$15,0))="","",INDEX([2]US!$K$2:$K$15,MATCH($D163,[2]US!$D$2:$D$15,0))),"")</f>
        <v>46278</v>
      </c>
      <c r="L163" s="11">
        <f ca="1">IF($O163="","",$O163-TODAY())</f>
        <v>173</v>
      </c>
      <c r="M163" s="11">
        <f ca="1">IF($C163="","",$C163+365-TODAY())</f>
        <v>195</v>
      </c>
      <c r="N163" s="11">
        <f ca="1">IF($C163="","",$C163+120-TODAY())</f>
        <v>-50</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row>
    <row r="164" spans="1:41"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row>
    <row r="165" spans="1:41"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row>
    <row r="166" spans="1:41"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row>
    <row r="167" spans="1:41"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row>
    <row r="168" spans="1:41"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row>
    <row r="169" spans="1:41"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row>
    <row r="170" spans="1:41"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row>
    <row r="171" spans="1:41"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row>
    <row r="172" spans="1:41"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row>
    <row r="173" spans="1:41"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row>
    <row r="174" spans="1:41"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row>
    <row r="175" spans="1:41"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row>
    <row r="176" spans="1:41"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row>
    <row r="177" spans="1:41" x14ac:dyDescent="0.25">
      <c r="A177" s="5" t="str">
        <f>IFERROR(IF(INDEX([2]BH!$A$2:$A$32,MATCH($D177,[2]BH!$D$2:$D$32,0))="","",INDEX([2]BH!$A$2:$A$32,MATCH($D177,[2]BH!$D$2:$D$32,0))),"")</f>
        <v>Under Review</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row>
    <row r="178" spans="1:41"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row>
    <row r="179" spans="1:41"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row>
    <row r="180" spans="1:41"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row>
    <row r="181" spans="1:41" x14ac:dyDescent="0.25">
      <c r="A181" s="5" t="str">
        <f>IFERROR(IF(INDEX([2]US!$A$2:$A$15,MATCH($D181,[2]US!$D$2:$D$15,0))="","",INDEX([2]US!$A$2:$A$15,MATCH($D181,[2]US!$D$2:$D$15,0))),"")</f>
        <v>Denied</v>
      </c>
      <c r="B181" s="5" t="str">
        <f>IFERROR(IF(INDEX([2]US!$B$2:$B$15,MATCH($D181,[2]US!$D$2:$D$15,0))="","",INDEX([2]US!$B$2:$B$15,MATCH($D181,[2]US!$D$2:$D$15,0))),"")</f>
        <v>Corrected ordering/referring provider, and resubmitted</v>
      </c>
      <c r="C181" s="6">
        <f>IFERROR(IF(INDEX([2]US!$C$2:$C$15,MATCH($D181,[2]US!$D$2:$D$15,0))="","",INDEX([2]US!$C$2:$C$15,MATCH($D181,[2]US!$D$2:$D$15,0))),"")</f>
        <v>46126</v>
      </c>
      <c r="D181" s="7">
        <v>571606263</v>
      </c>
      <c r="E181" s="8" t="s">
        <v>915</v>
      </c>
      <c r="F181" s="9">
        <v>46112</v>
      </c>
      <c r="G181" s="8" t="s">
        <v>640</v>
      </c>
      <c r="H181" s="8" t="s">
        <v>640</v>
      </c>
      <c r="I181" s="8" t="s">
        <v>86</v>
      </c>
      <c r="J181" s="8" t="s">
        <v>242</v>
      </c>
      <c r="K181" s="6">
        <f>IFERROR(IF(INDEX([2]US!$K$2:$K$15,MATCH($D181,[2]US!$D$2:$D$15,0))="","",INDEX([2]US!$K$2:$K$15,MATCH($D181,[2]US!$D$2:$D$15,0))),"")</f>
        <v>46278</v>
      </c>
      <c r="L181" s="11">
        <f ca="1">IF($O181="","",$O181-TODAY())</f>
        <v>194</v>
      </c>
      <c r="M181" s="11">
        <f ca="1">IF($C181="","",$C181+365-TODAY())</f>
        <v>208</v>
      </c>
      <c r="N181" s="11">
        <f ca="1">IF($C181="","",$C181+120-TODAY())</f>
        <v>-37</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row>
    <row r="182" spans="1:41"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row>
    <row r="183" spans="1:41" x14ac:dyDescent="0.25">
      <c r="A183" s="5" t="str">
        <f>IFERROR(IF(INDEX([4]DME!$A$2:$A$34,MATCH($D183,[4]DME!$D$2:$D$34,0))="","",INDEX([4]DME!$A$2:$A$34,MATCH($D183,[4]DME!$D$2:$D$34,0))),"")</f>
        <v>Denied</v>
      </c>
      <c r="B183" s="5" t="str">
        <f>IFERROR(IF(INDEX([4]DME!$B$2:$B$34,MATCH($D183,[4]DME!$D$2:$D$34,0))="","",INDEX([4]DME!$B$2:$B$34,MATCH($D183,[4]DME!$D$2:$D$34,0))),"")</f>
        <v>Filed appeal with MR on portal - Confirmation Number: 148586224 - L1851 requires auth, and we didn't get one</v>
      </c>
      <c r="C183" s="6">
        <f>IFERROR(IF(INDEX([4]DME!$C$2:$C$34,MATCH($D183,[4]DME!$D$2:$D$34,0))="","",INDEX([4]DME!$C$2:$C$34,MATCH($D183,[4]DME!$D$2:$D$34,0))),"")</f>
        <v>46127</v>
      </c>
      <c r="D183" s="7">
        <v>555436823</v>
      </c>
      <c r="E183" s="8" t="s">
        <v>921</v>
      </c>
      <c r="F183" s="9">
        <v>46114</v>
      </c>
      <c r="G183" s="8" t="s">
        <v>741</v>
      </c>
      <c r="H183" s="8" t="s">
        <v>741</v>
      </c>
      <c r="I183" s="8" t="s">
        <v>296</v>
      </c>
      <c r="J183" s="8" t="s">
        <v>922</v>
      </c>
      <c r="K183" s="6">
        <f>IFERROR(IF(INDEX([4]DME!$K$2:$K$34,MATCH($D183,[4]DME!$D$2:$D$34,0))="","",INDEX([4]DME!$K$2:$K$34,MATCH($D183,[4]DME!$D$2:$D$34,0))),"")</f>
        <v>46283</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row>
    <row r="184" spans="1:41"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row>
    <row r="185" spans="1:41"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row>
    <row r="186" spans="1:41"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row>
    <row r="187" spans="1:41" x14ac:dyDescent="0.25">
      <c r="A187" s="5" t="str">
        <f>IFERROR(IF(INDEX([4]DME!$A$2:$A$34,MATCH($D187,[4]DME!$D$2:$D$34,0))="","",INDEX([4]DME!$A$2:$A$34,MATCH($D187,[4]DME!$D$2:$D$34,0))),"")</f>
        <v>Denied</v>
      </c>
      <c r="B187" s="5" t="str">
        <f>IFERROR(IF(INDEX([4]DME!$B$2:$B$34,MATCH($D187,[4]DME!$D$2:$D$34,0))="","",INDEX([4]DME!$B$2:$B$34,MATCH($D187,[4]DME!$D$2:$D$34,0))),"")</f>
        <v>Adjusted balance - Only 1 Incision was performed - 20 units each were order - We dispensed 40 unit each as per POD - DND Coverage/program guidelines were exceeded.</v>
      </c>
      <c r="C187" s="6">
        <f>IFERROR(IF(INDEX([4]DME!$C$2:$C$34,MATCH($D187,[4]DME!$D$2:$D$34,0))="","",INDEX([4]DME!$C$2:$C$34,MATCH($D187,[4]DME!$D$2:$D$34,0))),"")</f>
        <v>46249</v>
      </c>
      <c r="D187" s="7">
        <v>556771003</v>
      </c>
      <c r="E187" s="8" t="s">
        <v>936</v>
      </c>
      <c r="F187" s="9">
        <v>46121</v>
      </c>
      <c r="G187" s="8" t="s">
        <v>741</v>
      </c>
      <c r="H187" s="8" t="s">
        <v>741</v>
      </c>
      <c r="I187" s="8" t="s">
        <v>755</v>
      </c>
      <c r="J187" s="8" t="s">
        <v>937</v>
      </c>
      <c r="K187" s="6">
        <f>IFERROR(IF(INDEX([4]DME!$K$2:$K$34,MATCH($D187,[4]DME!$D$2:$D$34,0))="","",INDEX([4]DME!$K$2:$K$34,MATCH($D187,[4]DME!$D$2:$D$34,0))),"")</f>
        <v>46283</v>
      </c>
      <c r="L187" s="11">
        <f ca="1">IF($O187="","",$O187-TODAY())</f>
        <v>203</v>
      </c>
      <c r="M187" s="11">
        <f ca="1">IF($C187="","",$C187+365-TODAY())</f>
        <v>331</v>
      </c>
      <c r="N187" s="11">
        <f ca="1">IF($C187="","",$C187+120-TODAY())</f>
        <v>86</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row>
    <row r="188" spans="1:41" x14ac:dyDescent="0.25">
      <c r="A188" s="5" t="str">
        <f>IFERROR(IF(INDEX([4]DME!$A$2:$A$34,MATCH($D188,[4]DME!$D$2:$D$34,0))="","",INDEX([4]DME!$A$2:$A$34,MATCH($D188,[4]DME!$D$2:$D$34,0))),"")</f>
        <v>Denied</v>
      </c>
      <c r="B188" s="5" t="str">
        <f>IFERROR(IF(INDEX([4]DME!$B$2:$B$34,MATCH($D188,[4]DME!$D$2:$D$34,0))="","",INDEX([4]DME!$B$2:$B$34,MATCH($D188,[4]DME!$D$2:$D$34,0))),"")</f>
        <v>Shift to PT - ABN signed - Another L0650 was dispensed back on 04/25/2022 - Supplier SONOSPINE ARIZONA LLC - DND L0650 M3 Equipment is the same or similar to equipment already being used</v>
      </c>
      <c r="C188" s="6">
        <f>IFERROR(IF(INDEX([4]DME!$C$2:$C$34,MATCH($D188,[4]DME!$D$2:$D$34,0))="","",INDEX([4]DME!$C$2:$C$34,MATCH($D188,[4]DME!$D$2:$D$34,0))),"")</f>
        <v>46139</v>
      </c>
      <c r="D188" s="7">
        <v>556764690</v>
      </c>
      <c r="E188" s="8" t="s">
        <v>939</v>
      </c>
      <c r="F188" s="9">
        <v>46125</v>
      </c>
      <c r="G188" s="8" t="s">
        <v>741</v>
      </c>
      <c r="H188" s="8" t="s">
        <v>741</v>
      </c>
      <c r="I188" s="8" t="s">
        <v>755</v>
      </c>
      <c r="J188" s="8" t="s">
        <v>514</v>
      </c>
      <c r="K188" s="6">
        <f>IFERROR(IF(INDEX([4]DME!$K$2:$K$34,MATCH($D188,[4]DME!$D$2:$D$34,0))="","",INDEX([4]DME!$K$2:$K$34,MATCH($D188,[4]DME!$D$2:$D$34,0))),"")</f>
        <v>46283</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row>
    <row r="189" spans="1:41" x14ac:dyDescent="0.25">
      <c r="A189" s="5" t="str">
        <f>IFERROR(IF(INDEX([4]DME!$A$2:$A$34,MATCH($D189,[4]DME!$D$2:$D$34,0))="","",INDEX([4]DME!$A$2:$A$34,MATCH($D189,[4]DME!$D$2:$D$34,0))),"")</f>
        <v>Denied</v>
      </c>
      <c r="B189" s="5" t="str">
        <f>IFERROR(IF(INDEX([4]DME!$B$2:$B$34,MATCH($D189,[4]DME!$D$2:$D$34,0))="","",INDEX([4]DME!$B$2:$B$34,MATCH($D189,[4]DME!$D$2:$D$34,0))),"")</f>
        <v>Resubmitted to Region B - PT state on portal: WI - DND N104 This claim/service is not payable under our claims jurisdiction area</v>
      </c>
      <c r="C189" s="6">
        <f>IFERROR(IF(INDEX([4]DME!$C$2:$C$34,MATCH($D189,[4]DME!$D$2:$D$34,0))="","",INDEX([4]DME!$C$2:$C$34,MATCH($D189,[4]DME!$D$2:$D$34,0))),"")</f>
        <v>46247</v>
      </c>
      <c r="D189" s="7">
        <v>556799664</v>
      </c>
      <c r="E189" s="8" t="s">
        <v>941</v>
      </c>
      <c r="F189" s="9">
        <v>46125</v>
      </c>
      <c r="G189" s="8" t="s">
        <v>741</v>
      </c>
      <c r="H189" s="8" t="s">
        <v>741</v>
      </c>
      <c r="I189" s="8" t="s">
        <v>296</v>
      </c>
      <c r="J189" s="8" t="s">
        <v>216</v>
      </c>
      <c r="K189" s="6">
        <f>IFERROR(IF(INDEX([4]DME!$K$2:$K$34,MATCH($D189,[4]DME!$D$2:$D$34,0))="","",INDEX([4]DME!$K$2:$K$34,MATCH($D189,[4]DME!$D$2:$D$34,0))),"")</f>
        <v>46283</v>
      </c>
      <c r="L189" s="11">
        <f ca="1">IF($O189="","",$O189-TODAY())</f>
        <v>207</v>
      </c>
      <c r="M189" s="11">
        <f ca="1">IF($C189="","",$C189+365-TODAY())</f>
        <v>329</v>
      </c>
      <c r="N189" s="11">
        <f ca="1">IF($C189="","",$C189+120-TODAY())</f>
        <v>84</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row>
    <row r="190" spans="1:41" x14ac:dyDescent="0.25">
      <c r="A190" s="5" t="str">
        <f>IFERROR(IF(INDEX([4]DME!$A$2:$A$34,MATCH($D190,[4]DME!$D$2:$D$34,0))="","",INDEX([4]DME!$A$2:$A$34,MATCH($D190,[4]DME!$D$2:$D$34,0))),"")</f>
        <v>Pending</v>
      </c>
      <c r="B190" s="5" t="str">
        <f>IFERROR(IF(INDEX([4]DME!$B$2:$B$34,MATCH($D190,[4]DME!$D$2:$D$34,0))="","",INDEX([4]DME!$B$2:$B$34,MATCH($D190,[4]DME!$D$2:$D$34,0))),"")</f>
        <v>secondary - Primary paid</v>
      </c>
      <c r="C190" s="6">
        <f>IFERROR(IF(INDEX([4]DME!$C$2:$C$34,MATCH($D190,[4]DME!$D$2:$D$34,0))="","",INDEX([4]DME!$C$2:$C$34,MATCH($D190,[4]DME!$D$2:$D$34,0))),"")</f>
        <v>46151</v>
      </c>
      <c r="D190" s="7">
        <v>556803684</v>
      </c>
      <c r="E190" s="8" t="s">
        <v>943</v>
      </c>
      <c r="F190" s="9">
        <v>46125</v>
      </c>
      <c r="G190" s="8" t="s">
        <v>741</v>
      </c>
      <c r="H190" s="8" t="s">
        <v>741</v>
      </c>
      <c r="I190" s="8" t="s">
        <v>944</v>
      </c>
      <c r="J190" s="8" t="s">
        <v>189</v>
      </c>
      <c r="K190" s="6">
        <f>IFERROR(IF(INDEX([4]DME!$K$2:$K$34,MATCH($D190,[4]DME!$D$2:$D$34,0))="","",INDEX([4]DME!$K$2:$K$34,MATCH($D190,[4]DME!$D$2:$D$34,0))),"")</f>
        <v>46261</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row>
    <row r="191" spans="1:41"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row>
    <row r="192" spans="1:41" x14ac:dyDescent="0.25">
      <c r="A192" s="5" t="str">
        <f>IFERROR(IF(INDEX([4]DME!$A$2:$A$34,MATCH($D192,[4]DME!$D$2:$D$34,0))="","",INDEX([4]DME!$A$2:$A$34,MATCH($D192,[4]DME!$D$2:$D$34,0))),"")</f>
        <v>Under Review</v>
      </c>
      <c r="B192" s="5" t="str">
        <f>IFERROR(IF(INDEX([4]DME!$B$2:$B$34,MATCH($D192,[4]DME!$D$2:$D$34,0))="","",INDEX([4]DME!$B$2:$B$34,MATCH($D192,[4]DME!$D$2:$D$34,0))),"")</f>
        <v>Shift to PT if I find same and similar on portal  - ABN signed - Another L0650 was dispensed back on 04/25/2022 - Supplier SONOSPINE ARIZONA LLC - DND L0650 M3 Equipment is the same or similar to equipment already being used</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row>
    <row r="193" spans="1:41"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row>
    <row r="194" spans="1:41"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row>
    <row r="195" spans="1:41" x14ac:dyDescent="0.25">
      <c r="A195" s="5" t="str">
        <f>IFERROR(IF(INDEX([4]DME!$A$2:$A$34,MATCH($D195,[4]DME!$D$2:$D$34,0))="","",INDEX([4]DME!$A$2:$A$34,MATCH($D195,[4]DME!$D$2:$D$34,0))),"")</f>
        <v>Denied</v>
      </c>
      <c r="B195" s="5" t="str">
        <f>IFERROR(IF(INDEX([4]DME!$B$2:$B$34,MATCH($D195,[4]DME!$D$2:$D$34,0))="","",INDEX([4]DME!$B$2:$B$34,MATCH($D195,[4]DME!$D$2:$D$34,0))),"")</f>
        <v>secondary - Edited COB info, and resubmitted - Primary paid</v>
      </c>
      <c r="C195" s="6">
        <f>IFERROR(IF(INDEX([4]DME!$C$2:$C$34,MATCH($D195,[4]DME!$D$2:$D$34,0))="","",INDEX([4]DME!$C$2:$C$34,MATCH($D195,[4]DME!$D$2:$D$34,0))),"")</f>
        <v>46281</v>
      </c>
      <c r="D195" s="7">
        <v>556808178</v>
      </c>
      <c r="E195" s="8" t="s">
        <v>866</v>
      </c>
      <c r="F195" s="9">
        <v>46132</v>
      </c>
      <c r="G195" s="8" t="s">
        <v>741</v>
      </c>
      <c r="H195" s="8" t="s">
        <v>741</v>
      </c>
      <c r="I195" s="8" t="s">
        <v>296</v>
      </c>
      <c r="J195" s="8" t="s">
        <v>479</v>
      </c>
      <c r="K195" s="6">
        <f>IFERROR(IF(INDEX([4]DME!$K$2:$K$34,MATCH($D195,[4]DME!$D$2:$D$34,0))="","",INDEX([4]DME!$K$2:$K$34,MATCH($D195,[4]DME!$D$2:$D$34,0))),"")</f>
        <v>46283</v>
      </c>
      <c r="L195" s="11">
        <f ca="1">IF($O195="","",$O195-TODAY())</f>
        <v>214</v>
      </c>
      <c r="M195" s="11">
        <f ca="1">IF($C195="","",$C195+365-TODAY())</f>
        <v>363</v>
      </c>
      <c r="N195" s="11">
        <f ca="1">IF($C195="","",$C195+120-TODAY())</f>
        <v>118</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row>
    <row r="196" spans="1:41" x14ac:dyDescent="0.25">
      <c r="A196" s="5" t="str">
        <f>IFERROR(IF(INDEX([4]DME!$A$2:$A$34,MATCH($D196,[4]DME!$D$2:$D$34,0))="","",INDEX([4]DME!$A$2:$A$34,MATCH($D196,[4]DME!$D$2:$D$34,0))),"")</f>
        <v>Denied</v>
      </c>
      <c r="B196" s="5" t="str">
        <f>IFERROR(IF(INDEX([4]DME!$B$2:$B$34,MATCH($D196,[4]DME!$D$2:$D$34,0))="","",INDEX([4]DME!$B$2:$B$34,MATCH($D196,[4]DME!$D$2:$D$34,0))),"")</f>
        <v>MBI updated - Resubmitted - DND Missing/incomplete/invalid patient identifier</v>
      </c>
      <c r="C196" s="6">
        <f>IFERROR(IF(INDEX([4]DME!$C$2:$C$34,MATCH($D196,[4]DME!$D$2:$D$34,0))="","",INDEX([4]DME!$C$2:$C$34,MATCH($D196,[4]DME!$D$2:$D$34,0))),"")</f>
        <v>46199</v>
      </c>
      <c r="D196" s="7">
        <v>556834981</v>
      </c>
      <c r="E196" s="8" t="s">
        <v>958</v>
      </c>
      <c r="F196" s="9">
        <v>46132</v>
      </c>
      <c r="G196" s="8" t="s">
        <v>741</v>
      </c>
      <c r="H196" s="8" t="s">
        <v>741</v>
      </c>
      <c r="I196" s="8" t="s">
        <v>765</v>
      </c>
      <c r="J196" s="8" t="s">
        <v>114</v>
      </c>
      <c r="K196" s="6">
        <f>IFERROR(IF(INDEX([4]DME!$K$2:$K$34,MATCH($D196,[4]DME!$D$2:$D$34,0))="","",INDEX([4]DME!$K$2:$K$34,MATCH($D196,[4]DME!$D$2:$D$34,0))),"")</f>
        <v>46283</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row>
    <row r="197" spans="1:41"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row>
    <row r="198" spans="1:41"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row>
    <row r="199" spans="1:41"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row>
    <row r="200" spans="1:41"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row>
    <row r="201" spans="1:41"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row>
    <row r="202" spans="1:41"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row>
    <row r="203" spans="1:41" x14ac:dyDescent="0.25">
      <c r="A203" s="5" t="str">
        <f>IFERROR(IF(INDEX([4]DME!$A$2:$A$34,MATCH($D203,[4]DME!$D$2:$D$34,0))="","",INDEX([4]DME!$A$2:$A$34,MATCH($D203,[4]DME!$D$2:$D$34,0))),"")</f>
        <v>Denied</v>
      </c>
      <c r="B203" s="5" t="str">
        <f>IFERROR(IF(INDEX([4]DME!$B$2:$B$34,MATCH($D203,[4]DME!$D$2:$D$34,0))="","",INDEX([4]DME!$B$2:$B$34,MATCH($D203,[4]DME!$D$2:$D$34,0))),"")</f>
        <v>MBI updated on chart, and resubmitted - DND Missing/incomplete/invalid patient identifier</v>
      </c>
      <c r="C203" s="6">
        <f>IFERROR(IF(INDEX([4]DME!$C$2:$C$34,MATCH($D203,[4]DME!$D$2:$D$34,0))="","",INDEX([4]DME!$C$2:$C$34,MATCH($D203,[4]DME!$D$2:$D$34,0))),"")</f>
        <v>46142</v>
      </c>
      <c r="D203" s="7">
        <v>557499174</v>
      </c>
      <c r="E203" s="8" t="s">
        <v>949</v>
      </c>
      <c r="F203" s="9">
        <v>46139</v>
      </c>
      <c r="G203" s="8" t="s">
        <v>741</v>
      </c>
      <c r="H203" s="8" t="s">
        <v>741</v>
      </c>
      <c r="I203" s="8" t="s">
        <v>755</v>
      </c>
      <c r="J203" s="8" t="s">
        <v>189</v>
      </c>
      <c r="K203" s="6">
        <f>IFERROR(IF(INDEX([4]DME!$K$2:$K$34,MATCH($D203,[4]DME!$D$2:$D$34,0))="","",INDEX([4]DME!$K$2:$K$34,MATCH($D203,[4]DME!$D$2:$D$34,0))),"")</f>
        <v>46278</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row>
    <row r="204" spans="1:41"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row>
    <row r="205" spans="1:41"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row>
    <row r="206" spans="1:41"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row>
    <row r="207" spans="1:41"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row>
    <row r="208" spans="1:41"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row>
    <row r="209" spans="1:41"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row>
    <row r="210" spans="1:41"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row>
    <row r="211" spans="1:41"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row>
    <row r="212" spans="1:41"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row>
    <row r="213" spans="1:41" x14ac:dyDescent="0.25">
      <c r="A213" s="5" t="str">
        <f>IFERROR(IF(INDEX([5]ORTHO!$A$2:$A$24,MATCH($D213,[5]ORTHO!$D$2:$D$24,0))="","",INDEX([5]ORTHO!$A$2:$A$24,MATCH($D213,[5]ORTHO!$D$2:$D$24,0))),"")</f>
        <v>Denied</v>
      </c>
      <c r="B213" s="5" t="str">
        <f>IFERROR(IF(INDEX([5]ORTHO!$B$2:$B$24,MATCH($D213,[5]ORTHO!$D$2:$D$24,0))="","",INDEX([5]ORTHO!$B$2:$B$24,MATCH($D213,[5]ORTHO!$D$2:$D$24,0))),"")</f>
        <v>MBI updated on chart, and resubmitted</v>
      </c>
      <c r="C213" s="6">
        <f>IFERROR(IF(INDEX([5]ORTHO!$C$2:$C$24,MATCH($D213,[5]ORTHO!$D$2:$D$24,0))="","",INDEX([5]ORTHO!$C$2:$C$24,MATCH($D213,[5]ORTHO!$D$2:$D$24,0))),"")</f>
        <v>46161</v>
      </c>
      <c r="D213" s="7">
        <v>569308141</v>
      </c>
      <c r="E213" s="8" t="s">
        <v>842</v>
      </c>
      <c r="F213" s="9">
        <v>46146</v>
      </c>
      <c r="G213" s="8" t="s">
        <v>640</v>
      </c>
      <c r="H213" s="8" t="s">
        <v>640</v>
      </c>
      <c r="I213" s="8" t="s">
        <v>296</v>
      </c>
      <c r="J213" s="8" t="s">
        <v>162</v>
      </c>
      <c r="K213" s="6">
        <f>IFERROR(IF(INDEX([5]ORTHO!$K$2:$K$24,MATCH($D213,[5]ORTHO!$D$2:$D$24,0))="","",INDEX([5]ORTHO!$K$2:$K$24,MATCH($D213,[5]ORTHO!$D$2:$D$24,0))),"")</f>
        <v>46254</v>
      </c>
      <c r="L213" s="11">
        <f ca="1">IF($O213="","",$O213-TODAY())</f>
        <v>228</v>
      </c>
      <c r="M213" s="11">
        <f ca="1">IF($C213="","",$C213+365-TODAY())</f>
        <v>243</v>
      </c>
      <c r="N213" s="11">
        <f ca="1">IF($C213="","",$C213+120-TODAY())</f>
        <v>-2</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row>
    <row r="214" spans="1:41"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row>
    <row r="215" spans="1:41"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row>
    <row r="216" spans="1:41"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row>
    <row r="217" spans="1:41"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row>
    <row r="218" spans="1:41"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row>
    <row r="219" spans="1:41"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row>
    <row r="220" spans="1:41"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row>
    <row r="221" spans="1:41"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row>
    <row r="222" spans="1:41"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row>
    <row r="223" spans="1:41"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row>
    <row r="224" spans="1:41"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row>
    <row r="225" spans="1:41"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row>
    <row r="226" spans="1:41"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row>
    <row r="227" spans="1:41"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row>
    <row r="228" spans="1:41"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row>
    <row r="229" spans="1:41"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row>
    <row r="230" spans="1:41"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row>
    <row r="231" spans="1:41"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row>
    <row r="232" spans="1:41"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row>
    <row r="233" spans="1:41"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row>
    <row r="234" spans="1:41"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row>
    <row r="235" spans="1:41"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row>
    <row r="236" spans="1:41"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row>
    <row r="237" spans="1:41"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row>
    <row r="238" spans="1:41"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row>
    <row r="239" spans="1:41"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row>
    <row r="240" spans="1:41"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row>
    <row r="241" spans="1:41"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row>
    <row r="242" spans="1:41"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row>
    <row r="243" spans="1:41" x14ac:dyDescent="0.25">
      <c r="A243" s="5" t="str">
        <f>IFERROR(IF(INDEX([5]ORTHO!$A$2:$A$24,MATCH($D243,[5]ORTHO!$D$2:$D$24,0))="","",INDEX([5]ORTHO!$A$2:$A$24,MATCH($D243,[5]ORTHO!$D$2:$D$24,0))),"")</f>
        <v>Pending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row>
    <row r="244" spans="1:41"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row>
    <row r="245" spans="1:41"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row>
    <row r="246" spans="1:41"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row>
    <row r="247" spans="1:41"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row>
    <row r="248" spans="1:41"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row>
    <row r="249" spans="1:41"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row>
    <row r="250" spans="1:41"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row>
    <row r="251" spans="1:41"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row>
    <row r="252" spans="1:41"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row>
    <row r="253" spans="1:41"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row>
    <row r="254" spans="1:41"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row>
    <row r="255" spans="1:41"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row>
    <row r="256" spans="1:41"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row>
    <row r="257" spans="1:41"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row>
    <row r="258" spans="1:41"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row>
    <row r="259" spans="1:41"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row>
    <row r="260" spans="1:41"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row>
    <row r="261" spans="1:41"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row>
    <row r="262" spans="1:41"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row>
    <row r="263" spans="1:41"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row>
    <row r="264" spans="1:41"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row>
    <row r="265" spans="1:41"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row>
    <row r="266" spans="1:41"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row>
    <row r="267" spans="1:41"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row>
    <row r="268" spans="1:41"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row>
    <row r="269" spans="1:41"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row>
    <row r="270" spans="1:41"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row>
    <row r="271" spans="1:41"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row>
    <row r="272" spans="1:41"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row>
    <row r="273" spans="1:41"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row>
    <row r="274" spans="1:41"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row>
    <row r="275" spans="1:41"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row>
    <row r="276" spans="1:41"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row>
    <row r="277" spans="1:41"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IF($C277="","",$C277+540-TODAY())</f>
        <v>378</v>
      </c>
      <c r="O277" s="9">
        <v>46117</v>
      </c>
      <c r="P277" s="8" t="s">
        <v>88</v>
      </c>
      <c r="Q277" s="8" t="s">
        <v>150</v>
      </c>
      <c r="R277" s="8" t="s">
        <v>88</v>
      </c>
      <c r="S277" s="8" t="s">
        <v>105</v>
      </c>
      <c r="T277" s="8" t="s">
        <v>1741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row>
    <row r="278" spans="1:41"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IF($C278="","",$C278+540-TODAY())</f>
        <v>399</v>
      </c>
      <c r="O278" s="9">
        <v>46117</v>
      </c>
      <c r="P278" s="8" t="s">
        <v>88</v>
      </c>
      <c r="Q278" s="8" t="s">
        <v>150</v>
      </c>
      <c r="R278" s="8" t="s">
        <v>88</v>
      </c>
      <c r="S278" s="8" t="s">
        <v>105</v>
      </c>
      <c r="T278" s="8" t="s">
        <v>1741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row>
    <row r="279" spans="1:41"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row>
    <row r="280" spans="1:41"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IF($F280="","",$F280+90-TODAY())</f>
        <v>-164</v>
      </c>
      <c r="N280" s="11">
        <f ca="1">IF($C280="","",$C280+365-TODAY())</f>
        <v>145</v>
      </c>
      <c r="O280" s="9">
        <v>46119</v>
      </c>
      <c r="P280" s="8" t="s">
        <v>88</v>
      </c>
      <c r="Q280" s="8" t="s">
        <v>298</v>
      </c>
      <c r="R280" s="8" t="s">
        <v>88</v>
      </c>
      <c r="S280" s="8" t="s">
        <v>105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row>
    <row r="281" spans="1:41"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IF($C281="","",$C281+540-TODAY())</f>
        <v>456</v>
      </c>
      <c r="O281" s="9">
        <v>46120</v>
      </c>
      <c r="P281" s="8" t="s">
        <v>88</v>
      </c>
      <c r="Q281" s="8" t="s">
        <v>150</v>
      </c>
      <c r="R281" s="8" t="s">
        <v>88</v>
      </c>
      <c r="S281" s="8" t="s">
        <v>105</v>
      </c>
      <c r="T281" s="8" t="s">
        <v>1741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row>
    <row r="282" spans="1:41"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row>
    <row r="283" spans="1:41"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row>
    <row r="284" spans="1:41"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row>
    <row r="285" spans="1:41"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row>
    <row r="286" spans="1:41"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row>
    <row r="287" spans="1:41"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row>
    <row r="288" spans="1:41"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row>
    <row r="289" spans="1:41"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row>
    <row r="290" spans="1:41"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f ca="1">IF($F290="","",$F290+90-TODAY())</f>
        <v>-157</v>
      </c>
      <c r="N290" s="11" t="str">
        <f ca="1">IF($C290="","",$C290+365-TODAY())</f>
        <v/>
      </c>
      <c r="O290" s="9">
        <v>46126</v>
      </c>
      <c r="P290" s="8" t="s">
        <v>88</v>
      </c>
      <c r="Q290" s="8" t="s">
        <v>298</v>
      </c>
      <c r="R290" s="8" t="s">
        <v>88</v>
      </c>
      <c r="S290" s="8" t="s">
        <v>105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row>
    <row r="291" spans="1:41"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row>
    <row r="292" spans="1:41"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row>
    <row r="293" spans="1:41"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row>
    <row r="294" spans="1:41"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row>
    <row r="295" spans="1:41"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IF($F295="","",$F295+90-TODAY())</f>
        <v>-150</v>
      </c>
      <c r="N295" s="11">
        <f ca="1">IF($C295="","",$C295+365-TODAY())</f>
        <v>146</v>
      </c>
      <c r="O295" s="9">
        <v>46133</v>
      </c>
      <c r="P295" s="8" t="s">
        <v>88</v>
      </c>
      <c r="Q295" s="8" t="s">
        <v>298</v>
      </c>
      <c r="R295" s="8" t="s">
        <v>88</v>
      </c>
      <c r="S295" s="8" t="s">
        <v>105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row>
    <row r="296" spans="1:41"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row>
    <row r="297" spans="1:41"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IF($F297="","",$F297+90-TODAY())</f>
        <v>-149</v>
      </c>
      <c r="N297" s="11">
        <f ca="1">IF($C297="","",$C297+365-TODAY())</f>
        <v>176</v>
      </c>
      <c r="O297" s="9">
        <v>46134</v>
      </c>
      <c r="P297" s="8" t="s">
        <v>88</v>
      </c>
      <c r="Q297" s="8" t="s">
        <v>298</v>
      </c>
      <c r="R297" s="8" t="s">
        <v>88</v>
      </c>
      <c r="S297" s="8" t="s">
        <v>105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row>
    <row r="298" spans="1:41"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IF($F298="","",$F298+90-TODAY())</f>
        <v>-148</v>
      </c>
      <c r="N298" s="11">
        <f ca="1">IF($C298="","",$C298+365-TODAY())</f>
        <v>245</v>
      </c>
      <c r="O298" s="9">
        <v>46135</v>
      </c>
      <c r="P298" s="8" t="s">
        <v>88</v>
      </c>
      <c r="Q298" s="8" t="s">
        <v>298</v>
      </c>
      <c r="R298" s="8" t="s">
        <v>88</v>
      </c>
      <c r="S298" s="8" t="s">
        <v>105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row>
    <row r="299" spans="1:41"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IF($F299="","",$F299+90-TODAY())</f>
        <v>-148</v>
      </c>
      <c r="N299" s="11">
        <f ca="1">IF($C299="","",$C299+365-TODAY())</f>
        <v>134</v>
      </c>
      <c r="O299" s="9">
        <v>46135</v>
      </c>
      <c r="P299" s="8" t="s">
        <v>88</v>
      </c>
      <c r="Q299" s="8" t="s">
        <v>298</v>
      </c>
      <c r="R299" s="8" t="s">
        <v>88</v>
      </c>
      <c r="S299" s="8" t="s">
        <v>105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row>
    <row r="300" spans="1:41"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row>
    <row r="301" spans="1:41"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IF($C301="","",$C301+540-TODAY())</f>
        <v>368</v>
      </c>
      <c r="O301" s="9">
        <v>46138</v>
      </c>
      <c r="P301" s="8" t="s">
        <v>88</v>
      </c>
      <c r="Q301" s="8" t="s">
        <v>150</v>
      </c>
      <c r="R301" s="8" t="s">
        <v>88</v>
      </c>
      <c r="S301" s="8" t="s">
        <v>105</v>
      </c>
      <c r="T301" s="8" t="s">
        <v>1741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row>
    <row r="302" spans="1:41"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IF($F302="","",$F302+90-TODAY())</f>
        <v>-144</v>
      </c>
      <c r="N302" s="11">
        <f ca="1">IF($C302="","",$C302+365-TODAY())</f>
        <v>210</v>
      </c>
      <c r="O302" s="9">
        <v>46139</v>
      </c>
      <c r="P302" s="8" t="s">
        <v>88</v>
      </c>
      <c r="Q302" s="8" t="s">
        <v>298</v>
      </c>
      <c r="R302" s="8" t="s">
        <v>88</v>
      </c>
      <c r="S302" s="8" t="s">
        <v>105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row>
    <row r="303" spans="1:41"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row>
    <row r="304" spans="1:41"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IF($F304="","",$F304+90-TODAY())</f>
        <v>-142</v>
      </c>
      <c r="N304" s="11">
        <f ca="1">IF($C304="","",$C304+365-TODAY())</f>
        <v>148</v>
      </c>
      <c r="O304" s="9">
        <v>46141</v>
      </c>
      <c r="P304" s="8" t="s">
        <v>88</v>
      </c>
      <c r="Q304" s="8" t="s">
        <v>298</v>
      </c>
      <c r="R304" s="8" t="s">
        <v>88</v>
      </c>
      <c r="S304" s="8" t="s">
        <v>105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row>
    <row r="305" spans="1:41"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row>
    <row r="306" spans="1:41"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IF($F306="","",$F306+90-TODAY())</f>
        <v>-137</v>
      </c>
      <c r="N306" s="11">
        <f ca="1">IF($C306="","",$C306+365-TODAY())</f>
        <v>180</v>
      </c>
      <c r="O306" s="9">
        <v>46146</v>
      </c>
      <c r="P306" s="8" t="s">
        <v>88</v>
      </c>
      <c r="Q306" s="8" t="s">
        <v>298</v>
      </c>
      <c r="R306" s="8" t="s">
        <v>88</v>
      </c>
      <c r="S306" s="8" t="s">
        <v>105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row>
    <row r="307" spans="1:41"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row>
    <row r="308" spans="1:41"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IF($C308="","",$C308+540-TODAY())</f>
        <v>404</v>
      </c>
      <c r="O308" s="9">
        <v>46149</v>
      </c>
      <c r="P308" s="8" t="s">
        <v>88</v>
      </c>
      <c r="Q308" s="8" t="s">
        <v>150</v>
      </c>
      <c r="R308" s="8" t="s">
        <v>88</v>
      </c>
      <c r="S308" s="8" t="s">
        <v>105</v>
      </c>
      <c r="T308" s="8" t="s">
        <v>1741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row>
    <row r="309" spans="1:41"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IF($F309="","",$F309+90-TODAY())</f>
        <v>-131</v>
      </c>
      <c r="N309" s="11">
        <f ca="1">IF($C309="","",$C309+365-TODAY())</f>
        <v>230</v>
      </c>
      <c r="O309" s="9">
        <v>46152</v>
      </c>
      <c r="P309" s="8" t="s">
        <v>88</v>
      </c>
      <c r="Q309" s="8" t="s">
        <v>298</v>
      </c>
      <c r="R309" s="8" t="s">
        <v>88</v>
      </c>
      <c r="S309" s="8" t="s">
        <v>105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row>
    <row r="310" spans="1:41"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IF($F310="","",$F310+90-TODAY())</f>
        <v>-128</v>
      </c>
      <c r="N310" s="11">
        <f ca="1">IF($C310="","",$C310+365-TODAY())</f>
        <v>201</v>
      </c>
      <c r="O310" s="9">
        <v>46155</v>
      </c>
      <c r="P310" s="8" t="s">
        <v>88</v>
      </c>
      <c r="Q310" s="8" t="s">
        <v>298</v>
      </c>
      <c r="R310" s="8" t="s">
        <v>88</v>
      </c>
      <c r="S310" s="8" t="s">
        <v>105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row>
    <row r="311" spans="1:41"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640</v>
      </c>
      <c r="I311" s="8" t="s">
        <v>221</v>
      </c>
      <c r="J311" s="8" t="s">
        <v>222</v>
      </c>
      <c r="K311" s="6">
        <f>IFERROR(IF(INDEX([3]US!$K$2:$K$6,MATCH($D311,[3]US!$D$2:$D$6,0))="","",INDEX([3]US!$K$2:$K$6,MATCH($D311,[3]US!$D$2:$D$6,0))),"")</f>
        <v>46251</v>
      </c>
      <c r="L311" s="11">
        <f ca="1">IF($O311="","",$O311-TODAY())</f>
        <v>147</v>
      </c>
      <c r="M311" s="11">
        <f ca="1">IF($C311="","",$C311+365-TODAY())</f>
        <v>293</v>
      </c>
      <c r="N311" s="11">
        <f ca="1">IF($C311="","",$C311+120-TODAY())</f>
        <v>48</v>
      </c>
      <c r="O311" s="9">
        <v>46430</v>
      </c>
      <c r="P311" s="8" t="s">
        <v>90</v>
      </c>
      <c r="Q311" s="8" t="s">
        <v>737</v>
      </c>
      <c r="R311" s="8" t="s">
        <v>90</v>
      </c>
      <c r="S311" s="8" t="s">
        <v>75</v>
      </c>
      <c r="T311" s="8" t="s">
        <v>72</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row>
    <row r="312" spans="1:41"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row>
    <row r="313" spans="1:41"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row>
    <row r="314" spans="1:41"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IF($F314="","",$F314+90-TODAY())</f>
        <v>-124</v>
      </c>
      <c r="N314" s="11">
        <f ca="1">IF($C314="","",$C314+365-TODAY())</f>
        <v>236</v>
      </c>
      <c r="O314" s="9">
        <v>46159</v>
      </c>
      <c r="P314" s="8" t="s">
        <v>88</v>
      </c>
      <c r="Q314" s="8" t="s">
        <v>298</v>
      </c>
      <c r="R314" s="8" t="s">
        <v>88</v>
      </c>
      <c r="S314" s="8" t="s">
        <v>105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row>
    <row r="315" spans="1:41" x14ac:dyDescent="0.25">
      <c r="A315" s="5" t="str">
        <f>IFERROR(IF(INDEX([3]DME!$A$2:$A$12,MATCH($D315,[3]DME!$D$2:$D$12,0))="","",INDEX([3]DME!$A$2:$A$12,MATCH($D315,[3]DME!$D$2:$D$12,0))),"")</f>
        <v>Under Review</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IF($F315="","",$F315+90-TODAY())</f>
        <v>-124</v>
      </c>
      <c r="N315" s="11">
        <f ca="1">IF($C315="","",$C315+365-TODAY())</f>
        <v>309</v>
      </c>
      <c r="O315" s="9">
        <v>46159</v>
      </c>
      <c r="P315" s="8" t="s">
        <v>88</v>
      </c>
      <c r="Q315" s="8" t="s">
        <v>298</v>
      </c>
      <c r="R315" s="8" t="s">
        <v>88</v>
      </c>
      <c r="S315" s="8" t="s">
        <v>105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row>
    <row r="316" spans="1:41"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row>
    <row r="317" spans="1:41"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IF($F317="","",$F317+90-TODAY())</f>
        <v>-122</v>
      </c>
      <c r="N317" s="11">
        <f ca="1">IF($C317="","",$C317+365-TODAY())</f>
        <v>183</v>
      </c>
      <c r="O317" s="9">
        <v>46161</v>
      </c>
      <c r="P317" s="8" t="s">
        <v>88</v>
      </c>
      <c r="Q317" s="8" t="s">
        <v>298</v>
      </c>
      <c r="R317" s="8" t="s">
        <v>88</v>
      </c>
      <c r="S317" s="8" t="s">
        <v>105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row>
    <row r="318" spans="1:41"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row>
    <row r="319" spans="1:41"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row>
    <row r="320" spans="1:41"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row>
    <row r="321" spans="1:41"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row>
    <row r="322" spans="1:41"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IF($F322="","",$F322+90-TODAY())</f>
        <v>-114</v>
      </c>
      <c r="N322" s="11">
        <f ca="1">IF($C322="","",$C322+365-TODAY())</f>
        <v>294</v>
      </c>
      <c r="O322" s="9">
        <v>46169</v>
      </c>
      <c r="P322" s="8" t="s">
        <v>88</v>
      </c>
      <c r="Q322" s="8" t="s">
        <v>298</v>
      </c>
      <c r="R322" s="8" t="s">
        <v>88</v>
      </c>
      <c r="S322" s="8" t="s">
        <v>105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row>
    <row r="323" spans="1:41"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row>
    <row r="324" spans="1:41"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row>
    <row r="325" spans="1:41" x14ac:dyDescent="0.25">
      <c r="A325" s="5" t="str">
        <f>IFERROR(IF(INDEX([2]US!$A$2:$A$15,MATCH($D325,[2]US!$D$2:$D$15,0))="","",INDEX([2]US!$A$2:$A$15,MATCH($D325,[2]US!$D$2:$D$15,0))),"")</f>
        <v>Denied</v>
      </c>
      <c r="B325" s="5" t="str">
        <f>IFERROR(IF(INDEX([2]US!$B$2:$B$15,MATCH($D325,[2]US!$D$2:$D$15,0))="","",INDEX([2]US!$B$2:$B$15,MATCH($D325,[2]US!$D$2:$D$15,0))),"")</f>
        <v>Edited dx order, and resubmitted - DND Diagnosis was invalid for the date(s) of service reported</v>
      </c>
      <c r="C325" s="6">
        <f>IFERROR(IF(INDEX([2]US!$C$2:$C$15,MATCH($D325,[2]US!$D$2:$D$15,0))="","",INDEX([2]US!$C$2:$C$15,MATCH($D325,[2]US!$D$2:$D$15,0))),"")</f>
        <v>46113</v>
      </c>
      <c r="D325" s="7">
        <v>571606836</v>
      </c>
      <c r="E325" s="8" t="s">
        <v>1321</v>
      </c>
      <c r="F325" s="9">
        <v>46084</v>
      </c>
      <c r="G325" s="8" t="s">
        <v>1322</v>
      </c>
      <c r="H325" s="8" t="s">
        <v>1322</v>
      </c>
      <c r="I325" s="8" t="s">
        <v>70</v>
      </c>
      <c r="J325" s="8" t="s">
        <v>242</v>
      </c>
      <c r="K325" s="6">
        <f>IFERROR(IF(INDEX([2]US!$K$2:$K$15,MATCH($D325,[2]US!$D$2:$D$15,0))="","",INDEX([2]US!$K$2:$K$15,MATCH($D325,[2]US!$D$2:$D$15,0))),"")</f>
        <v>46278</v>
      </c>
      <c r="L325" s="11">
        <f ca="1">IF($O325="","",$O325-TODAY())</f>
        <v>-109</v>
      </c>
      <c r="M325" s="11">
        <f ca="1">IF($F325="","",$F325+90-TODAY())</f>
        <v>-109</v>
      </c>
      <c r="N325" s="11">
        <f ca="1">IF($C325="","",$C325+180-TODAY())</f>
        <v>10</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row>
    <row r="326" spans="1:41"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row>
    <row r="327" spans="1:41"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IF($F327="","",$F327+90-TODAY())</f>
        <v>-108</v>
      </c>
      <c r="N327" s="11">
        <f ca="1">IF($C327="","",$C327+365-TODAY())</f>
        <v>216</v>
      </c>
      <c r="O327" s="9">
        <v>46175</v>
      </c>
      <c r="P327" s="8" t="s">
        <v>88</v>
      </c>
      <c r="Q327" s="8" t="s">
        <v>298</v>
      </c>
      <c r="R327" s="8" t="s">
        <v>88</v>
      </c>
      <c r="S327" s="8" t="s">
        <v>105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row>
    <row r="328" spans="1:41"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row>
    <row r="329" spans="1:41"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row>
    <row r="330" spans="1:41"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row>
    <row r="331" spans="1:41"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row>
    <row r="332" spans="1:41"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IF($C332="","",$C332+540-TODAY())</f>
        <v>354</v>
      </c>
      <c r="O332" s="9">
        <v>46177</v>
      </c>
      <c r="P332" s="8" t="s">
        <v>88</v>
      </c>
      <c r="Q332" s="8" t="s">
        <v>150</v>
      </c>
      <c r="R332" s="8" t="s">
        <v>88</v>
      </c>
      <c r="S332" s="8" t="s">
        <v>105</v>
      </c>
      <c r="T332" s="8" t="s">
        <v>1741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row>
    <row r="333" spans="1:41"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IF($F333="","",$F333+90-TODAY())</f>
        <v>-106</v>
      </c>
      <c r="N333" s="11">
        <f ca="1">IF($C333="","",$C333+365-TODAY())</f>
        <v>285</v>
      </c>
      <c r="O333" s="9">
        <v>46177</v>
      </c>
      <c r="P333" s="8" t="s">
        <v>88</v>
      </c>
      <c r="Q333" s="8" t="s">
        <v>298</v>
      </c>
      <c r="R333" s="8" t="s">
        <v>88</v>
      </c>
      <c r="S333" s="8" t="s">
        <v>105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row>
    <row r="334" spans="1:41"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row>
    <row r="335" spans="1:41"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row>
    <row r="336" spans="1:41"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IF($C336="","",$C336+540-TODAY())</f>
        <v>365</v>
      </c>
      <c r="O336" s="9">
        <v>46183</v>
      </c>
      <c r="P336" s="8" t="s">
        <v>88</v>
      </c>
      <c r="Q336" s="8" t="s">
        <v>150</v>
      </c>
      <c r="R336" s="8" t="s">
        <v>88</v>
      </c>
      <c r="S336" s="8" t="s">
        <v>105</v>
      </c>
      <c r="T336" s="8" t="s">
        <v>1741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row>
    <row r="337" spans="1:41"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IF($C337="","",$C337+540-TODAY())</f>
        <v>477</v>
      </c>
      <c r="O337" s="9">
        <v>46183</v>
      </c>
      <c r="P337" s="8" t="s">
        <v>88</v>
      </c>
      <c r="Q337" s="8" t="s">
        <v>150</v>
      </c>
      <c r="R337" s="8" t="s">
        <v>88</v>
      </c>
      <c r="S337" s="8" t="s">
        <v>105</v>
      </c>
      <c r="T337" s="8" t="s">
        <v>1741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row>
    <row r="338" spans="1:41"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row>
    <row r="339" spans="1:41"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row>
    <row r="340" spans="1:41"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IF($F340="","",$F340+90-TODAY())</f>
        <v>-96</v>
      </c>
      <c r="N340" s="11">
        <f ca="1">IF($C340="","",$C340+365-TODAY())</f>
        <v>217</v>
      </c>
      <c r="O340" s="9">
        <v>46187</v>
      </c>
      <c r="P340" s="8" t="s">
        <v>88</v>
      </c>
      <c r="Q340" s="8" t="s">
        <v>298</v>
      </c>
      <c r="R340" s="8" t="s">
        <v>88</v>
      </c>
      <c r="S340" s="8" t="s">
        <v>105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row>
    <row r="341" spans="1:41"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row>
    <row r="342" spans="1:41" x14ac:dyDescent="0.25">
      <c r="A342" s="5" t="str">
        <f>IFERROR(IF(INDEX([2]US!$A$2:$A$15,MATCH($D342,[2]US!$D$2:$D$15,0))="","",INDEX([2]US!$A$2:$A$15,MATCH($D342,[2]US!$D$2:$D$15,0))),"")</f>
        <v>Denied</v>
      </c>
      <c r="B342" s="5" t="str">
        <f>IFERROR(IF(INDEX([2]US!$B$2:$B$15,MATCH($D342,[2]US!$D$2:$D$15,0))="","",INDEX([2]US!$B$2:$B$15,MATCH($D342,[2]US!$D$2:$D$15,0))),"")</f>
        <v>Resubmitted to UHC as primary - DND This care may be covered by another payer per coordination of benefits</v>
      </c>
      <c r="C342" s="6">
        <f>IFERROR(IF(INDEX([2]US!$C$2:$C$15,MATCH($D342,[2]US!$D$2:$D$15,0))="","",INDEX([2]US!$C$2:$C$15,MATCH($D342,[2]US!$D$2:$D$15,0))),"")</f>
        <v>46135</v>
      </c>
      <c r="D342" s="7">
        <v>571607238</v>
      </c>
      <c r="E342" s="8" t="s">
        <v>1260</v>
      </c>
      <c r="F342" s="9">
        <v>46098</v>
      </c>
      <c r="G342" s="8" t="s">
        <v>86</v>
      </c>
      <c r="H342" s="8" t="s">
        <v>86</v>
      </c>
      <c r="I342" s="8" t="s">
        <v>296</v>
      </c>
      <c r="J342" s="8" t="s">
        <v>222</v>
      </c>
      <c r="K342" s="6">
        <f>IFERROR(IF(INDEX([2]US!$K$2:$K$15,MATCH($D342,[2]US!$D$2:$D$15,0))="","",INDEX([2]US!$K$2:$K$15,MATCH($D342,[2]US!$D$2:$D$15,0))),"")</f>
        <v>46278</v>
      </c>
      <c r="L342" s="11">
        <f ca="1">IF($O342="","",$O342-TODAY())</f>
        <v>-95</v>
      </c>
      <c r="M342" s="11">
        <f ca="1">IF($C342="","",$C342+180-TODAY())</f>
        <v>32</v>
      </c>
      <c r="N342" s="11">
        <f ca="1">IF($C342="","",$C342+365-TODAY())</f>
        <v>217</v>
      </c>
      <c r="O342" s="9">
        <v>46188</v>
      </c>
      <c r="P342" s="8" t="s">
        <v>88</v>
      </c>
      <c r="Q342" s="8" t="s">
        <v>89</v>
      </c>
      <c r="R342" s="8" t="s">
        <v>74</v>
      </c>
      <c r="S342" s="8" t="s">
        <v>75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row>
    <row r="343" spans="1:41" x14ac:dyDescent="0.25">
      <c r="A343" s="5" t="str">
        <f>IFERROR(IF(INDEX([2]US!$A$2:$A$15,MATCH($D343,[2]US!$D$2:$D$15,0))="","",INDEX([2]US!$A$2:$A$15,MATCH($D343,[2]US!$D$2:$D$15,0))),"")</f>
        <v>Under Review</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IF($C343="","",$C343+540-TODAY())</f>
        <v>477</v>
      </c>
      <c r="O343" s="9">
        <v>46189</v>
      </c>
      <c r="P343" s="8" t="s">
        <v>88</v>
      </c>
      <c r="Q343" s="8" t="s">
        <v>150</v>
      </c>
      <c r="R343" s="8" t="s">
        <v>88</v>
      </c>
      <c r="S343" s="8" t="s">
        <v>105</v>
      </c>
      <c r="T343" s="8" t="s">
        <v>1741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row>
    <row r="344" spans="1:41"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row>
    <row r="345" spans="1:41"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row>
    <row r="346" spans="1:41" x14ac:dyDescent="0.25">
      <c r="A346" s="5" t="str">
        <f>IFERROR(IF(INDEX([2]US!$A$2:$A$15,MATCH($D346,[2]US!$D$2:$D$15,0))="","",INDEX([2]US!$A$2:$A$15,MATCH($D346,[2]US!$D$2:$D$15,0))),"")</f>
        <v>Not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571607938</v>
      </c>
      <c r="AM346" s="8" t="s">
        <v>246</v>
      </c>
      <c r="AN346" s="8" t="s">
        <v>247</v>
      </c>
      <c r="AO346" s="9">
        <v>46106</v>
      </c>
    </row>
    <row r="347" spans="1:41"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row>
    <row r="348" spans="1:41" x14ac:dyDescent="0.25">
      <c r="A348" s="5" t="str">
        <f>IFERROR(IF(INDEX([2]BH!$A$2:$A$32,MATCH($D348,[2]BH!$D$2:$D$32,0))="","",INDEX([2]BH!$A$2:$A$32,MATCH($D348,[2]BH!$D$2:$D$32,0))),"")</f>
        <v>Under Review</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IF($F348="","",$F348+90-TODAY())</f>
        <v>-92</v>
      </c>
      <c r="N348" s="11">
        <f ca="1">IF($C348="","",$C348+365-TODAY())</f>
        <v>206</v>
      </c>
      <c r="O348" s="9">
        <v>46191</v>
      </c>
      <c r="P348" s="8" t="s">
        <v>88</v>
      </c>
      <c r="Q348" s="8" t="s">
        <v>298</v>
      </c>
      <c r="R348" s="8" t="s">
        <v>88</v>
      </c>
      <c r="S348" s="8" t="s">
        <v>105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row>
    <row r="349" spans="1:41"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row>
    <row r="350" spans="1:41" x14ac:dyDescent="0.25">
      <c r="A350" s="5" t="str">
        <f>IFERROR(IF(INDEX([2]US!$A$2:$A$15,MATCH($D350,[2]US!$D$2:$D$15,0))="","",INDEX([2]US!$A$2:$A$15,MATCH($D350,[2]US!$D$2:$D$15,0))),"")</f>
        <v>Finalized</v>
      </c>
      <c r="B350" s="5" t="str">
        <f>IFERROR(IF(INDEX([2]US!$B$2:$B$15,MATCH($D350,[2]US!$D$2:$D$15,0))="","",INDEX([2]US!$B$2:$B$15,MATCH($D350,[2]US!$D$2:$D$15,0))),"")</f>
        <v>PAID - Insurance approved correction - Edited dx order, used I83811 as a primary code, and resubmitted - Denied payment for 93970 with remark: invalid dx</v>
      </c>
      <c r="C350" s="6">
        <f>IFERROR(IF(INDEX([2]US!$C$2:$C$15,MATCH($D350,[2]US!$D$2:$D$15,0))="","",INDEX([2]US!$C$2:$C$15,MATCH($D350,[2]US!$D$2:$D$15,0))),"")</f>
        <v>46127</v>
      </c>
      <c r="D350" s="7">
        <v>569508762</v>
      </c>
      <c r="E350" s="8" t="s">
        <v>1383</v>
      </c>
      <c r="F350" s="9">
        <v>46105</v>
      </c>
      <c r="G350" s="8" t="s">
        <v>1322</v>
      </c>
      <c r="H350" s="8" t="s">
        <v>1322</v>
      </c>
      <c r="I350" s="8" t="s">
        <v>70</v>
      </c>
      <c r="J350" s="8" t="s">
        <v>222</v>
      </c>
      <c r="K350" s="6">
        <f>IFERROR(IF(INDEX([2]US!$K$2:$K$15,MATCH($D350,[2]US!$D$2:$D$15,0))="","",INDEX([2]US!$K$2:$K$15,MATCH($D350,[2]US!$D$2:$D$15,0))),"")</f>
        <v>46269</v>
      </c>
      <c r="L350" s="11">
        <f ca="1">IF($O350="","",$O350-TODAY())</f>
        <v>-88</v>
      </c>
      <c r="M350" s="11">
        <f ca="1">IF($F350="","",$F350+90-TODAY())</f>
        <v>-88</v>
      </c>
      <c r="N350" s="11">
        <f ca="1">IF($C350="","",$C350+180-TODAY())</f>
        <v>24</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row>
    <row r="351" spans="1:41" x14ac:dyDescent="0.25">
      <c r="A351" s="5" t="str">
        <f>IFERROR(IF(INDEX([2]US!$A$2:$A$15,MATCH($D351,[2]US!$D$2:$D$15,0))="","",INDEX([2]US!$A$2:$A$15,MATCH($D351,[2]US!$D$2:$D$15,0))),"")</f>
        <v>Denied</v>
      </c>
      <c r="B351" s="5" t="str">
        <f>IFERROR(IF(INDEX([2]US!$B$2:$B$15,MATCH($D351,[2]US!$D$2:$D$15,0))="","",INDEX([2]US!$B$2:$B$15,MATCH($D351,[2]US!$D$2:$D$15,0))),"")</f>
        <v>Resubmitted to the same payer - Active coverage on DOS - DND Expenses incurred after coverage terminated</v>
      </c>
      <c r="C351" s="6">
        <f>IFERROR(IF(INDEX([2]US!$C$2:$C$15,MATCH($D351,[2]US!$D$2:$D$15,0))="","",INDEX([2]US!$C$2:$C$15,MATCH($D351,[2]US!$D$2:$D$15,0))),"")</f>
        <v>46126</v>
      </c>
      <c r="D351" s="7">
        <v>571608266</v>
      </c>
      <c r="E351" s="8" t="s">
        <v>1385</v>
      </c>
      <c r="F351" s="9">
        <v>46105</v>
      </c>
      <c r="G351" s="8" t="s">
        <v>112</v>
      </c>
      <c r="H351" s="8" t="s">
        <v>112</v>
      </c>
      <c r="I351" s="8" t="s">
        <v>70</v>
      </c>
      <c r="J351" s="8" t="s">
        <v>222</v>
      </c>
      <c r="K351" s="6">
        <f>IFERROR(IF(INDEX([2]US!$K$2:$K$15,MATCH($D351,[2]US!$D$2:$D$15,0))="","",INDEX([2]US!$K$2:$K$15,MATCH($D351,[2]US!$D$2:$D$15,0))),"")</f>
        <v>46278</v>
      </c>
      <c r="L351" s="11">
        <f ca="1">IF($O351="","",$O351-TODAY())</f>
        <v>-88</v>
      </c>
      <c r="M351" s="11">
        <f ca="1">IF($C351="","",$C351+365-TODAY())</f>
        <v>208</v>
      </c>
      <c r="N351" s="11">
        <f ca="1">IF($C351="","",$C351+365-TODAY())</f>
        <v>208</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row>
    <row r="352" spans="1:41"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IF($C352="","",$C352+540-TODAY())</f>
        <v>380</v>
      </c>
      <c r="O352" s="9">
        <v>46196</v>
      </c>
      <c r="P352" s="8" t="s">
        <v>88</v>
      </c>
      <c r="Q352" s="8" t="s">
        <v>150</v>
      </c>
      <c r="R352" s="8" t="s">
        <v>88</v>
      </c>
      <c r="S352" s="8" t="s">
        <v>105</v>
      </c>
      <c r="T352" s="8" t="s">
        <v>1741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row>
    <row r="353" spans="1:41"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row>
    <row r="354" spans="1:41"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row>
    <row r="355" spans="1:41"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row>
    <row r="356" spans="1:41"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row>
    <row r="357" spans="1:41"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row>
    <row r="358" spans="1:41"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IF($F358="","",$F358+90-TODAY())</f>
        <v>-80</v>
      </c>
      <c r="N358" s="11">
        <f ca="1">IF($C358="","",$C358+365-TODAY())</f>
        <v>244</v>
      </c>
      <c r="O358" s="9">
        <v>46203</v>
      </c>
      <c r="P358" s="8" t="s">
        <v>88</v>
      </c>
      <c r="Q358" s="8" t="s">
        <v>298</v>
      </c>
      <c r="R358" s="8" t="s">
        <v>88</v>
      </c>
      <c r="S358" s="8" t="s">
        <v>105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row>
    <row r="359" spans="1:41"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row>
    <row r="360" spans="1:41"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row>
    <row r="361" spans="1:41"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row>
    <row r="362" spans="1:41" x14ac:dyDescent="0.25">
      <c r="A362" s="5" t="str">
        <f>IFERROR(IF(INDEX([4]GAE!$A$2:$A$8,MATCH($D362,[4]GAE!$D$2:$D$8,0))="","",INDEX([4]GAE!$A$2:$A$8,MATCH($D362,[4]GAE!$D$2:$D$8,0))),"")</f>
        <v>Under Review</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IF($C362="","",$C362+540-TODAY())</f>
        <v>422</v>
      </c>
      <c r="O362" s="9">
        <v>46208</v>
      </c>
      <c r="P362" s="8" t="s">
        <v>88</v>
      </c>
      <c r="Q362" s="8" t="s">
        <v>150</v>
      </c>
      <c r="R362" s="8" t="s">
        <v>88</v>
      </c>
      <c r="S362" s="8" t="s">
        <v>105</v>
      </c>
      <c r="T362" s="8" t="s">
        <v>1741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row>
    <row r="363" spans="1:41"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row>
    <row r="364" spans="1:41" x14ac:dyDescent="0.25">
      <c r="A364" s="5" t="str">
        <f>IFERROR(IF(INDEX([5]ORTHO!$A$2:$A$24,MATCH($D364,[5]ORTHO!$D$2:$D$24,0))="","",INDEX([5]ORTHO!$A$2:$A$24,MATCH($D364,[5]ORTHO!$D$2:$D$24,0))),"")</f>
        <v>Under Review</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row>
    <row r="365" spans="1:41"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IF($F365="","",$F365+90-TODAY())</f>
        <v>-74</v>
      </c>
      <c r="N365" s="11">
        <f ca="1">IF($C365="","",$C365+365-TODAY())</f>
        <v>246</v>
      </c>
      <c r="O365" s="9">
        <v>46209</v>
      </c>
      <c r="P365" s="8" t="s">
        <v>88</v>
      </c>
      <c r="Q365" s="8" t="s">
        <v>298</v>
      </c>
      <c r="R365" s="8" t="s">
        <v>88</v>
      </c>
      <c r="S365" s="8" t="s">
        <v>105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row>
    <row r="366" spans="1:41" x14ac:dyDescent="0.25">
      <c r="A366" s="5" t="str">
        <f>IFERROR(IF(INDEX([5]BH!$A$2:$A$33,MATCH($D366,[5]BH!$D$2:$D$33,0))="","",INDEX([5]BH!$A$2:$A$33,MATCH($D366,[5]BH!$D$2:$D$33,0))),"")</f>
        <v>Pending</v>
      </c>
      <c r="B366" s="5" t="str">
        <f>IFERROR(IF(INDEX([5]BH!$B$2:$B$33,MATCH($D366,[5]BH!$D$2:$D$33,0))="","",INDEX([5]BH!$B$2:$B$33,MATCH($D366,[5]BH!$D$2:$D$33,0))),"")</f>
        <v>Resubmitted to AARP MedicareComplete (SecureHorizons &amp; Oxford Network)</v>
      </c>
      <c r="C366" s="6" t="str">
        <f>IFERROR(IF(INDEX([5]BH!$C$2:$C$33,MATCH($D366,[5]BH!$D$2:$D$33,0))="","",INDEX([5]BH!$C$2:$C$33,MATCH($D366,[5]BH!$D$2:$D$33,0))),"")</f>
        <v/>
      </c>
      <c r="D366" s="7">
        <v>568553454</v>
      </c>
      <c r="E366" s="8" t="s">
        <v>1423</v>
      </c>
      <c r="F366" s="9">
        <v>46149</v>
      </c>
      <c r="G366" s="8" t="s">
        <v>1605</v>
      </c>
      <c r="H366" s="8" t="s">
        <v>70</v>
      </c>
      <c r="I366" s="8" t="s">
        <v>70</v>
      </c>
      <c r="J366" s="8" t="s">
        <v>98</v>
      </c>
      <c r="K366" s="6">
        <f>IFERROR(IF(INDEX([5]BH!$K$2:$K$33,MATCH($D366,[5]BH!$D$2:$D$33,0))="","",INDEX([5]BH!$K$2:$K$33,MATCH($D366,[5]BH!$D$2:$D$33,0))),"")</f>
        <v>46247</v>
      </c>
      <c r="L366" s="11">
        <f ca="1">IF($O366="","",$O366-TODAY())</f>
        <v>-44</v>
      </c>
      <c r="M366" s="11" t="str">
        <f ca="1">IF($C366="","",$C366+365-TODAY())</f>
        <v/>
      </c>
      <c r="N366" s="11" t="str">
        <f ca="1">IF($C366="","",$C366+365-TODAY())</f>
        <v/>
      </c>
      <c r="O366" s="9">
        <v>46239</v>
      </c>
      <c r="P366" s="8" t="s">
        <v>88</v>
      </c>
      <c r="Q366" s="8" t="s">
        <v>1607</v>
      </c>
      <c r="R366" s="8" t="s">
        <v>90</v>
      </c>
      <c r="S366" s="8" t="s">
        <v>75</v>
      </c>
      <c r="T366" s="8" t="s">
        <v>90</v>
      </c>
      <c r="U366" s="8" t="s">
        <v>75</v>
      </c>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row>
    <row r="367" spans="1:41"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row>
    <row r="368" spans="1:41"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row>
    <row r="369" spans="1:41"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row>
    <row r="370" spans="1:41"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row>
    <row r="371" spans="1:41"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row>
    <row r="372" spans="1:41"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row>
    <row r="373" spans="1:41"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IF($F373="","",$F373+90-TODAY())</f>
        <v>-68</v>
      </c>
      <c r="N373" s="11">
        <f ca="1">IF($C373="","",$C373+365-TODAY())</f>
        <v>223</v>
      </c>
      <c r="O373" s="9">
        <v>46215</v>
      </c>
      <c r="P373" s="8" t="s">
        <v>88</v>
      </c>
      <c r="Q373" s="8" t="s">
        <v>298</v>
      </c>
      <c r="R373" s="8" t="s">
        <v>88</v>
      </c>
      <c r="S373" s="8" t="s">
        <v>105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row>
    <row r="374" spans="1:41"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IF($F374="","",$F374+90-TODAY())</f>
        <v>-68</v>
      </c>
      <c r="N374" s="11">
        <f ca="1">IF($C374="","",$C374+365-TODAY())</f>
        <v>223</v>
      </c>
      <c r="O374" s="9">
        <v>46215</v>
      </c>
      <c r="P374" s="8" t="s">
        <v>88</v>
      </c>
      <c r="Q374" s="8" t="s">
        <v>298</v>
      </c>
      <c r="R374" s="8" t="s">
        <v>88</v>
      </c>
      <c r="S374" s="8" t="s">
        <v>105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row>
    <row r="375" spans="1:41"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row>
    <row r="376" spans="1:41"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row>
    <row r="377" spans="1:41" x14ac:dyDescent="0.25">
      <c r="A377" s="5" t="str">
        <f>IFERROR(IF(INDEX([4]GAE!$A$2:$A$8,MATCH($D377,[4]GAE!$D$2:$D$8,0))="","",INDEX([4]GAE!$A$2:$A$8,MATCH($D377,[4]GAE!$D$2:$D$8,0))),"")</f>
        <v>Under Review</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row>
    <row r="378" spans="1:41"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row>
    <row r="379" spans="1:41"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row>
    <row r="380" spans="1:41"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row>
    <row r="381" spans="1:41"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row>
    <row r="382" spans="1:41"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row>
    <row r="383" spans="1:41"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row>
    <row r="384" spans="1:41"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row>
    <row r="385" spans="1:41"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row>
    <row r="386" spans="1:41"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row>
    <row r="387" spans="1:41"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IF($F387="","",$F387+90-TODAY())</f>
        <v>-61</v>
      </c>
      <c r="N387" s="11">
        <f ca="1">IF($C387="","",$C387+365-TODAY())</f>
        <v>239</v>
      </c>
      <c r="O387" s="9">
        <v>46222</v>
      </c>
      <c r="P387" s="8" t="s">
        <v>88</v>
      </c>
      <c r="Q387" s="8" t="s">
        <v>298</v>
      </c>
      <c r="R387" s="8" t="s">
        <v>88</v>
      </c>
      <c r="S387" s="8" t="s">
        <v>105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row>
    <row r="388" spans="1:41"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row>
    <row r="389" spans="1:41"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IF($F389="","",$F389+90-TODAY())</f>
        <v>-61</v>
      </c>
      <c r="N389" s="11">
        <f ca="1">IF($C389="","",$C389+365-TODAY())</f>
        <v>244</v>
      </c>
      <c r="O389" s="9">
        <v>46222</v>
      </c>
      <c r="P389" s="8" t="s">
        <v>88</v>
      </c>
      <c r="Q389" s="8" t="s">
        <v>298</v>
      </c>
      <c r="R389" s="8" t="s">
        <v>88</v>
      </c>
      <c r="S389" s="8" t="s">
        <v>105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row>
    <row r="390" spans="1:41"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row>
    <row r="391" spans="1:41"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row>
    <row r="392" spans="1:41"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IF($C392="","",$C392+540-TODAY())</f>
        <v>414</v>
      </c>
      <c r="O392" s="9">
        <v>46225</v>
      </c>
      <c r="P392" s="8" t="s">
        <v>88</v>
      </c>
      <c r="Q392" s="8" t="s">
        <v>150</v>
      </c>
      <c r="R392" s="8" t="s">
        <v>88</v>
      </c>
      <c r="S392" s="8" t="s">
        <v>105</v>
      </c>
      <c r="T392" s="8" t="s">
        <v>1741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row>
    <row r="393" spans="1:41" x14ac:dyDescent="0.25">
      <c r="A393" s="5" t="str">
        <f>IFERROR(IF(INDEX([4]DME!$A$2:$A$34,MATCH($D393,[4]DME!$D$2:$D$34,0))="","",INDEX([4]DME!$A$2:$A$34,MATCH($D393,[4]DME!$D$2:$D$34,0))),"")</f>
        <v>Under Review</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row>
    <row r="394" spans="1:41"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row>
    <row r="395" spans="1:41" x14ac:dyDescent="0.25">
      <c r="A395" s="5" t="str">
        <f>IFERROR(IF(INDEX([4]US!$A$2:$A$23,MATCH($D395,[4]US!$D$2:$D$23,0))="","",INDEX([4]US!$A$2:$A$23,MATCH($D395,[4]US!$D$2:$D$23,0))),"")</f>
        <v>Under Review</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row>
    <row r="396" spans="1:41"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row>
    <row r="397" spans="1:41"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row>
    <row r="398" spans="1:41"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row>
    <row r="399" spans="1:41"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row>
    <row r="400" spans="1:41"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row>
    <row r="401" spans="1:41"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row>
    <row r="402" spans="1:41"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row>
    <row r="403" spans="1:41"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row>
    <row r="404" spans="1:41"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row>
    <row r="405" spans="1:41" x14ac:dyDescent="0.25">
      <c r="A405" s="5" t="str">
        <f>IFERROR(IF(INDEX([4]US!$A$2:$A$23,MATCH($D405,[4]US!$D$2:$D$23,0))="","",INDEX([4]US!$A$2:$A$23,MATCH($D405,[4]US!$D$2:$D$23,0))),"")</f>
        <v>Under Review</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row>
    <row r="406" spans="1:41"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row>
    <row r="407" spans="1:41"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row>
    <row r="408" spans="1:41"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IF($F408="","",$F408+90-TODAY())</f>
        <v>-51</v>
      </c>
      <c r="N408" s="11">
        <f ca="1">IF($C408="","",$C408+365-TODAY())</f>
        <v>244</v>
      </c>
      <c r="O408" s="9">
        <v>46232</v>
      </c>
      <c r="P408" s="8" t="s">
        <v>88</v>
      </c>
      <c r="Q408" s="8" t="s">
        <v>298</v>
      </c>
      <c r="R408" s="8" t="s">
        <v>88</v>
      </c>
      <c r="S408" s="8" t="s">
        <v>105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row>
    <row r="409" spans="1:41"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row>
    <row r="410" spans="1:41" x14ac:dyDescent="0.25">
      <c r="A410" s="5" t="str">
        <f>IFERROR(IF(INDEX([4]US!$A$2:$A$23,MATCH($D410,[4]US!$D$2:$D$23,0))="","",INDEX([4]US!$A$2:$A$23,MATCH($D410,[4]US!$D$2:$D$23,0))),"")</f>
        <v>Under Review</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row>
    <row r="411" spans="1:41"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row>
    <row r="412" spans="1:41" x14ac:dyDescent="0.25">
      <c r="A412" s="5" t="str">
        <f>IFERROR(IF(INDEX([5]DME!$A$2:$A$35,MATCH($D412,[5]DME!$D$2:$D$35,0))="","",INDEX([5]DME!$A$2:$A$35,MATCH($D412,[5]DME!$D$2:$D$35,0))),"")</f>
        <v>Under Review</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row>
    <row r="413" spans="1:41"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row>
    <row r="414" spans="1:41"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row>
    <row r="415" spans="1:41"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row>
    <row r="416" spans="1:41"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row>
    <row r="417" spans="1:41"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row>
    <row r="418" spans="1:41"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IF($F418="","",$F418+90-TODAY())</f>
        <v>-47</v>
      </c>
      <c r="N418" s="11">
        <f ca="1">IF($C418="","",$C418+365-TODAY())</f>
        <v>266</v>
      </c>
      <c r="O418" s="9">
        <v>46236</v>
      </c>
      <c r="P418" s="8" t="s">
        <v>88</v>
      </c>
      <c r="Q418" s="8" t="s">
        <v>298</v>
      </c>
      <c r="R418" s="8" t="s">
        <v>88</v>
      </c>
      <c r="S418" s="8" t="s">
        <v>105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row>
    <row r="419" spans="1:41" x14ac:dyDescent="0.25">
      <c r="A419" s="5" t="str">
        <f>IFERROR(IF(INDEX([5]ORTHO!$A$2:$A$24,MATCH($D419,[5]ORTHO!$D$2:$D$24,0))="","",INDEX([5]ORTHO!$A$2:$A$24,MATCH($D419,[5]ORTHO!$D$2:$D$24,0))),"")</f>
        <v>Under Review</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IF($F419="","",$F419+90-TODAY())</f>
        <v>-45</v>
      </c>
      <c r="N419" s="11">
        <f ca="1">IF($C419="","",$C419+365-TODAY())</f>
        <v>279</v>
      </c>
      <c r="O419" s="9">
        <v>46238</v>
      </c>
      <c r="P419" s="8" t="s">
        <v>88</v>
      </c>
      <c r="Q419" s="8" t="s">
        <v>298</v>
      </c>
      <c r="R419" s="8" t="s">
        <v>88</v>
      </c>
      <c r="S419" s="8" t="s">
        <v>105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row>
    <row r="420" spans="1:41"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row>
    <row r="421" spans="1:41"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row>
    <row r="422" spans="1:41"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row>
    <row r="423" spans="1:41"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row>
    <row r="424" spans="1:41"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row>
    <row r="425" spans="1:41"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row>
    <row r="426" spans="1:41"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IF($C426="","",$C426+540-TODAY())</f>
        <v>453</v>
      </c>
      <c r="O426" s="9">
        <v>46243</v>
      </c>
      <c r="P426" s="8" t="s">
        <v>88</v>
      </c>
      <c r="Q426" s="8" t="s">
        <v>150</v>
      </c>
      <c r="R426" s="8" t="s">
        <v>88</v>
      </c>
      <c r="S426" s="8" t="s">
        <v>105</v>
      </c>
      <c r="T426" s="8" t="s">
        <v>1741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row>
    <row r="427" spans="1:41" x14ac:dyDescent="0.25">
      <c r="A427" s="5" t="str">
        <f>IFERROR(IF(INDEX([5]DME!$A$2:$A$35,MATCH($D427,[5]DME!$D$2:$D$35,0))="","",INDEX([5]DME!$A$2:$A$35,MATCH($D427,[5]DME!$D$2:$D$35,0))),"")</f>
        <v>Under Review</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IF($F427="","",$F427+90-TODAY())</f>
        <v>-40</v>
      </c>
      <c r="N427" s="11">
        <f ca="1">IF($C427="","",$C427+365-TODAY())</f>
        <v>285</v>
      </c>
      <c r="O427" s="9">
        <v>46243</v>
      </c>
      <c r="P427" s="8" t="s">
        <v>88</v>
      </c>
      <c r="Q427" s="8" t="s">
        <v>298</v>
      </c>
      <c r="R427" s="8" t="s">
        <v>88</v>
      </c>
      <c r="S427" s="8" t="s">
        <v>105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row>
    <row r="428" spans="1:41"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IF($F428="","",$F428+90-TODAY())</f>
        <v>-39</v>
      </c>
      <c r="N428" s="11">
        <f ca="1">IF($C428="","",$C428+365-TODAY())</f>
        <v>298</v>
      </c>
      <c r="O428" s="9">
        <v>46244</v>
      </c>
      <c r="P428" s="8" t="s">
        <v>88</v>
      </c>
      <c r="Q428" s="8" t="s">
        <v>298</v>
      </c>
      <c r="R428" s="8" t="s">
        <v>88</v>
      </c>
      <c r="S428" s="8" t="s">
        <v>105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row>
    <row r="429" spans="1:41"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row>
    <row r="430" spans="1:41" x14ac:dyDescent="0.25">
      <c r="A430" s="5" t="str">
        <f>IFERROR(IF(INDEX([6]US!$A$2:$A$22,MATCH($D430,[6]US!$D$2:$D$22,0))="","",INDEX([6]US!$A$2:$A$22,MATCH($D430,[6]US!$D$2:$D$22,0))),"")</f>
        <v>Finalized</v>
      </c>
      <c r="B430" s="5" t="str">
        <f>IFERROR(IF(INDEX([6]US!$B$2:$B$22,MATCH($D430,[6]US!$D$2:$D$22,0))="","",INDEX([6]US!$B$2:$B$22,MATCH($D430,[6]US!$D$2:$D$22,0))),"")</f>
        <v>PAID - Delete 93923 that's bundling, and resubmitted -  93923 billed on claim 568263929</v>
      </c>
      <c r="C430" s="6">
        <f>IFERROR(IF(INDEX([6]US!$C$2:$C$22,MATCH($D430,[6]US!$D$2:$D$22,0))="","",INDEX([6]US!$C$2:$C$22,MATCH($D430,[6]US!$D$2:$D$22,0))),"")</f>
        <v>46198</v>
      </c>
      <c r="D430" s="7">
        <v>568262814</v>
      </c>
      <c r="E430" s="8" t="s">
        <v>1577</v>
      </c>
      <c r="F430" s="9">
        <v>46184</v>
      </c>
      <c r="G430" s="8" t="s">
        <v>157</v>
      </c>
      <c r="H430" s="8" t="s">
        <v>157</v>
      </c>
      <c r="I430" s="8" t="s">
        <v>70</v>
      </c>
      <c r="J430" s="8" t="s">
        <v>619</v>
      </c>
      <c r="K430" s="6">
        <f>IFERROR(IF(INDEX([6]US!$K$2:$K$22,MATCH($D430,[6]US!$D$2:$D$22,0))="","",INDEX([6]US!$K$2:$K$22,MATCH($D430,[6]US!$D$2:$D$22,0))),"")</f>
        <v>46261</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row>
    <row r="431" spans="1:41"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row>
    <row r="432" spans="1:41"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row>
    <row r="433" spans="1:41"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row>
    <row r="434" spans="1:41"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row>
    <row r="435" spans="1:41"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row>
    <row r="436" spans="1:41"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row>
    <row r="437" spans="1:41"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row>
    <row r="438" spans="1:41"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f ca="1">IF($O438="","",$O438-TODAY())</f>
        <v>-135</v>
      </c>
      <c r="M438" s="11">
        <f ca="1">IF($C438="","",$C438+365-TODAY())</f>
        <v>224</v>
      </c>
      <c r="N438" s="11">
        <f ca="1">IF($C438="","",$C438+365-TODAY())</f>
        <v>224</v>
      </c>
      <c r="O438" s="9">
        <v>46148</v>
      </c>
      <c r="P438" s="8" t="s">
        <v>88</v>
      </c>
      <c r="Q438" s="8" t="s">
        <v>1607</v>
      </c>
      <c r="R438" s="8" t="s">
        <v>90</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row>
    <row r="439" spans="1:41"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row>
    <row r="440" spans="1:41"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row>
    <row r="441" spans="1:41"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row>
    <row r="442" spans="1:41" x14ac:dyDescent="0.25">
      <c r="A442" s="5" t="str">
        <f>IFERROR(IF(INDEX([2]GAE!$A$2:$A$4,MATCH($D442,[2]GAE!$D$2:$D$4,0))="","",INDEX([2]GAE!$A$2:$A$4,MATCH($D442,[2]GAE!$D$2:$D$4,0))),"")</f>
        <v>Under Review</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row>
    <row r="443" spans="1:41"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row>
    <row r="444" spans="1:41" x14ac:dyDescent="0.25">
      <c r="A444" s="5" t="str">
        <f>IFERROR(IF(INDEX([2]US!$A$2:$A$15,MATCH($D444,[2]US!$D$2:$D$15,0))="","",INDEX([2]US!$A$2:$A$15,MATCH($D444,[2]US!$D$2:$D$15,0))),"")</f>
        <v>Denied</v>
      </c>
      <c r="B444" s="5" t="str">
        <f>IFERROR(IF(INDEX([2]US!$B$2:$B$15,MATCH($D444,[2]US!$D$2:$D$15,0))="","",INDEX([2]US!$B$2:$B$15,MATCH($D444,[2]US!$D$2:$D$15,0))),"")</f>
        <v>Corrected cpt codes, added code 7, and resubmitted</v>
      </c>
      <c r="C444" s="6">
        <f>IFERROR(IF(INDEX([2]US!$C$2:$C$15,MATCH($D444,[2]US!$D$2:$D$15,0))="","",INDEX([2]US!$C$2:$C$15,MATCH($D444,[2]US!$D$2:$D$15,0))),"")</f>
        <v>46146</v>
      </c>
      <c r="D444" s="7">
        <v>571612561</v>
      </c>
      <c r="E444" s="8" t="s">
        <v>1621</v>
      </c>
      <c r="F444" s="9">
        <v>46098</v>
      </c>
      <c r="G444" s="8" t="s">
        <v>1605</v>
      </c>
      <c r="H444" s="8" t="s">
        <v>1605</v>
      </c>
      <c r="I444" s="8" t="s">
        <v>70</v>
      </c>
      <c r="J444" s="8" t="s">
        <v>184</v>
      </c>
      <c r="K444" s="6">
        <f>IFERROR(IF(INDEX([2]US!$K$2:$K$15,MATCH($D444,[2]US!$D$2:$D$15,0))="","",INDEX([2]US!$K$2:$K$15,MATCH($D444,[2]US!$D$2:$D$15,0))),"")</f>
        <v>46278</v>
      </c>
      <c r="L444" s="11">
        <f ca="1">IF($O444="","",$O444-TODAY())</f>
        <v>-95</v>
      </c>
      <c r="M444" s="11">
        <f ca="1">IF($C444="","",$C444+365-TODAY())</f>
        <v>228</v>
      </c>
      <c r="N444" s="11">
        <f ca="1">IF($C444="","",$C444+365-TODAY())</f>
        <v>228</v>
      </c>
      <c r="O444" s="9">
        <v>46188</v>
      </c>
      <c r="P444" s="8" t="s">
        <v>88</v>
      </c>
      <c r="Q444" s="8" t="s">
        <v>1607</v>
      </c>
      <c r="R444" s="8" t="s">
        <v>90</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row>
    <row r="445" spans="1:41"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row>
    <row r="446" spans="1:41"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row>
    <row r="447" spans="1:41" x14ac:dyDescent="0.25">
      <c r="A447" s="5" t="str">
        <f>IFERROR(IF(INDEX([4]ORTHO!$A$2:$A$21,MATCH($D447,[4]ORTHO!$D$2:$D$21,0))="","",INDEX([4]ORTHO!$A$2:$A$21,MATCH($D447,[4]ORTHO!$D$2:$D$21,0))),"")</f>
        <v>Under Review</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row>
    <row r="448" spans="1:41" x14ac:dyDescent="0.25">
      <c r="A448" s="5" t="str">
        <f>IFERROR(IF(INDEX([4]BH!$A$2:$A$12,MATCH($D448,[4]BH!$D$2:$D$12,0))="","",INDEX([4]BH!$A$2:$A$12,MATCH($D448,[4]BH!$D$2:$D$12,0))),"")</f>
        <v>Under Review</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row>
    <row r="449" spans="1:41" x14ac:dyDescent="0.25">
      <c r="A449" s="5" t="str">
        <f>IFERROR(IF(INDEX([4]ORTHO!$A$2:$A$21,MATCH($D449,[4]ORTHO!$D$2:$D$21,0))="","",INDEX([4]ORTHO!$A$2:$A$21,MATCH($D449,[4]ORTHO!$D$2:$D$21,0))),"")</f>
        <v>Under Review</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row>
    <row r="450" spans="1:41"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row>
    <row r="451" spans="1:41" x14ac:dyDescent="0.25">
      <c r="A451" s="5" t="str">
        <f>IFERROR(IF(INDEX([4]DME!$A$2:$A$34,MATCH($D451,[4]DME!$D$2:$D$34,0))="","",INDEX([4]DME!$A$2:$A$34,MATCH($D451,[4]DME!$D$2:$D$34,0))),"")</f>
        <v>Under Review</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row>
    <row r="452" spans="1:41" x14ac:dyDescent="0.25">
      <c r="A452" s="5" t="str">
        <f>IFERROR(IF(INDEX([4]DME!$A$2:$A$34,MATCH($D452,[4]DME!$D$2:$D$34,0))="","",INDEX([4]DME!$A$2:$A$34,MATCH($D452,[4]DME!$D$2:$D$34,0))),"")</f>
        <v>Under Review</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row>
    <row r="453" spans="1:41" x14ac:dyDescent="0.25">
      <c r="A453" s="5" t="str">
        <f>IFERROR(IF(INDEX([4]US!$A$2:$A$23,MATCH($D453,[4]US!$D$2:$D$23,0))="","",INDEX([4]US!$A$2:$A$23,MATCH($D453,[4]US!$D$2:$D$23,0))),"")</f>
        <v>Under Review</v>
      </c>
      <c r="B453" s="5" t="str">
        <f>IFERROR(IF(INDEX([4]US!$B$2:$B$23,MATCH($D453,[4]US!$D$2:$D$23,0))="","",INDEX([4]US!$B$2:$B$23,MATCH($D453,[4]US!$D$2:$D$23,0))),"")</f>
        <v xml:space="preserve">Waiting for Bri's reply - Juan sent MR to me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row>
    <row r="454" spans="1:41" x14ac:dyDescent="0.25">
      <c r="A454" s="5" t="str">
        <f>IFERROR(IF(INDEX([4]BH!$A$2:$A$12,MATCH($D454,[4]BH!$D$2:$D$12,0))="","",INDEX([4]BH!$A$2:$A$12,MATCH($D454,[4]BH!$D$2:$D$12,0))),"")</f>
        <v>Under Review</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row>
    <row r="455" spans="1:41"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row>
    <row r="456" spans="1:41"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row>
    <row r="457" spans="1:41"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row>
    <row r="458" spans="1:41"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row>
    <row r="459" spans="1:41"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f ca="1">IF($O459="","",$O459-TODAY())</f>
        <v>-44</v>
      </c>
      <c r="M459" s="11">
        <f ca="1">IF($C459="","",$C459+365-TODAY())</f>
        <v>318</v>
      </c>
      <c r="N459" s="11">
        <f ca="1">IF($C459="","",$C459+365-TODAY())</f>
        <v>318</v>
      </c>
      <c r="O459" s="9">
        <v>46239</v>
      </c>
      <c r="P459" s="8" t="s">
        <v>88</v>
      </c>
      <c r="Q459" s="8" t="s">
        <v>1607</v>
      </c>
      <c r="R459" s="8" t="s">
        <v>90</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row>
    <row r="460" spans="1:41"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row>
    <row r="461" spans="1:41"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row>
    <row r="462" spans="1:41"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row>
    <row r="463" spans="1:41"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row>
    <row r="464" spans="1:41"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row>
    <row r="465" spans="1:41"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row>
    <row r="466" spans="1:41" x14ac:dyDescent="0.25">
      <c r="A466" s="5" t="str">
        <f>IFERROR(IF(INDEX([5]BH!$A$2:$A$33,MATCH($D466,[5]BH!$D$2:$D$33,0))="","",INDEX([5]BH!$A$2:$A$33,MATCH($D466,[5]BH!$D$2:$D$33,0))),"")</f>
        <v>Under Review</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row>
    <row r="467" spans="1:41"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row>
    <row r="468" spans="1:41"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row>
    <row r="469" spans="1:41"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row>
    <row r="470" spans="1:41" x14ac:dyDescent="0.25">
      <c r="A470" s="5" t="str">
        <f>IFERROR(IF(INDEX([6]DME!$A$2:$A$52,MATCH($D470,[6]DME!$D$2:$D$52,0))="","",INDEX([6]DME!$A$2:$A$52,MATCH($D470,[6]DME!$D$2:$D$52,0))),"")</f>
        <v>Under Review</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row>
    <row r="471" spans="1:41" x14ac:dyDescent="0.25">
      <c r="A471" s="5" t="str">
        <f>IFERROR(IF(INDEX([6]US!$A$2:$A$22,MATCH($D471,[6]US!$D$2:$D$22,0))="","",INDEX([6]US!$A$2:$A$22,MATCH($D471,[6]US!$D$2:$D$22,0))),"")</f>
        <v>Pending</v>
      </c>
      <c r="B471" s="5" t="str">
        <f>IFERROR(IF(INDEX([6]US!$B$2:$B$22,MATCH($D471,[6]US!$D$2:$D$22,0))="","",INDEX([6]US!$B$2:$B$22,MATCH($D471,[6]US!$D$2:$D$22,0))),"")</f>
        <v xml:space="preserve">Resubmitted to Optum - The claim was denied due to missrouted claim - Claim was initially submitted to SCAN Health Plan </v>
      </c>
      <c r="C471" s="6" t="str">
        <f>IFERROR(IF(INDEX([6]US!$C$2:$C$22,MATCH($D471,[6]US!$D$2:$D$22,0))="","",INDEX([6]US!$C$2:$C$22,MATCH($D471,[6]US!$D$2:$D$22,0))),"")</f>
        <v/>
      </c>
      <c r="D471" s="7">
        <v>571160597</v>
      </c>
      <c r="E471" s="8" t="s">
        <v>1695</v>
      </c>
      <c r="F471" s="9">
        <v>46182</v>
      </c>
      <c r="G471" s="8" t="s">
        <v>112</v>
      </c>
      <c r="H471" s="8" t="s">
        <v>112</v>
      </c>
      <c r="I471" s="8" t="s">
        <v>70</v>
      </c>
      <c r="J471" s="8" t="s">
        <v>242</v>
      </c>
      <c r="K471" s="6">
        <f>IFERROR(IF(INDEX([6]US!$K$2:$K$22,MATCH($D471,[6]US!$D$2:$D$22,0))="","",INDEX([6]US!$K$2:$K$22,MATCH($D471,[6]US!$D$2:$D$22,0))),"")</f>
        <v>46273</v>
      </c>
      <c r="L471" s="11">
        <f ca="1">IF($O471="","",$O471-TODAY())</f>
        <v>-11</v>
      </c>
      <c r="M471" s="11" t="str">
        <f ca="1">IF($C471="","",$C471+365-TODAY())</f>
        <v/>
      </c>
      <c r="N471" s="11" t="str">
        <f ca="1">IF($C471="","",$C471+365-TODAY())</f>
        <v/>
      </c>
      <c r="O471" s="9">
        <v>46272</v>
      </c>
      <c r="P471" s="8" t="s">
        <v>88</v>
      </c>
      <c r="Q471" s="8" t="s">
        <v>115</v>
      </c>
      <c r="R471" s="8" t="s">
        <v>90</v>
      </c>
      <c r="S471" s="8" t="s">
        <v>75</v>
      </c>
      <c r="T471" s="8" t="s">
        <v>90</v>
      </c>
      <c r="U471" s="8" t="s">
        <v>75</v>
      </c>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row>
    <row r="473" spans="1:41"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row>
    <row r="474" spans="1:41"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row>
    <row r="475" spans="1:41"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112</v>
      </c>
      <c r="H475" s="8" t="s">
        <v>112</v>
      </c>
      <c r="I475" s="8" t="s">
        <v>211</v>
      </c>
      <c r="J475" s="8" t="s">
        <v>212</v>
      </c>
      <c r="K475" s="6">
        <f>IFERROR(IF(INDEX([6]BH!$K$2:$K$82,MATCH($D475,[6]BH!$D$2:$D$82,0))="","",INDEX([6]BH!$K$2:$K$82,MATCH($D475,[6]BH!$D$2:$D$82,0))),"")</f>
        <v>46277</v>
      </c>
      <c r="L475" s="11">
        <f ca="1">IF($O475="","",$O475-TODAY())</f>
        <v>-3</v>
      </c>
      <c r="M475" s="11" t="str">
        <f ca="1">IF($C475="","",$C475+365-TODAY())</f>
        <v/>
      </c>
      <c r="N475" s="11" t="str">
        <f ca="1">IF($C475="","",$C475+365-TODAY())</f>
        <v/>
      </c>
      <c r="O475" s="9">
        <v>46280</v>
      </c>
      <c r="P475" s="8" t="s">
        <v>88</v>
      </c>
      <c r="Q475" s="8" t="s">
        <v>115</v>
      </c>
      <c r="R475" s="8" t="s">
        <v>90</v>
      </c>
      <c r="S475" s="8" t="s">
        <v>75</v>
      </c>
      <c r="T475" s="8" t="s">
        <v>90</v>
      </c>
      <c r="U475" s="8" t="s">
        <v>75</v>
      </c>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row>
    <row r="476" spans="1:41"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row>
    <row r="477" spans="1:41"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row>
    <row r="478" spans="1:41"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row>
    <row r="479" spans="1:41" x14ac:dyDescent="0.25">
      <c r="A479" s="5" t="str">
        <f>IFERROR(IF(INDEX([6]ORTHO!$A$2:$A$39,MATCH($D479,[6]ORTHO!$D$2:$D$39,0))="","",INDEX([6]ORTHO!$A$2:$A$39,MATCH($D479,[6]ORTHO!$D$2:$D$39,0))),"")</f>
        <v>Under Review</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row>
    <row r="480" spans="1:41" x14ac:dyDescent="0.25">
      <c r="A480" s="5" t="str">
        <f>IFERROR(IF(INDEX([6]DME!$A$2:$A$52,MATCH($D480,[6]DME!$D$2:$D$52,0))="","",INDEX([6]DME!$A$2:$A$52,MATCH($D480,[6]DME!$D$2:$D$52,0))),"")</f>
        <v>Under Review</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row>
    <row r="481" spans="1:41"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row>
    <row r="482" spans="1:41"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row>
    <row r="483" spans="1:41"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row>
  </sheetData>
  <autoFilter ref="A1:AO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