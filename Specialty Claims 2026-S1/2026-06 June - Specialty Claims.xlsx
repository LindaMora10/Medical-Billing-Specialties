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<sst xmlns="http://schemas.openxmlformats.org/spreadsheetml/2006/main" count="4276" uniqueCount="915">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</sst>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2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t="s">
        <v>78</v>
      </c>
      <c r="B2" s="13" t="s">
        <v>79</v>
      </c>
      <c r="C2" s="3">
        <v>46231</v>
      </c>
      <c r="D2" s="4">
        <v>570976486</v>
      </c>
      <c r="E2" s="5" t="s">
        <v>80</v>
      </c>
      <c r="F2" s="6">
        <v>46182</v>
      </c>
      <c r="G2" s="5" t="s">
        <v>81</v>
      </c>
      <c r="H2" s="5" t="s">
        <v>81</v>
      </c>
      <c r="I2" s="5" t="s">
        <v>45</v>
      </c>
      <c r="J2" s="5" t="s">
        <v>82</v>
      </c>
      <c r="K2" s="3">
        <v>46270</v>
      </c>
      <c r="L2" s="11">
        <f ca="1">IF($O2="","",$O2-TODAY())</f>
        <v>-11</v>
      </c>
      <c r="M2" s="11">
        <f ca="1">IF($C2="","",$C2+365-TODAY())</f>
        <v>313</v>
      </c>
      <c r="N2" s="11">
        <f ca="1">IF($C2="","",$C2+365-TODAY())</f>
        <v>313</v>
      </c>
      <c r="O2" s="6">
        <v>46272</v>
      </c>
      <c r="P2" s="5" t="s">
        <v>47</v>
      </c>
      <c r="Q2" s="5" t="s">
        <v>83</v>
      </c>
      <c r="R2" s="5" t="s">
        <v>51</v>
      </c>
      <c r="S2" s="5" t="s">
        <v>50</v>
      </c>
      <c r="T2" s="5" t="s">
        <v>51</v>
      </c>
      <c r="U2" s="5" t="s">
        <v>50</v>
      </c>
      <c r="V2" s="5"/>
      <c r="W2" s="5"/>
      <c r="X2" s="5"/>
      <c r="Y2" s="5" t="s">
        <v>52</v>
      </c>
      <c r="Z2" s="7">
        <v>1372.91</v>
      </c>
      <c r="AA2" s="7">
        <v>0</v>
      </c>
      <c r="AB2" s="7">
        <v>0</v>
      </c>
      <c r="AC2" s="6"/>
      <c r="AD2" s="7">
        <v>1372.91</v>
      </c>
      <c r="AE2" s="4">
        <v>60</v>
      </c>
      <c r="AF2" s="5" t="s">
        <v>84</v>
      </c>
      <c r="AG2" s="5"/>
      <c r="AH2" s="5"/>
      <c r="AI2" s="5"/>
      <c r="AJ2" s="4"/>
      <c r="AK2" s="5" t="s">
        <v>85</v>
      </c>
      <c r="AL2" s="5" t="s">
        <v>56</v>
      </c>
      <c r="AM2" s="6">
        <v>46217</v>
      </c>
      <c r="AN2" s="5" t="s">
        <v>57</v>
      </c>
      <c r="AO2" s="5" t="s">
        <v>86</v>
      </c>
    </row>
    <row r="3" spans="1:41" x14ac:dyDescent="0.25">
      <c r="A3" s="2" t="s">
        <v>78</v>
      </c>
      <c r="B3" s="13" t="s">
        <v>94</v>
      </c>
      <c r="C3" s="3">
        <v>46220</v>
      </c>
      <c r="D3" s="4">
        <v>571031540</v>
      </c>
      <c r="E3" s="5" t="s">
        <v>95</v>
      </c>
      <c r="F3" s="6">
        <v>46183</v>
      </c>
      <c r="G3" s="5" t="s">
        <v>44</v>
      </c>
      <c r="H3" s="5" t="s">
        <v>44</v>
      </c>
      <c r="I3" s="5" t="s">
        <v>45</v>
      </c>
      <c r="J3" s="5" t="s">
        <v>82</v>
      </c>
      <c r="K3" s="3">
        <v>46272</v>
      </c>
      <c r="L3" s="11">
        <f ca="1">IF($O3="","",$O3-TODAY())</f>
        <v>-10</v>
      </c>
      <c r="M3" s="11">
        <f ca="1">IF($C3="","",$C3+180-TODAY())</f>
        <v>117</v>
      </c>
      <c r="N3" s="11">
        <f ca="1">IF($C3="","",$C3+365-TODAY())</f>
        <v>302</v>
      </c>
      <c r="O3" s="6">
        <v>46273</v>
      </c>
      <c r="P3" s="5" t="s">
        <v>47</v>
      </c>
      <c r="Q3" s="5" t="s">
        <v>48</v>
      </c>
      <c r="R3" s="5" t="s">
        <v>49</v>
      </c>
      <c r="S3" s="5" t="s">
        <v>50</v>
      </c>
      <c r="T3" s="5" t="s">
        <v>51</v>
      </c>
      <c r="U3" s="5" t="s">
        <v>50</v>
      </c>
      <c r="V3" s="5"/>
      <c r="W3" s="5"/>
      <c r="X3" s="5"/>
      <c r="Y3" s="5" t="s">
        <v>52</v>
      </c>
      <c r="Z3" s="7">
        <v>1372.91</v>
      </c>
      <c r="AA3" s="7">
        <v>0</v>
      </c>
      <c r="AB3" s="7">
        <v>0</v>
      </c>
      <c r="AC3" s="6">
        <v>46224</v>
      </c>
      <c r="AD3" s="7">
        <v>1372.91</v>
      </c>
      <c r="AE3" s="4">
        <v>59</v>
      </c>
      <c r="AF3" s="5" t="s">
        <v>96</v>
      </c>
      <c r="AG3" s="5"/>
      <c r="AH3" s="5"/>
      <c r="AI3" s="5"/>
      <c r="AJ3" s="4"/>
      <c r="AK3" s="5" t="s">
        <v>97</v>
      </c>
      <c r="AL3" s="5" t="s">
        <v>72</v>
      </c>
      <c r="AM3" s="6">
        <v>46217</v>
      </c>
      <c r="AN3" s="5" t="s">
        <v>57</v>
      </c>
      <c r="AO3" s="5" t="s">
        <v>98</v>
      </c>
    </row>
    <row r="4" spans="1:41" x14ac:dyDescent="0.25">
      <c r="A4" s="2" t="s">
        <v>78</v>
      </c>
      <c r="B4" s="13" t="s">
        <v>115</v>
      </c>
      <c r="C4" s="3">
        <v>46240</v>
      </c>
      <c r="D4" s="4">
        <v>562510277</v>
      </c>
      <c r="E4" s="5" t="s">
        <v>116</v>
      </c>
      <c r="F4" s="6">
        <v>46189</v>
      </c>
      <c r="G4" s="5" t="s">
        <v>44</v>
      </c>
      <c r="H4" s="5" t="s">
        <v>44</v>
      </c>
      <c r="I4" s="5" t="s">
        <v>45</v>
      </c>
      <c r="J4" s="5" t="s">
        <v>117</v>
      </c>
      <c r="K4" s="3"/>
      <c r="L4" s="11">
        <f ca="1">IF($O4="","",$O4-TODAY())</f>
        <v>-4</v>
      </c>
      <c r="M4" s="11">
        <f ca="1">IF($C4="","",$C4+180-TODAY())</f>
        <v>137</v>
      </c>
      <c r="N4" s="11">
        <f ca="1">IF($C4="","",$C4+365-TODAY())</f>
        <v>322</v>
      </c>
      <c r="O4" s="6">
        <v>46279</v>
      </c>
      <c r="P4" s="5" t="s">
        <v>47</v>
      </c>
      <c r="Q4" s="5" t="s">
        <v>48</v>
      </c>
      <c r="R4" s="5" t="s">
        <v>49</v>
      </c>
      <c r="S4" s="5" t="s">
        <v>50</v>
      </c>
      <c r="T4" s="5" t="s">
        <v>51</v>
      </c>
      <c r="U4" s="5" t="s">
        <v>50</v>
      </c>
      <c r="V4" s="5"/>
      <c r="W4" s="5"/>
      <c r="X4" s="5"/>
      <c r="Y4" s="5" t="s">
        <v>52</v>
      </c>
      <c r="Z4" s="7">
        <v>294.42</v>
      </c>
      <c r="AA4" s="7">
        <v>0</v>
      </c>
      <c r="AB4" s="7">
        <v>0</v>
      </c>
      <c r="AC4" s="6"/>
      <c r="AD4" s="7">
        <v>294.42</v>
      </c>
      <c r="AE4" s="4">
        <v>53</v>
      </c>
      <c r="AF4" s="5" t="s">
        <v>118</v>
      </c>
      <c r="AG4" s="5" t="s">
        <v>119</v>
      </c>
      <c r="AH4" s="5"/>
      <c r="AI4" s="5"/>
      <c r="AJ4" s="4"/>
      <c r="AK4" s="5" t="s">
        <v>120</v>
      </c>
      <c r="AL4" s="5" t="s">
        <v>121</v>
      </c>
      <c r="AM4" s="6">
        <v>46233</v>
      </c>
      <c r="AN4" s="5" t="s">
        <v>57</v>
      </c>
      <c r="AO4" s="5" t="s">
        <v>122</v>
      </c>
    </row>
    <row r="5" spans="1:41" x14ac:dyDescent="0.25">
      <c r="A5" s="2" t="s">
        <v>127</v>
      </c>
      <c r="B5" s="2" t="s">
        <v>128</v>
      </c>
      <c r="C5" s="3"/>
      <c r="D5" s="4">
        <v>562803289</v>
      </c>
      <c r="E5" s="5" t="s">
        <v>129</v>
      </c>
      <c r="F5" s="6">
        <v>46191</v>
      </c>
      <c r="G5" s="5" t="s">
        <v>130</v>
      </c>
      <c r="H5" s="5" t="s">
        <v>130</v>
      </c>
      <c r="I5" s="5" t="s">
        <v>45</v>
      </c>
      <c r="J5" s="5" t="s">
        <v>60</v>
      </c>
      <c r="K5" s="3">
        <v>46272</v>
      </c>
      <c r="L5" s="11">
        <f ca="1">IF($O5="","",$O5-TODAY())</f>
        <v>-2</v>
      </c>
      <c r="M5" s="11" t="str">
        <f ca="1">IF($C5="","",$C5+180-TODAY())</f>
        <v/>
      </c>
      <c r="N5" s="11" t="str">
        <f ca="1">IF($C5="","",$C5+365-TODAY())</f>
        <v/>
      </c>
      <c r="O5" s="6">
        <v>46281</v>
      </c>
      <c r="P5" s="5" t="s">
        <v>47</v>
      </c>
      <c r="Q5" s="5" t="s">
        <v>131</v>
      </c>
      <c r="R5" s="5" t="s">
        <v>49</v>
      </c>
      <c r="S5" s="5" t="s">
        <v>50</v>
      </c>
      <c r="T5" s="5" t="s">
        <v>51</v>
      </c>
      <c r="U5" s="5" t="s">
        <v>50</v>
      </c>
      <c r="V5" s="5"/>
      <c r="W5" s="5"/>
      <c r="X5" s="5"/>
      <c r="Y5" s="5" t="s">
        <v>52</v>
      </c>
      <c r="Z5" s="7">
        <v>1426.25</v>
      </c>
      <c r="AA5" s="7">
        <v>0</v>
      </c>
      <c r="AB5" s="7">
        <v>0</v>
      </c>
      <c r="AC5" s="6"/>
      <c r="AD5" s="7">
        <v>1426.25</v>
      </c>
      <c r="AE5" s="4">
        <v>51</v>
      </c>
      <c r="AF5" s="5" t="s">
        <v>71</v>
      </c>
      <c r="AG5" s="5"/>
      <c r="AH5" s="5"/>
      <c r="AI5" s="5"/>
      <c r="AJ5" s="4"/>
      <c r="AK5" s="5" t="s">
        <v>132</v>
      </c>
      <c r="AL5" s="5" t="s">
        <v>133</v>
      </c>
      <c r="AM5" s="6">
        <v>46217</v>
      </c>
      <c r="AN5" s="5" t="s">
        <v>57</v>
      </c>
      <c r="AO5" s="5" t="s">
        <v>134</v>
      </c>
    </row>
    <row r="6" spans="1:41" x14ac:dyDescent="0.25">
      <c r="A6" s="2" t="s">
        <v>41</v>
      </c>
      <c r="B6" s="13" t="s">
        <v>911</v>
      </c>
      <c r="C6" s="3">
        <v>46238</v>
      </c>
      <c r="D6" s="4">
        <v>563023433</v>
      </c>
      <c r="E6" s="5" t="s">
        <v>135</v>
      </c>
      <c r="F6" s="6">
        <v>46195</v>
      </c>
      <c r="G6" s="5" t="s">
        <v>136</v>
      </c>
      <c r="H6" s="5" t="s">
        <v>136</v>
      </c>
      <c r="I6" s="5" t="s">
        <v>45</v>
      </c>
      <c r="J6" s="5" t="s">
        <v>117</v>
      </c>
      <c r="K6" s="3">
        <v>46283</v>
      </c>
      <c r="L6" s="11">
        <f ca="1">IF($O6="","",$O6-TODAY())</f>
        <v>2</v>
      </c>
      <c r="M6" s="11">
        <f ca="1">IF($C6="","",$C6+365-TODAY())</f>
        <v>320</v>
      </c>
      <c r="N6" s="11">
        <f ca="1">IF($C6="","",$C6+365-TODAY())</f>
        <v>320</v>
      </c>
      <c r="O6" s="6">
        <v>46285</v>
      </c>
      <c r="P6" s="5" t="s">
        <v>47</v>
      </c>
      <c r="Q6" s="5" t="s">
        <v>137</v>
      </c>
      <c r="R6" s="5" t="s">
        <v>51</v>
      </c>
      <c r="S6" s="5" t="s">
        <v>50</v>
      </c>
      <c r="T6" s="5" t="s">
        <v>51</v>
      </c>
      <c r="U6" s="5" t="s">
        <v>50</v>
      </c>
      <c r="V6" s="5"/>
      <c r="W6" s="5"/>
      <c r="X6" s="5"/>
      <c r="Y6" s="5" t="s">
        <v>52</v>
      </c>
      <c r="Z6" s="7">
        <v>294.42</v>
      </c>
      <c r="AA6" s="7">
        <v>0</v>
      </c>
      <c r="AB6" s="7">
        <v>0</v>
      </c>
      <c r="AC6" s="6"/>
      <c r="AD6" s="7">
        <v>294.42</v>
      </c>
      <c r="AE6" s="4">
        <v>47</v>
      </c>
      <c r="AF6" s="5" t="s">
        <v>118</v>
      </c>
      <c r="AG6" s="5" t="s">
        <v>119</v>
      </c>
      <c r="AH6" s="5"/>
      <c r="AI6" s="5"/>
      <c r="AJ6" s="4"/>
      <c r="AK6" s="5" t="s">
        <v>120</v>
      </c>
      <c r="AL6" s="5" t="s">
        <v>121</v>
      </c>
      <c r="AM6" s="6">
        <v>46234</v>
      </c>
      <c r="AN6" s="5" t="s">
        <v>57</v>
      </c>
      <c r="AO6" s="5" t="s">
        <v>138</v>
      </c>
    </row>
    <row r="7" spans="1:41" x14ac:dyDescent="0.25">
      <c r="A7" s="2" t="s">
        <v>127</v>
      </c>
      <c r="B7" s="2" t="s">
        <v>903</v>
      </c>
      <c r="C7" s="3"/>
      <c r="D7" s="4">
        <v>563477944</v>
      </c>
      <c r="E7" s="5" t="s">
        <v>143</v>
      </c>
      <c r="F7" s="6">
        <v>46198</v>
      </c>
      <c r="G7" s="5" t="s">
        <v>130</v>
      </c>
      <c r="H7" s="5" t="s">
        <v>130</v>
      </c>
      <c r="I7" s="5" t="s">
        <v>45</v>
      </c>
      <c r="J7" s="5" t="s">
        <v>60</v>
      </c>
      <c r="K7" s="3">
        <v>46283</v>
      </c>
      <c r="L7" s="11">
        <f ca="1">IF($O7="","",$O7-TODAY())</f>
        <v>5</v>
      </c>
      <c r="M7" s="11" t="str">
        <f ca="1">IF($C7="","",$C7+180-TODAY())</f>
        <v/>
      </c>
      <c r="N7" s="11" t="str">
        <f ca="1">IF($C7="","",$C7+365-TODAY())</f>
        <v/>
      </c>
      <c r="O7" s="6">
        <v>46288</v>
      </c>
      <c r="P7" s="5" t="s">
        <v>47</v>
      </c>
      <c r="Q7" s="5" t="s">
        <v>131</v>
      </c>
      <c r="R7" s="5" t="s">
        <v>49</v>
      </c>
      <c r="S7" s="5" t="s">
        <v>50</v>
      </c>
      <c r="T7" s="5" t="s">
        <v>51</v>
      </c>
      <c r="U7" s="5" t="s">
        <v>50</v>
      </c>
      <c r="V7" s="5"/>
      <c r="W7" s="5"/>
      <c r="X7" s="5"/>
      <c r="Y7" s="5" t="s">
        <v>52</v>
      </c>
      <c r="Z7" s="7">
        <v>1426.25</v>
      </c>
      <c r="AA7" s="7">
        <v>0</v>
      </c>
      <c r="AB7" s="7">
        <v>0</v>
      </c>
      <c r="AC7" s="6"/>
      <c r="AD7" s="7">
        <v>1426.25</v>
      </c>
      <c r="AE7" s="4">
        <v>44</v>
      </c>
      <c r="AF7" s="5" t="s">
        <v>71</v>
      </c>
      <c r="AG7" s="5"/>
      <c r="AH7" s="5"/>
      <c r="AI7" s="5"/>
      <c r="AJ7" s="4"/>
      <c r="AK7" s="5" t="s">
        <v>144</v>
      </c>
      <c r="AL7" s="5" t="s">
        <v>133</v>
      </c>
      <c r="AM7" s="6">
        <v>46217</v>
      </c>
      <c r="AN7" s="5" t="s">
        <v>57</v>
      </c>
      <c r="AO7" s="5" t="s">
        <v>145</v>
      </c>
    </row>
    <row r="8" spans="1:41" x14ac:dyDescent="0.25">
      <c r="A8" s="2"/>
      <c r="B8" s="2"/>
      <c r="C8" s="3"/>
      <c r="D8" s="4">
        <v>561204793</v>
      </c>
      <c r="E8" s="5" t="s">
        <v>169</v>
      </c>
      <c r="F8" s="6">
        <v>46176</v>
      </c>
      <c r="G8" s="5" t="s">
        <v>170</v>
      </c>
      <c r="H8" s="5" t="s">
        <v>170</v>
      </c>
      <c r="I8" s="5" t="s">
        <v>45</v>
      </c>
      <c r="J8" s="5" t="s">
        <v>60</v>
      </c>
      <c r="K8" s="3"/>
      <c r="L8" s="11">
        <f ca="1">IF($O8="","",$O8-TODAY())</f>
        <v>13</v>
      </c>
      <c r="M8" s="11" t="str">
        <f ca="1">IF($C8="","",$C8+365-TODAY())</f>
        <v/>
      </c>
      <c r="N8" s="11" t="str">
        <f ca="1">IF($C8="","",$C8+90-TODAY())</f>
        <v/>
      </c>
      <c r="O8" s="6">
        <v>46296</v>
      </c>
      <c r="P8" s="5" t="s">
        <v>166</v>
      </c>
      <c r="Q8" s="5" t="s">
        <v>171</v>
      </c>
      <c r="R8" s="5" t="s">
        <v>51</v>
      </c>
      <c r="S8" s="5" t="s">
        <v>50</v>
      </c>
      <c r="T8" s="5" t="s">
        <v>47</v>
      </c>
      <c r="U8" s="5" t="s">
        <v>50</v>
      </c>
      <c r="V8" s="5"/>
      <c r="W8" s="5"/>
      <c r="X8" s="5"/>
      <c r="Y8" s="5" t="s">
        <v>52</v>
      </c>
      <c r="Z8" s="7">
        <v>1426.25</v>
      </c>
      <c r="AA8" s="7">
        <v>0</v>
      </c>
      <c r="AB8" s="7">
        <v>0</v>
      </c>
      <c r="AC8" s="6"/>
      <c r="AD8" s="7">
        <v>1426.25</v>
      </c>
      <c r="AE8" s="4">
        <v>66</v>
      </c>
      <c r="AF8" s="5" t="s">
        <v>61</v>
      </c>
      <c r="AG8" s="5"/>
      <c r="AH8" s="5"/>
      <c r="AI8" s="5"/>
      <c r="AJ8" s="4"/>
      <c r="AK8" s="5" t="s">
        <v>85</v>
      </c>
      <c r="AL8" s="5" t="s">
        <v>63</v>
      </c>
      <c r="AM8" s="6">
        <v>46217</v>
      </c>
      <c r="AN8" s="5" t="s">
        <v>57</v>
      </c>
      <c r="AO8" s="5" t="s">
        <v>172</v>
      </c>
    </row>
    <row r="9" spans="1:41" x14ac:dyDescent="0.25">
      <c r="A9" s="2"/>
      <c r="B9" s="2"/>
      <c r="C9" s="3"/>
      <c r="D9" s="4">
        <v>562674720</v>
      </c>
      <c r="E9" s="5" t="s">
        <v>195</v>
      </c>
      <c r="F9" s="6">
        <v>46190</v>
      </c>
      <c r="G9" s="5" t="s">
        <v>165</v>
      </c>
      <c r="H9" s="5" t="s">
        <v>165</v>
      </c>
      <c r="I9" s="5" t="s">
        <v>45</v>
      </c>
      <c r="J9" s="5" t="s">
        <v>46</v>
      </c>
      <c r="K9" s="3"/>
      <c r="L9" s="11">
        <f ca="1">IF($O9="","",$O9-TODAY())</f>
        <v>27</v>
      </c>
      <c r="M9" s="11" t="str">
        <f ca="1">IF($C9="","",$C9+180-TODAY())</f>
        <v/>
      </c>
      <c r="N9" s="11" t="str">
        <f ca="1">IF($C9="","",$C9+180-TODAY())</f>
        <v/>
      </c>
      <c r="O9" s="6">
        <v>46310</v>
      </c>
      <c r="P9" s="5" t="s">
        <v>166</v>
      </c>
      <c r="Q9" s="5" t="s">
        <v>167</v>
      </c>
      <c r="R9" s="5" t="s">
        <v>49</v>
      </c>
      <c r="S9" s="5" t="s">
        <v>50</v>
      </c>
      <c r="T9" s="5" t="s">
        <v>49</v>
      </c>
      <c r="U9" s="5" t="s">
        <v>50</v>
      </c>
      <c r="V9" s="5"/>
      <c r="W9" s="5"/>
      <c r="X9" s="5"/>
      <c r="Y9" s="5" t="s">
        <v>52</v>
      </c>
      <c r="Z9" s="7">
        <v>1426.25</v>
      </c>
      <c r="AA9" s="7">
        <v>0</v>
      </c>
      <c r="AB9" s="7">
        <v>0</v>
      </c>
      <c r="AC9" s="6"/>
      <c r="AD9" s="7">
        <v>1426.25</v>
      </c>
      <c r="AE9" s="4">
        <v>52</v>
      </c>
      <c r="AF9" s="5" t="s">
        <v>61</v>
      </c>
      <c r="AG9" s="5"/>
      <c r="AH9" s="5"/>
      <c r="AI9" s="5"/>
      <c r="AJ9" s="4"/>
      <c r="AK9" s="5" t="s">
        <v>68</v>
      </c>
      <c r="AL9" s="5" t="s">
        <v>63</v>
      </c>
      <c r="AM9" s="6">
        <v>46217</v>
      </c>
      <c r="AN9" s="5" t="s">
        <v>57</v>
      </c>
      <c r="AO9" s="5" t="s">
        <v>196</v>
      </c>
    </row>
    <row r="10" spans="1:41" x14ac:dyDescent="0.25">
      <c r="A10" s="2"/>
      <c r="B10" s="2"/>
      <c r="C10" s="3">
        <v>46225</v>
      </c>
      <c r="D10" s="4">
        <v>561218278</v>
      </c>
      <c r="E10" s="5" t="s">
        <v>211</v>
      </c>
      <c r="F10" s="6">
        <v>46175</v>
      </c>
      <c r="G10" s="5" t="s">
        <v>208</v>
      </c>
      <c r="H10" s="5" t="s">
        <v>208</v>
      </c>
      <c r="I10" s="5" t="s">
        <v>136</v>
      </c>
      <c r="J10" s="5" t="s">
        <v>60</v>
      </c>
      <c r="K10" s="3"/>
      <c r="L10" s="11">
        <f ca="1">IF($O10="","",$O10-TODAY())</f>
        <v>257</v>
      </c>
      <c r="M10" s="11">
        <f ca="1">IF($C10="","",$C10+365-TODAY())</f>
        <v>307</v>
      </c>
      <c r="N10" s="11">
        <f ca="1">IF($C10="","",$C10+120-TODAY())</f>
        <v>62</v>
      </c>
      <c r="O10" s="6">
        <v>46540</v>
      </c>
      <c r="P10" s="5" t="s">
        <v>51</v>
      </c>
      <c r="Q10" s="5" t="s">
        <v>209</v>
      </c>
      <c r="R10" s="5" t="s">
        <v>51</v>
      </c>
      <c r="S10" s="5" t="s">
        <v>50</v>
      </c>
      <c r="T10" s="5" t="s">
        <v>166</v>
      </c>
      <c r="U10" s="5" t="s">
        <v>50</v>
      </c>
      <c r="V10" s="5"/>
      <c r="W10" s="5"/>
      <c r="X10" s="5"/>
      <c r="Y10" s="5" t="s">
        <v>52</v>
      </c>
      <c r="Z10" s="7">
        <v>1426.25</v>
      </c>
      <c r="AA10" s="7">
        <v>0</v>
      </c>
      <c r="AB10" s="7">
        <v>0</v>
      </c>
      <c r="AC10" s="6">
        <v>46225</v>
      </c>
      <c r="AD10" s="7">
        <v>1426.25</v>
      </c>
      <c r="AE10" s="4">
        <v>67</v>
      </c>
      <c r="AF10" s="5" t="s">
        <v>71</v>
      </c>
      <c r="AG10" s="5"/>
      <c r="AH10" s="5"/>
      <c r="AI10" s="5"/>
      <c r="AJ10" s="4"/>
      <c r="AK10" s="5" t="s">
        <v>76</v>
      </c>
      <c r="AL10" s="5" t="s">
        <v>56</v>
      </c>
      <c r="AM10" s="6">
        <v>46217</v>
      </c>
      <c r="AN10" s="5" t="s">
        <v>57</v>
      </c>
      <c r="AO10" s="5" t="s">
        <v>212</v>
      </c>
    </row>
    <row r="11" spans="1:41" x14ac:dyDescent="0.25">
      <c r="A11" s="2"/>
      <c r="B11" s="2"/>
      <c r="C11" s="3">
        <v>46226</v>
      </c>
      <c r="D11" s="4">
        <v>561886342</v>
      </c>
      <c r="E11" s="5" t="s">
        <v>232</v>
      </c>
      <c r="F11" s="6">
        <v>46182</v>
      </c>
      <c r="G11" s="5" t="s">
        <v>208</v>
      </c>
      <c r="H11" s="5" t="s">
        <v>208</v>
      </c>
      <c r="I11" s="5" t="s">
        <v>233</v>
      </c>
      <c r="J11" s="5" t="s">
        <v>46</v>
      </c>
      <c r="K11" s="3"/>
      <c r="L11" s="11">
        <f ca="1">IF($O11="","",$O11-TODAY())</f>
        <v>264</v>
      </c>
      <c r="M11" s="11">
        <f ca="1">IF($C11="","",$C11+365-TODAY())</f>
        <v>308</v>
      </c>
      <c r="N11" s="11">
        <f ca="1">IF($C11="","",$C11+120-TODAY())</f>
        <v>63</v>
      </c>
      <c r="O11" s="6">
        <v>46547</v>
      </c>
      <c r="P11" s="5" t="s">
        <v>51</v>
      </c>
      <c r="Q11" s="5" t="s">
        <v>209</v>
      </c>
      <c r="R11" s="5" t="s">
        <v>51</v>
      </c>
      <c r="S11" s="5" t="s">
        <v>50</v>
      </c>
      <c r="T11" s="5" t="s">
        <v>166</v>
      </c>
      <c r="U11" s="5" t="s">
        <v>50</v>
      </c>
      <c r="V11" s="5"/>
      <c r="W11" s="5"/>
      <c r="X11" s="5"/>
      <c r="Y11" s="5" t="s">
        <v>52</v>
      </c>
      <c r="Z11" s="7">
        <v>1426.25</v>
      </c>
      <c r="AA11" s="7">
        <v>0</v>
      </c>
      <c r="AB11" s="7">
        <v>0</v>
      </c>
      <c r="AC11" s="6">
        <v>46226</v>
      </c>
      <c r="AD11" s="7">
        <v>1426.25</v>
      </c>
      <c r="AE11" s="4">
        <v>60</v>
      </c>
      <c r="AF11" s="5" t="s">
        <v>71</v>
      </c>
      <c r="AG11" s="5"/>
      <c r="AH11" s="5"/>
      <c r="AI11" s="5"/>
      <c r="AJ11" s="4"/>
      <c r="AK11" s="5" t="s">
        <v>92</v>
      </c>
      <c r="AL11" s="5" t="s">
        <v>56</v>
      </c>
      <c r="AM11" s="6">
        <v>46217</v>
      </c>
      <c r="AN11" s="5" t="s">
        <v>57</v>
      </c>
      <c r="AO11" s="5" t="s">
        <v>234</v>
      </c>
    </row>
    <row r="12" spans="1:41" x14ac:dyDescent="0.25">
      <c r="A12" s="2"/>
      <c r="B12" s="2"/>
      <c r="C12" s="3">
        <v>46226</v>
      </c>
      <c r="D12" s="4">
        <v>561898000</v>
      </c>
      <c r="E12" s="5" t="s">
        <v>238</v>
      </c>
      <c r="F12" s="6">
        <v>46183</v>
      </c>
      <c r="G12" s="5" t="s">
        <v>208</v>
      </c>
      <c r="H12" s="5" t="s">
        <v>208</v>
      </c>
      <c r="I12" s="5" t="s">
        <v>136</v>
      </c>
      <c r="J12" s="5" t="s">
        <v>107</v>
      </c>
      <c r="K12" s="3"/>
      <c r="L12" s="11">
        <f ca="1">IF($O12="","",$O12-TODAY())</f>
        <v>265</v>
      </c>
      <c r="M12" s="11">
        <f ca="1">IF($C12="","",$C12+365-TODAY())</f>
        <v>308</v>
      </c>
      <c r="N12" s="11">
        <f ca="1">IF($C12="","",$C12+120-TODAY())</f>
        <v>63</v>
      </c>
      <c r="O12" s="6">
        <v>46548</v>
      </c>
      <c r="P12" s="5" t="s">
        <v>51</v>
      </c>
      <c r="Q12" s="5" t="s">
        <v>209</v>
      </c>
      <c r="R12" s="5" t="s">
        <v>51</v>
      </c>
      <c r="S12" s="5" t="s">
        <v>50</v>
      </c>
      <c r="T12" s="5" t="s">
        <v>166</v>
      </c>
      <c r="U12" s="5" t="s">
        <v>50</v>
      </c>
      <c r="V12" s="5"/>
      <c r="W12" s="5"/>
      <c r="X12" s="5"/>
      <c r="Y12" s="5" t="s">
        <v>52</v>
      </c>
      <c r="Z12" s="7">
        <v>1372.91</v>
      </c>
      <c r="AA12" s="7">
        <v>0</v>
      </c>
      <c r="AB12" s="7">
        <v>0</v>
      </c>
      <c r="AC12" s="6">
        <v>46226</v>
      </c>
      <c r="AD12" s="7">
        <v>1372.91</v>
      </c>
      <c r="AE12" s="4">
        <v>59</v>
      </c>
      <c r="AF12" s="5" t="s">
        <v>185</v>
      </c>
      <c r="AG12" s="5"/>
      <c r="AH12" s="5"/>
      <c r="AI12" s="5"/>
      <c r="AJ12" s="4"/>
      <c r="AK12" s="5" t="s">
        <v>85</v>
      </c>
      <c r="AL12" s="5" t="s">
        <v>63</v>
      </c>
      <c r="AM12" s="6">
        <v>46217</v>
      </c>
      <c r="AN12" s="5" t="s">
        <v>57</v>
      </c>
      <c r="AO12" s="5" t="s">
        <v>239</v>
      </c>
    </row>
    <row r="13" spans="1:41" x14ac:dyDescent="0.25">
      <c r="A13" s="2"/>
      <c r="B13" s="2"/>
      <c r="C13" s="3">
        <v>46225</v>
      </c>
      <c r="D13" s="4">
        <v>562843131</v>
      </c>
      <c r="E13" s="5" t="s">
        <v>251</v>
      </c>
      <c r="F13" s="6">
        <v>46192</v>
      </c>
      <c r="G13" s="5" t="s">
        <v>208</v>
      </c>
      <c r="H13" s="5" t="s">
        <v>208</v>
      </c>
      <c r="I13" s="5" t="s">
        <v>252</v>
      </c>
      <c r="J13" s="5" t="s">
        <v>107</v>
      </c>
      <c r="K13" s="3"/>
      <c r="L13" s="11">
        <f ca="1">IF($O13="","",$O13-TODAY())</f>
        <v>274</v>
      </c>
      <c r="M13" s="11">
        <f ca="1">IF($C13="","",$C13+365-TODAY())</f>
        <v>307</v>
      </c>
      <c r="N13" s="11">
        <f ca="1">IF($C13="","",$C13+120-TODAY())</f>
        <v>62</v>
      </c>
      <c r="O13" s="6">
        <v>46557</v>
      </c>
      <c r="P13" s="5" t="s">
        <v>51</v>
      </c>
      <c r="Q13" s="5" t="s">
        <v>209</v>
      </c>
      <c r="R13" s="5" t="s">
        <v>51</v>
      </c>
      <c r="S13" s="5" t="s">
        <v>50</v>
      </c>
      <c r="T13" s="5" t="s">
        <v>166</v>
      </c>
      <c r="U13" s="5" t="s">
        <v>50</v>
      </c>
      <c r="V13" s="5"/>
      <c r="W13" s="5"/>
      <c r="X13" s="5"/>
      <c r="Y13" s="5" t="s">
        <v>52</v>
      </c>
      <c r="Z13" s="7">
        <v>1372.91</v>
      </c>
      <c r="AA13" s="7">
        <v>0</v>
      </c>
      <c r="AB13" s="7">
        <v>0</v>
      </c>
      <c r="AC13" s="6">
        <v>46225</v>
      </c>
      <c r="AD13" s="7">
        <v>1372.91</v>
      </c>
      <c r="AE13" s="4">
        <v>50</v>
      </c>
      <c r="AF13" s="5" t="s">
        <v>84</v>
      </c>
      <c r="AG13" s="5"/>
      <c r="AH13" s="5"/>
      <c r="AI13" s="5"/>
      <c r="AJ13" s="4"/>
      <c r="AK13" s="5" t="s">
        <v>68</v>
      </c>
      <c r="AL13" s="5" t="s">
        <v>63</v>
      </c>
      <c r="AM13" s="6">
        <v>46217</v>
      </c>
      <c r="AN13" s="5" t="s">
        <v>57</v>
      </c>
      <c r="AO13" s="5" t="s">
        <v>253</v>
      </c>
    </row>
    <row r="14" spans="1:41" x14ac:dyDescent="0.25">
      <c r="A14" s="2"/>
      <c r="B14" s="2"/>
      <c r="C14" s="3"/>
      <c r="D14" s="4">
        <v>563651212</v>
      </c>
      <c r="E14" s="5" t="s">
        <v>269</v>
      </c>
      <c r="F14" s="6">
        <v>46199</v>
      </c>
      <c r="G14" s="5" t="s">
        <v>208</v>
      </c>
      <c r="H14" s="5" t="s">
        <v>208</v>
      </c>
      <c r="I14" s="5" t="s">
        <v>136</v>
      </c>
      <c r="J14" s="5" t="s">
        <v>107</v>
      </c>
      <c r="K14" s="3"/>
      <c r="L14" s="11">
        <f ca="1">IF($O14="","",$O14-TODAY())</f>
        <v>281</v>
      </c>
      <c r="M14" s="11" t="str">
        <f ca="1">IF($C14="","",$C14+365-TODAY())</f>
        <v/>
      </c>
      <c r="N14" s="11" t="str">
        <f ca="1">IF($C14="","",$C14+120-TODAY())</f>
        <v/>
      </c>
      <c r="O14" s="6">
        <v>46564</v>
      </c>
      <c r="P14" s="5" t="s">
        <v>51</v>
      </c>
      <c r="Q14" s="5" t="s">
        <v>209</v>
      </c>
      <c r="R14" s="5" t="s">
        <v>51</v>
      </c>
      <c r="S14" s="5" t="s">
        <v>50</v>
      </c>
      <c r="T14" s="5" t="s">
        <v>166</v>
      </c>
      <c r="U14" s="5" t="s">
        <v>50</v>
      </c>
      <c r="V14" s="5"/>
      <c r="W14" s="5"/>
      <c r="X14" s="5"/>
      <c r="Y14" s="5" t="s">
        <v>52</v>
      </c>
      <c r="Z14" s="7">
        <v>1372.91</v>
      </c>
      <c r="AA14" s="7">
        <v>0</v>
      </c>
      <c r="AB14" s="7">
        <v>0</v>
      </c>
      <c r="AC14" s="6"/>
      <c r="AD14" s="7">
        <v>1372.91</v>
      </c>
      <c r="AE14" s="4">
        <v>43</v>
      </c>
      <c r="AF14" s="5" t="s">
        <v>270</v>
      </c>
      <c r="AG14" s="5"/>
      <c r="AH14" s="5"/>
      <c r="AI14" s="5"/>
      <c r="AJ14" s="4"/>
      <c r="AK14" s="5" t="s">
        <v>76</v>
      </c>
      <c r="AL14" s="5" t="s">
        <v>72</v>
      </c>
      <c r="AM14" s="6">
        <v>46217</v>
      </c>
      <c r="AN14" s="5" t="s">
        <v>57</v>
      </c>
      <c r="AO14" s="5" t="s">
        <v>271</v>
      </c>
    </row>
    <row r="15" spans="1:41" x14ac:dyDescent="0.25">
      <c r="A15" s="2"/>
      <c r="B15" s="2"/>
      <c r="C15" s="3">
        <v>46225</v>
      </c>
      <c r="D15" s="4">
        <v>563782794</v>
      </c>
      <c r="E15" s="5" t="s">
        <v>274</v>
      </c>
      <c r="F15" s="6">
        <v>46202</v>
      </c>
      <c r="G15" s="5" t="s">
        <v>208</v>
      </c>
      <c r="H15" s="5" t="s">
        <v>208</v>
      </c>
      <c r="I15" s="5" t="s">
        <v>275</v>
      </c>
      <c r="J15" s="5" t="s">
        <v>60</v>
      </c>
      <c r="K15" s="3"/>
      <c r="L15" s="11">
        <f ca="1">IF($O15="","",$O15-TODAY())</f>
        <v>284</v>
      </c>
      <c r="M15" s="11">
        <f ca="1">IF($C15="","",$C15+365-TODAY())</f>
        <v>307</v>
      </c>
      <c r="N15" s="11">
        <f ca="1">IF($C15="","",$C15+120-TODAY())</f>
        <v>62</v>
      </c>
      <c r="O15" s="6">
        <v>46567</v>
      </c>
      <c r="P15" s="5" t="s">
        <v>51</v>
      </c>
      <c r="Q15" s="5" t="s">
        <v>209</v>
      </c>
      <c r="R15" s="5" t="s">
        <v>51</v>
      </c>
      <c r="S15" s="5" t="s">
        <v>50</v>
      </c>
      <c r="T15" s="5" t="s">
        <v>166</v>
      </c>
      <c r="U15" s="5" t="s">
        <v>50</v>
      </c>
      <c r="V15" s="5"/>
      <c r="W15" s="5"/>
      <c r="X15" s="5"/>
      <c r="Y15" s="5" t="s">
        <v>52</v>
      </c>
      <c r="Z15" s="7">
        <v>1426.25</v>
      </c>
      <c r="AA15" s="7">
        <v>0</v>
      </c>
      <c r="AB15" s="7">
        <v>0</v>
      </c>
      <c r="AC15" s="6">
        <v>46225</v>
      </c>
      <c r="AD15" s="7">
        <v>1426.25</v>
      </c>
      <c r="AE15" s="4">
        <v>40</v>
      </c>
      <c r="AF15" s="5" t="s">
        <v>53</v>
      </c>
      <c r="AG15" s="5"/>
      <c r="AH15" s="5"/>
      <c r="AI15" s="5"/>
      <c r="AJ15" s="4"/>
      <c r="AK15" s="5" t="s">
        <v>68</v>
      </c>
      <c r="AL15" s="5" t="s">
        <v>56</v>
      </c>
      <c r="AM15" s="6">
        <v>46217</v>
      </c>
      <c r="AN15" s="5" t="s">
        <v>57</v>
      </c>
      <c r="AO15" s="5" t="s">
        <v>276</v>
      </c>
    </row>
    <row r="16" spans="1:41" x14ac:dyDescent="0.25">
      <c r="A16" s="2"/>
      <c r="B16" s="2"/>
      <c r="C16" s="3"/>
      <c r="D16" s="4">
        <v>561024208</v>
      </c>
      <c r="E16" s="5" t="s">
        <v>283</v>
      </c>
      <c r="F16" s="6">
        <v>46175</v>
      </c>
      <c r="G16" s="5" t="s">
        <v>284</v>
      </c>
      <c r="H16" s="5" t="s">
        <v>284</v>
      </c>
      <c r="I16" s="5" t="s">
        <v>45</v>
      </c>
      <c r="J16" s="5" t="s">
        <v>285</v>
      </c>
      <c r="K16" s="3"/>
      <c r="L16" s="11" t="str">
        <f ca="1">IF($O16="","",$O16-TODAY())</f>
        <v/>
      </c>
      <c r="M16" s="11"/>
      <c r="N16" s="11"/>
      <c r="O16" s="6"/>
      <c r="P16" s="5"/>
      <c r="Q16" s="5" t="s">
        <v>286</v>
      </c>
      <c r="R16" s="5"/>
      <c r="S16" s="5"/>
      <c r="T16" s="5"/>
      <c r="U16" s="5"/>
      <c r="V16" s="5" t="s">
        <v>287</v>
      </c>
      <c r="W16" s="5"/>
      <c r="X16" s="5"/>
      <c r="Y16" s="5" t="s">
        <v>52</v>
      </c>
      <c r="Z16" s="7">
        <v>294.42</v>
      </c>
      <c r="AA16" s="7">
        <v>0</v>
      </c>
      <c r="AB16" s="7">
        <v>0</v>
      </c>
      <c r="AC16" s="6"/>
      <c r="AD16" s="7">
        <v>294.42</v>
      </c>
      <c r="AE16" s="4">
        <v>67</v>
      </c>
      <c r="AF16" s="5" t="s">
        <v>288</v>
      </c>
      <c r="AG16" s="5" t="s">
        <v>289</v>
      </c>
      <c r="AH16" s="5" t="s">
        <v>290</v>
      </c>
      <c r="AI16" s="5" t="s">
        <v>291</v>
      </c>
      <c r="AJ16" s="4"/>
      <c r="AK16" s="5" t="s">
        <v>85</v>
      </c>
      <c r="AL16" s="5" t="s">
        <v>63</v>
      </c>
      <c r="AM16" s="6">
        <v>46191</v>
      </c>
      <c r="AN16" s="5" t="s">
        <v>57</v>
      </c>
      <c r="AO16" s="5" t="s">
        <v>292</v>
      </c>
    </row>
    <row r="17" spans="1:41" x14ac:dyDescent="0.25">
      <c r="A17" s="2"/>
      <c r="B17" s="2"/>
      <c r="C17" s="3">
        <v>46218</v>
      </c>
      <c r="D17" s="4">
        <v>561219063</v>
      </c>
      <c r="E17" s="5" t="s">
        <v>293</v>
      </c>
      <c r="F17" s="6">
        <v>46175</v>
      </c>
      <c r="G17" s="5" t="s">
        <v>294</v>
      </c>
      <c r="H17" s="5" t="s">
        <v>294</v>
      </c>
      <c r="I17" s="5" t="s">
        <v>45</v>
      </c>
      <c r="J17" s="5" t="s">
        <v>60</v>
      </c>
      <c r="K17" s="3"/>
      <c r="L17" s="11" t="str">
        <f ca="1">IF($O17="","",$O17-TODAY())</f>
        <v/>
      </c>
      <c r="M17" s="11"/>
      <c r="N17" s="11"/>
      <c r="O17" s="6"/>
      <c r="P17" s="5"/>
      <c r="Q17" s="5" t="s">
        <v>286</v>
      </c>
      <c r="R17" s="5"/>
      <c r="S17" s="5"/>
      <c r="T17" s="5"/>
      <c r="U17" s="5"/>
      <c r="V17" s="5"/>
      <c r="W17" s="5"/>
      <c r="X17" s="5"/>
      <c r="Y17" s="5" t="s">
        <v>52</v>
      </c>
      <c r="Z17" s="7">
        <v>1426.25</v>
      </c>
      <c r="AA17" s="7">
        <v>0</v>
      </c>
      <c r="AB17" s="7">
        <v>0</v>
      </c>
      <c r="AC17" s="6">
        <v>46218</v>
      </c>
      <c r="AD17" s="7">
        <v>1426.25</v>
      </c>
      <c r="AE17" s="4">
        <v>67</v>
      </c>
      <c r="AF17" s="5" t="s">
        <v>71</v>
      </c>
      <c r="AG17" s="5"/>
      <c r="AH17" s="5"/>
      <c r="AI17" s="5"/>
      <c r="AJ17" s="4"/>
      <c r="AK17" s="5" t="s">
        <v>85</v>
      </c>
      <c r="AL17" s="5" t="s">
        <v>56</v>
      </c>
      <c r="AM17" s="6">
        <v>46217</v>
      </c>
      <c r="AN17" s="5" t="s">
        <v>57</v>
      </c>
      <c r="AO17" s="5" t="s">
        <v>295</v>
      </c>
    </row>
    <row r="18" spans="1:41" x14ac:dyDescent="0.25">
      <c r="A18" s="2"/>
      <c r="B18" s="2"/>
      <c r="C18" s="3"/>
      <c r="D18" s="4">
        <v>562198116</v>
      </c>
      <c r="E18" s="5" t="s">
        <v>299</v>
      </c>
      <c r="F18" s="6">
        <v>46185</v>
      </c>
      <c r="G18" s="5" t="s">
        <v>300</v>
      </c>
      <c r="H18" s="5" t="s">
        <v>300</v>
      </c>
      <c r="I18" s="5" t="s">
        <v>45</v>
      </c>
      <c r="J18" s="5" t="s">
        <v>46</v>
      </c>
      <c r="K18" s="3"/>
      <c r="L18" s="11" t="str">
        <f ca="1">IF($O18="","",$O18-TODAY())</f>
        <v/>
      </c>
      <c r="M18" s="11"/>
      <c r="N18" s="11"/>
      <c r="O18" s="6"/>
      <c r="P18" s="5"/>
      <c r="Q18" s="5" t="s">
        <v>286</v>
      </c>
      <c r="R18" s="5"/>
      <c r="S18" s="5"/>
      <c r="T18" s="5"/>
      <c r="U18" s="5"/>
      <c r="V18" s="5"/>
      <c r="W18" s="5"/>
      <c r="X18" s="5"/>
      <c r="Y18" s="5" t="s">
        <v>52</v>
      </c>
      <c r="Z18" s="7">
        <v>1426.25</v>
      </c>
      <c r="AA18" s="7">
        <v>0</v>
      </c>
      <c r="AB18" s="7">
        <v>0</v>
      </c>
      <c r="AC18" s="6"/>
      <c r="AD18" s="7">
        <v>1426.25</v>
      </c>
      <c r="AE18" s="4">
        <v>57</v>
      </c>
      <c r="AF18" s="5" t="s">
        <v>71</v>
      </c>
      <c r="AG18" s="5"/>
      <c r="AH18" s="5"/>
      <c r="AI18" s="5"/>
      <c r="AJ18" s="4"/>
      <c r="AK18" s="5" t="s">
        <v>97</v>
      </c>
      <c r="AL18" s="5" t="s">
        <v>72</v>
      </c>
      <c r="AM18" s="6">
        <v>46217</v>
      </c>
      <c r="AN18" s="5" t="s">
        <v>57</v>
      </c>
      <c r="AO18" s="5" t="s">
        <v>301</v>
      </c>
    </row>
    <row r="19" spans="1:41" x14ac:dyDescent="0.25">
      <c r="A19" s="2"/>
      <c r="B19" s="13" t="s">
        <v>302</v>
      </c>
      <c r="C19" s="3"/>
      <c r="D19" s="4">
        <v>562518339</v>
      </c>
      <c r="E19" s="5" t="s">
        <v>303</v>
      </c>
      <c r="F19" s="6">
        <v>46189</v>
      </c>
      <c r="G19" s="5" t="s">
        <v>304</v>
      </c>
      <c r="H19" s="5" t="s">
        <v>304</v>
      </c>
      <c r="I19" s="5" t="s">
        <v>45</v>
      </c>
      <c r="J19" s="5" t="s">
        <v>46</v>
      </c>
      <c r="K19" s="3"/>
      <c r="L19" s="11" t="str">
        <f ca="1">IF($O19="","",$O19-TODAY())</f>
        <v/>
      </c>
      <c r="M19" s="11"/>
      <c r="N19" s="11"/>
      <c r="O19" s="6"/>
      <c r="P19" s="5"/>
      <c r="Q19" s="5" t="s">
        <v>286</v>
      </c>
      <c r="R19" s="5"/>
      <c r="S19" s="5"/>
      <c r="T19" s="5"/>
      <c r="U19" s="5"/>
      <c r="V19" s="5"/>
      <c r="W19" s="5"/>
      <c r="X19" s="5"/>
      <c r="Y19" s="5" t="s">
        <v>52</v>
      </c>
      <c r="Z19" s="7">
        <v>1426.25</v>
      </c>
      <c r="AA19" s="7">
        <v>0</v>
      </c>
      <c r="AB19" s="7">
        <v>0</v>
      </c>
      <c r="AC19" s="6"/>
      <c r="AD19" s="7">
        <v>1426.25</v>
      </c>
      <c r="AE19" s="4">
        <v>53</v>
      </c>
      <c r="AF19" s="5" t="s">
        <v>71</v>
      </c>
      <c r="AG19" s="5"/>
      <c r="AH19" s="5"/>
      <c r="AI19" s="5"/>
      <c r="AJ19" s="4"/>
      <c r="AK19" s="5" t="s">
        <v>144</v>
      </c>
      <c r="AL19" s="5" t="s">
        <v>133</v>
      </c>
      <c r="AM19" s="6">
        <v>46217</v>
      </c>
      <c r="AN19" s="5" t="s">
        <v>57</v>
      </c>
      <c r="AO19" s="5" t="s">
        <v>305</v>
      </c>
    </row>
    <row r="20" spans="1:41" x14ac:dyDescent="0.25">
      <c r="A20" s="2"/>
      <c r="B20" s="2"/>
      <c r="C20" s="3"/>
      <c r="D20" s="4">
        <v>562594958</v>
      </c>
      <c r="E20" s="5" t="s">
        <v>306</v>
      </c>
      <c r="F20" s="6">
        <v>46190</v>
      </c>
      <c r="G20" s="5" t="s">
        <v>307</v>
      </c>
      <c r="H20" s="5" t="s">
        <v>307</v>
      </c>
      <c r="I20" s="5" t="s">
        <v>45</v>
      </c>
      <c r="J20" s="5" t="s">
        <v>46</v>
      </c>
      <c r="K20" s="3"/>
      <c r="L20" s="11" t="str">
        <f ca="1">IF($O20="","",$O20-TODAY())</f>
        <v/>
      </c>
      <c r="M20" s="11"/>
      <c r="N20" s="11"/>
      <c r="O20" s="6"/>
      <c r="P20" s="5"/>
      <c r="Q20" s="5" t="s">
        <v>286</v>
      </c>
      <c r="R20" s="5"/>
      <c r="S20" s="5"/>
      <c r="T20" s="5"/>
      <c r="U20" s="5"/>
      <c r="V20" s="5"/>
      <c r="W20" s="5"/>
      <c r="X20" s="5"/>
      <c r="Y20" s="5" t="s">
        <v>52</v>
      </c>
      <c r="Z20" s="7">
        <v>1426.25</v>
      </c>
      <c r="AA20" s="7">
        <v>0</v>
      </c>
      <c r="AB20" s="7">
        <v>0</v>
      </c>
      <c r="AC20" s="6"/>
      <c r="AD20" s="7">
        <v>1426.25</v>
      </c>
      <c r="AE20" s="4">
        <v>52</v>
      </c>
      <c r="AF20" s="5" t="s">
        <v>84</v>
      </c>
      <c r="AG20" s="5"/>
      <c r="AH20" s="5"/>
      <c r="AI20" s="5"/>
      <c r="AJ20" s="4"/>
      <c r="AK20" s="5" t="s">
        <v>85</v>
      </c>
      <c r="AL20" s="5" t="s">
        <v>63</v>
      </c>
      <c r="AM20" s="6">
        <v>46217</v>
      </c>
      <c r="AN20" s="5" t="s">
        <v>57</v>
      </c>
      <c r="AO20" s="5" t="s">
        <v>308</v>
      </c>
    </row>
    <row r="21" spans="1:41" x14ac:dyDescent="0.25">
      <c r="A21" s="2" t="s">
        <v>127</v>
      </c>
      <c r="B21" s="13" t="s">
        <v>309</v>
      </c>
      <c r="C21" s="3"/>
      <c r="D21" s="4">
        <v>562803163</v>
      </c>
      <c r="E21" s="5" t="s">
        <v>310</v>
      </c>
      <c r="F21" s="6">
        <v>46190</v>
      </c>
      <c r="G21" s="5" t="s">
        <v>81</v>
      </c>
      <c r="H21" s="5" t="s">
        <v>81</v>
      </c>
      <c r="I21" s="5" t="s">
        <v>311</v>
      </c>
      <c r="J21" s="5" t="s">
        <v>82</v>
      </c>
      <c r="K21" s="3">
        <v>46277</v>
      </c>
      <c r="L21" s="11" t="str">
        <f ca="1">IF($O21="","",$O21-TODAY())</f>
        <v/>
      </c>
      <c r="M21" s="11"/>
      <c r="N21" s="11"/>
      <c r="O21" s="6"/>
      <c r="P21" s="5"/>
      <c r="Q21" s="5" t="s">
        <v>286</v>
      </c>
      <c r="R21" s="5"/>
      <c r="S21" s="5"/>
      <c r="T21" s="5"/>
      <c r="U21" s="5"/>
      <c r="V21" s="5"/>
      <c r="W21" s="5"/>
      <c r="X21" s="5"/>
      <c r="Y21" s="5" t="s">
        <v>52</v>
      </c>
      <c r="Z21" s="7">
        <v>1372.91</v>
      </c>
      <c r="AA21" s="7">
        <v>0</v>
      </c>
      <c r="AB21" s="7">
        <v>0</v>
      </c>
      <c r="AC21" s="6"/>
      <c r="AD21" s="7">
        <v>1372.91</v>
      </c>
      <c r="AE21" s="4">
        <v>52</v>
      </c>
      <c r="AF21" s="5" t="s">
        <v>219</v>
      </c>
      <c r="AG21" s="5" t="s">
        <v>54</v>
      </c>
      <c r="AH21" s="5"/>
      <c r="AI21" s="5"/>
      <c r="AJ21" s="4"/>
      <c r="AK21" s="5" t="s">
        <v>55</v>
      </c>
      <c r="AL21" s="5" t="s">
        <v>72</v>
      </c>
      <c r="AM21" s="6">
        <v>46217</v>
      </c>
      <c r="AN21" s="5" t="s">
        <v>57</v>
      </c>
      <c r="AO21" s="5" t="s">
        <v>312</v>
      </c>
    </row>
    <row r="22" spans="1:41" x14ac:dyDescent="0.25">
      <c r="A22" s="2"/>
      <c r="B22" s="2"/>
      <c r="C22" s="3"/>
      <c r="D22" s="4">
        <v>562862986</v>
      </c>
      <c r="E22" s="5" t="s">
        <v>313</v>
      </c>
      <c r="F22" s="6">
        <v>46192</v>
      </c>
      <c r="G22" s="5" t="s">
        <v>314</v>
      </c>
      <c r="H22" s="5" t="s">
        <v>314</v>
      </c>
      <c r="I22" s="5" t="s">
        <v>45</v>
      </c>
      <c r="J22" s="5" t="s">
        <v>117</v>
      </c>
      <c r="K22" s="3"/>
      <c r="L22" s="11" t="str">
        <f ca="1">IF($O22="","",$O22-TODAY())</f>
        <v/>
      </c>
      <c r="M22" s="11"/>
      <c r="N22" s="11" t="str">
        <f ca="1">IF($C22="","",$C22+180-TODAY())</f>
        <v/>
      </c>
      <c r="O22" s="6"/>
      <c r="P22" s="5"/>
      <c r="Q22" s="5" t="s">
        <v>315</v>
      </c>
      <c r="R22" s="5"/>
      <c r="S22" s="5"/>
      <c r="T22" s="5" t="s">
        <v>49</v>
      </c>
      <c r="U22" s="5" t="s">
        <v>50</v>
      </c>
      <c r="V22" s="5"/>
      <c r="W22" s="5"/>
      <c r="X22" s="5"/>
      <c r="Y22" s="5" t="s">
        <v>52</v>
      </c>
      <c r="Z22" s="7">
        <v>294.42</v>
      </c>
      <c r="AA22" s="7">
        <v>0</v>
      </c>
      <c r="AB22" s="7">
        <v>0</v>
      </c>
      <c r="AC22" s="6"/>
      <c r="AD22" s="7">
        <v>294.42</v>
      </c>
      <c r="AE22" s="4">
        <v>50</v>
      </c>
      <c r="AF22" s="5" t="s">
        <v>118</v>
      </c>
      <c r="AG22" s="5" t="s">
        <v>119</v>
      </c>
      <c r="AH22" s="5"/>
      <c r="AI22" s="5"/>
      <c r="AJ22" s="4"/>
      <c r="AK22" s="5" t="s">
        <v>120</v>
      </c>
      <c r="AL22" s="5" t="s">
        <v>121</v>
      </c>
      <c r="AM22" s="6">
        <v>46234</v>
      </c>
      <c r="AN22" s="5" t="s">
        <v>57</v>
      </c>
      <c r="AO22" s="5" t="s">
        <v>316</v>
      </c>
    </row>
    <row r="23" spans="1:41" x14ac:dyDescent="0.25">
      <c r="A23" s="2"/>
      <c r="B23" s="2"/>
      <c r="C23" s="3"/>
      <c r="D23" s="4">
        <v>562903580</v>
      </c>
      <c r="E23" s="5" t="s">
        <v>317</v>
      </c>
      <c r="F23" s="6">
        <v>46192</v>
      </c>
      <c r="G23" s="5" t="s">
        <v>318</v>
      </c>
      <c r="H23" s="5" t="s">
        <v>318</v>
      </c>
      <c r="I23" s="5" t="s">
        <v>45</v>
      </c>
      <c r="J23" s="5" t="s">
        <v>46</v>
      </c>
      <c r="K23" s="3"/>
      <c r="L23" s="11" t="str">
        <f ca="1">IF($O23="","",$O23-TODAY())</f>
        <v/>
      </c>
      <c r="M23" s="11"/>
      <c r="N23" s="11"/>
      <c r="O23" s="6"/>
      <c r="P23" s="5"/>
      <c r="Q23" s="5" t="s">
        <v>286</v>
      </c>
      <c r="R23" s="5"/>
      <c r="S23" s="5"/>
      <c r="T23" s="5"/>
      <c r="U23" s="5"/>
      <c r="V23" s="5"/>
      <c r="W23" s="5"/>
      <c r="X23" s="5"/>
      <c r="Y23" s="5" t="s">
        <v>52</v>
      </c>
      <c r="Z23" s="7">
        <v>1426.25</v>
      </c>
      <c r="AA23" s="7">
        <v>0</v>
      </c>
      <c r="AB23" s="7">
        <v>0</v>
      </c>
      <c r="AC23" s="6"/>
      <c r="AD23" s="7">
        <v>1426.25</v>
      </c>
      <c r="AE23" s="4">
        <v>50</v>
      </c>
      <c r="AF23" s="5" t="s">
        <v>71</v>
      </c>
      <c r="AG23" s="5"/>
      <c r="AH23" s="5"/>
      <c r="AI23" s="5"/>
      <c r="AJ23" s="4"/>
      <c r="AK23" s="5" t="s">
        <v>97</v>
      </c>
      <c r="AL23" s="5" t="s">
        <v>113</v>
      </c>
      <c r="AM23" s="6">
        <v>46217</v>
      </c>
      <c r="AN23" s="5" t="s">
        <v>57</v>
      </c>
      <c r="AO23" s="5" t="s">
        <v>319</v>
      </c>
    </row>
    <row r="24" spans="1:41" x14ac:dyDescent="0.25">
      <c r="A24" s="2"/>
      <c r="B24" s="2"/>
      <c r="C24" s="3"/>
      <c r="D24" s="4">
        <v>563421228</v>
      </c>
      <c r="E24" s="5" t="s">
        <v>322</v>
      </c>
      <c r="F24" s="6">
        <v>46198</v>
      </c>
      <c r="G24" s="5" t="s">
        <v>318</v>
      </c>
      <c r="H24" s="5" t="s">
        <v>318</v>
      </c>
      <c r="I24" s="5" t="s">
        <v>45</v>
      </c>
      <c r="J24" s="5" t="s">
        <v>60</v>
      </c>
      <c r="K24" s="3"/>
      <c r="L24" s="11" t="str">
        <f ca="1">IF($O24="","",$O24-TODAY())</f>
        <v/>
      </c>
      <c r="M24" s="11"/>
      <c r="N24" s="11"/>
      <c r="O24" s="6"/>
      <c r="P24" s="5"/>
      <c r="Q24" s="5" t="s">
        <v>286</v>
      </c>
      <c r="R24" s="5"/>
      <c r="S24" s="5"/>
      <c r="T24" s="5"/>
      <c r="U24" s="5"/>
      <c r="V24" s="5"/>
      <c r="W24" s="5"/>
      <c r="X24" s="5"/>
      <c r="Y24" s="5" t="s">
        <v>52</v>
      </c>
      <c r="Z24" s="7">
        <v>1426.25</v>
      </c>
      <c r="AA24" s="7">
        <v>0</v>
      </c>
      <c r="AB24" s="7">
        <v>0</v>
      </c>
      <c r="AC24" s="6"/>
      <c r="AD24" s="7">
        <v>1426.25</v>
      </c>
      <c r="AE24" s="4">
        <v>44</v>
      </c>
      <c r="AF24" s="5" t="s">
        <v>71</v>
      </c>
      <c r="AG24" s="5"/>
      <c r="AH24" s="5"/>
      <c r="AI24" s="5"/>
      <c r="AJ24" s="4"/>
      <c r="AK24" s="5" t="s">
        <v>92</v>
      </c>
      <c r="AL24" s="5" t="s">
        <v>133</v>
      </c>
      <c r="AM24" s="6">
        <v>46217</v>
      </c>
      <c r="AN24" s="5" t="s">
        <v>57</v>
      </c>
      <c r="AO24" s="5" t="s">
        <v>323</v>
      </c>
    </row>
    <row r="25" spans="1:41" x14ac:dyDescent="0.25">
      <c r="A25" s="2"/>
      <c r="B25" s="2"/>
      <c r="C25" s="3"/>
      <c r="D25" s="4">
        <v>563470580</v>
      </c>
      <c r="E25" s="5" t="s">
        <v>326</v>
      </c>
      <c r="F25" s="6">
        <v>46198</v>
      </c>
      <c r="G25" s="5" t="s">
        <v>327</v>
      </c>
      <c r="H25" s="5" t="s">
        <v>327</v>
      </c>
      <c r="I25" s="5" t="s">
        <v>45</v>
      </c>
      <c r="J25" s="5" t="s">
        <v>117</v>
      </c>
      <c r="K25" s="3"/>
      <c r="L25" s="4" t="str">
        <f ca="1">IF($O25="","",$O25-TODAY())</f>
        <v/>
      </c>
      <c r="M25" s="4"/>
      <c r="N25" s="4"/>
      <c r="O25" s="6"/>
      <c r="P25" s="5"/>
      <c r="Q25" s="5" t="s">
        <v>286</v>
      </c>
      <c r="R25" s="5"/>
      <c r="S25" s="5"/>
      <c r="T25" s="5"/>
      <c r="U25" s="5"/>
      <c r="V25" s="5"/>
      <c r="W25" s="5"/>
      <c r="X25" s="5"/>
      <c r="Y25" s="5" t="s">
        <v>52</v>
      </c>
      <c r="Z25" s="7">
        <v>294.42</v>
      </c>
      <c r="AA25" s="7">
        <v>0</v>
      </c>
      <c r="AB25" s="7">
        <v>0</v>
      </c>
      <c r="AC25" s="6"/>
      <c r="AD25" s="7">
        <v>294.42</v>
      </c>
      <c r="AE25" s="4">
        <v>44</v>
      </c>
      <c r="AF25" s="5" t="s">
        <v>118</v>
      </c>
      <c r="AG25" s="5" t="s">
        <v>119</v>
      </c>
      <c r="AH25" s="5"/>
      <c r="AI25" s="5"/>
      <c r="AJ25" s="4"/>
      <c r="AK25" s="5" t="s">
        <v>120</v>
      </c>
      <c r="AL25" s="5" t="s">
        <v>121</v>
      </c>
      <c r="AM25" s="6">
        <v>46234</v>
      </c>
      <c r="AN25" s="5" t="s">
        <v>57</v>
      </c>
      <c r="AO25" s="5" t="s">
        <v>328</v>
      </c>
    </row>
  </sheetData>
  <autoFilter ref="A1:AO25" xr:uid="{00000000-0009-0000-0000-000000000000}"/>
  <conditionalFormatting sqref="L2:L2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2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2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2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25"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0"/>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127</v>
      </c>
      <c r="B6" s="13" t="s">
        <v>358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t="s">
        <v>78</v>
      </c>
      <c r="B7" s="13" t="s">
        <v>363</v>
      </c>
      <c r="C7" s="3">
        <v>46239</v>
      </c>
      <c r="D7" s="4">
        <v>562698907</v>
      </c>
      <c r="E7" s="5" t="s">
        <v>364</v>
      </c>
      <c r="F7" s="6">
        <v>46182</v>
      </c>
      <c r="G7" s="5" t="s">
        <v>44</v>
      </c>
      <c r="H7" s="5" t="s">
        <v>44</v>
      </c>
      <c r="I7" s="5" t="s">
        <v>45</v>
      </c>
      <c r="J7" s="5" t="s">
        <v>365</v>
      </c>
      <c r="K7" s="3">
        <v>46270</v>
      </c>
      <c r="L7" s="11">
        <f ca="1">IF($O7="","",$O7-TODAY())</f>
        <v>-11</v>
      </c>
      <c r="M7" s="11">
        <f ca="1">IF($C7="","",$C7+180-TODAY())</f>
        <v>136</v>
      </c>
      <c r="N7" s="11">
        <f ca="1">IF($C7="","",$C7+365-TODAY())</f>
        <v>321</v>
      </c>
      <c r="O7" s="6">
        <v>46272</v>
      </c>
      <c r="P7" s="5" t="s">
        <v>47</v>
      </c>
      <c r="Q7" s="5" t="s">
        <v>48</v>
      </c>
      <c r="R7" s="5" t="s">
        <v>49</v>
      </c>
      <c r="S7" s="5" t="s">
        <v>50</v>
      </c>
      <c r="T7" s="5" t="s">
        <v>51</v>
      </c>
      <c r="U7" s="5" t="s">
        <v>50</v>
      </c>
      <c r="V7" s="5" t="s">
        <v>366</v>
      </c>
      <c r="W7" s="5"/>
      <c r="X7" s="5"/>
      <c r="Y7" s="5" t="s">
        <v>52</v>
      </c>
      <c r="Z7" s="7">
        <v>6392.96</v>
      </c>
      <c r="AA7" s="7">
        <v>0</v>
      </c>
      <c r="AB7" s="7">
        <v>0</v>
      </c>
      <c r="AC7" s="6">
        <v>46202</v>
      </c>
      <c r="AD7" s="7">
        <v>6392.96</v>
      </c>
      <c r="AE7" s="4">
        <v>60</v>
      </c>
      <c r="AF7" s="5" t="s">
        <v>367</v>
      </c>
      <c r="AG7" s="5" t="s">
        <v>368</v>
      </c>
      <c r="AH7" s="5"/>
      <c r="AI7" s="5"/>
      <c r="AJ7" s="4"/>
      <c r="AK7" s="5" t="s">
        <v>369</v>
      </c>
      <c r="AL7" s="5" t="s">
        <v>72</v>
      </c>
      <c r="AM7" s="6">
        <v>46191</v>
      </c>
      <c r="AN7" s="5" t="s">
        <v>339</v>
      </c>
      <c r="AO7" s="5" t="s">
        <v>370</v>
      </c>
    </row>
    <row r="8" spans="1:41" x14ac:dyDescent="0.25">
      <c r="A8" s="2" t="s">
        <v>78</v>
      </c>
      <c r="B8" s="13" t="s">
        <v>371</v>
      </c>
      <c r="C8" s="3">
        <v>46204</v>
      </c>
      <c r="D8" s="4">
        <v>562572005</v>
      </c>
      <c r="E8" s="5" t="s">
        <v>372</v>
      </c>
      <c r="F8" s="6">
        <v>46185</v>
      </c>
      <c r="G8" s="5" t="s">
        <v>136</v>
      </c>
      <c r="H8" s="5" t="s">
        <v>136</v>
      </c>
      <c r="I8" s="5" t="s">
        <v>45</v>
      </c>
      <c r="J8" s="5" t="s">
        <v>343</v>
      </c>
      <c r="K8" s="3"/>
      <c r="L8" s="11">
        <f ca="1">IF($O8="","",$O8-TODAY())</f>
        <v>-8</v>
      </c>
      <c r="M8" s="11">
        <f ca="1">IF($C8="","",$C8+365-TODAY())</f>
        <v>286</v>
      </c>
      <c r="N8" s="11">
        <f ca="1">IF($C8="","",$C8+365-TODAY())</f>
        <v>286</v>
      </c>
      <c r="O8" s="6">
        <v>46275</v>
      </c>
      <c r="P8" s="5" t="s">
        <v>47</v>
      </c>
      <c r="Q8" s="5" t="s">
        <v>137</v>
      </c>
      <c r="R8" s="5" t="s">
        <v>51</v>
      </c>
      <c r="S8" s="5" t="s">
        <v>50</v>
      </c>
      <c r="T8" s="5" t="s">
        <v>51</v>
      </c>
      <c r="U8" s="5" t="s">
        <v>50</v>
      </c>
      <c r="V8" s="5" t="s">
        <v>334</v>
      </c>
      <c r="W8" s="5"/>
      <c r="X8" s="5"/>
      <c r="Y8" s="5" t="s">
        <v>335</v>
      </c>
      <c r="Z8" s="7">
        <v>5916.4</v>
      </c>
      <c r="AA8" s="7">
        <v>0</v>
      </c>
      <c r="AB8" s="7">
        <v>0</v>
      </c>
      <c r="AC8" s="6">
        <v>46204</v>
      </c>
      <c r="AD8" s="7">
        <v>5916.4</v>
      </c>
      <c r="AE8" s="4">
        <v>57</v>
      </c>
      <c r="AF8" s="5" t="s">
        <v>149</v>
      </c>
      <c r="AG8" s="5"/>
      <c r="AH8" s="5"/>
      <c r="AI8" s="5"/>
      <c r="AJ8" s="4"/>
      <c r="AK8" s="5" t="s">
        <v>373</v>
      </c>
      <c r="AL8" s="5" t="s">
        <v>374</v>
      </c>
      <c r="AM8" s="6">
        <v>46190</v>
      </c>
      <c r="AN8" s="5" t="s">
        <v>339</v>
      </c>
      <c r="AO8" s="5" t="s">
        <v>375</v>
      </c>
    </row>
    <row r="9" spans="1:41" x14ac:dyDescent="0.25">
      <c r="A9" s="2" t="s">
        <v>41</v>
      </c>
      <c r="B9" s="13" t="s">
        <v>376</v>
      </c>
      <c r="C9" s="3">
        <v>46202</v>
      </c>
      <c r="D9" s="4">
        <v>562729752</v>
      </c>
      <c r="E9" s="5" t="s">
        <v>377</v>
      </c>
      <c r="F9" s="6">
        <v>46189</v>
      </c>
      <c r="G9" s="5" t="s">
        <v>44</v>
      </c>
      <c r="H9" s="5" t="s">
        <v>44</v>
      </c>
      <c r="I9" s="5" t="s">
        <v>45</v>
      </c>
      <c r="J9" s="5" t="s">
        <v>378</v>
      </c>
      <c r="K9" s="3">
        <v>46272</v>
      </c>
      <c r="L9" s="11">
        <f ca="1">IF($O9="","",$O9-TODAY())</f>
        <v>-4</v>
      </c>
      <c r="M9" s="11">
        <f ca="1">IF($C9="","",$C9+180-TODAY())</f>
        <v>99</v>
      </c>
      <c r="N9" s="11">
        <f ca="1">IF($C9="","",$C9+365-TODAY())</f>
        <v>284</v>
      </c>
      <c r="O9" s="6">
        <v>46279</v>
      </c>
      <c r="P9" s="5" t="s">
        <v>47</v>
      </c>
      <c r="Q9" s="5" t="s">
        <v>48</v>
      </c>
      <c r="R9" s="5" t="s">
        <v>49</v>
      </c>
      <c r="S9" s="5" t="s">
        <v>50</v>
      </c>
      <c r="T9" s="5" t="s">
        <v>51</v>
      </c>
      <c r="U9" s="5" t="s">
        <v>50</v>
      </c>
      <c r="V9" s="5" t="s">
        <v>334</v>
      </c>
      <c r="W9" s="5"/>
      <c r="X9" s="5"/>
      <c r="Y9" s="5" t="s">
        <v>379</v>
      </c>
      <c r="Z9" s="7">
        <v>2958.2</v>
      </c>
      <c r="AA9" s="7">
        <v>0</v>
      </c>
      <c r="AB9" s="7">
        <v>0</v>
      </c>
      <c r="AC9" s="6">
        <v>46202</v>
      </c>
      <c r="AD9" s="7">
        <v>2958.2</v>
      </c>
      <c r="AE9" s="4">
        <v>53</v>
      </c>
      <c r="AF9" s="5" t="s">
        <v>149</v>
      </c>
      <c r="AG9" s="5"/>
      <c r="AH9" s="5"/>
      <c r="AI9" s="5"/>
      <c r="AJ9" s="4"/>
      <c r="AK9" s="5" t="s">
        <v>369</v>
      </c>
      <c r="AL9" s="5" t="s">
        <v>72</v>
      </c>
      <c r="AM9" s="6">
        <v>46191</v>
      </c>
      <c r="AN9" s="5" t="s">
        <v>339</v>
      </c>
      <c r="AO9" s="5" t="s">
        <v>380</v>
      </c>
    </row>
    <row r="10" spans="1:41" x14ac:dyDescent="0.25">
      <c r="A10" s="2" t="s">
        <v>78</v>
      </c>
      <c r="B10" s="13" t="s">
        <v>381</v>
      </c>
      <c r="C10" s="3">
        <v>46225</v>
      </c>
      <c r="D10" s="4">
        <v>562710031</v>
      </c>
      <c r="E10" s="5" t="s">
        <v>382</v>
      </c>
      <c r="F10" s="6">
        <v>46190</v>
      </c>
      <c r="G10" s="5" t="s">
        <v>360</v>
      </c>
      <c r="H10" s="5" t="s">
        <v>360</v>
      </c>
      <c r="I10" s="5" t="s">
        <v>45</v>
      </c>
      <c r="J10" s="5" t="s">
        <v>383</v>
      </c>
      <c r="K10" s="3"/>
      <c r="L10" s="11">
        <f ca="1">IF($O10="","",$O10-TODAY())</f>
        <v>-3</v>
      </c>
      <c r="M10" s="11">
        <f ca="1">IF($F10="","",$F10+90-TODAY())</f>
        <v>-3</v>
      </c>
      <c r="N10" s="11">
        <f ca="1">IF($C10="","",$C10+180-TODAY())</f>
        <v>122</v>
      </c>
      <c r="O10" s="6">
        <v>46280</v>
      </c>
      <c r="P10" s="5" t="s">
        <v>47</v>
      </c>
      <c r="Q10" s="5" t="s">
        <v>361</v>
      </c>
      <c r="R10" s="5" t="s">
        <v>47</v>
      </c>
      <c r="S10" s="5" t="s">
        <v>189</v>
      </c>
      <c r="T10" s="5" t="s">
        <v>49</v>
      </c>
      <c r="U10" s="5" t="s">
        <v>50</v>
      </c>
      <c r="V10" s="5" t="s">
        <v>384</v>
      </c>
      <c r="W10" s="5"/>
      <c r="X10" s="5"/>
      <c r="Y10" s="5" t="s">
        <v>52</v>
      </c>
      <c r="Z10" s="7">
        <v>5492.55</v>
      </c>
      <c r="AA10" s="7">
        <v>0</v>
      </c>
      <c r="AB10" s="7">
        <v>0</v>
      </c>
      <c r="AC10" s="6">
        <v>46225</v>
      </c>
      <c r="AD10" s="7">
        <v>5492.55</v>
      </c>
      <c r="AE10" s="4">
        <v>52</v>
      </c>
      <c r="AF10" s="5" t="s">
        <v>348</v>
      </c>
      <c r="AG10" s="5" t="s">
        <v>368</v>
      </c>
      <c r="AH10" s="5"/>
      <c r="AI10" s="5"/>
      <c r="AJ10" s="4"/>
      <c r="AK10" s="5" t="s">
        <v>337</v>
      </c>
      <c r="AL10" s="5" t="s">
        <v>338</v>
      </c>
      <c r="AM10" s="6">
        <v>46191</v>
      </c>
      <c r="AN10" s="5" t="s">
        <v>339</v>
      </c>
      <c r="AO10" s="5" t="s">
        <v>385</v>
      </c>
    </row>
    <row r="11" spans="1:41" x14ac:dyDescent="0.25">
      <c r="A11" s="2" t="s">
        <v>41</v>
      </c>
      <c r="B11" s="13" t="s">
        <v>912</v>
      </c>
      <c r="C11" s="3">
        <v>46203</v>
      </c>
      <c r="D11" s="4">
        <v>571030818</v>
      </c>
      <c r="E11" s="5" t="s">
        <v>387</v>
      </c>
      <c r="F11" s="6">
        <v>46191</v>
      </c>
      <c r="G11" s="5" t="s">
        <v>136</v>
      </c>
      <c r="H11" s="5" t="s">
        <v>136</v>
      </c>
      <c r="I11" s="5" t="s">
        <v>136</v>
      </c>
      <c r="J11" s="5" t="s">
        <v>378</v>
      </c>
      <c r="K11" s="3">
        <v>46282</v>
      </c>
      <c r="L11" s="11">
        <f ca="1">IF($O11="","",$O11-TODAY())</f>
        <v>-2</v>
      </c>
      <c r="M11" s="11">
        <f ca="1">IF($C11="","",$C11+365-TODAY())</f>
        <v>285</v>
      </c>
      <c r="N11" s="11">
        <f ca="1">IF($C11="","",$C11+365-TODAY())</f>
        <v>285</v>
      </c>
      <c r="O11" s="6">
        <v>46281</v>
      </c>
      <c r="P11" s="5" t="s">
        <v>47</v>
      </c>
      <c r="Q11" s="5" t="s">
        <v>137</v>
      </c>
      <c r="R11" s="5" t="s">
        <v>51</v>
      </c>
      <c r="S11" s="5" t="s">
        <v>50</v>
      </c>
      <c r="T11" s="5" t="s">
        <v>51</v>
      </c>
      <c r="U11" s="5" t="s">
        <v>50</v>
      </c>
      <c r="V11" s="5" t="s">
        <v>334</v>
      </c>
      <c r="W11" s="5"/>
      <c r="X11" s="5"/>
      <c r="Y11" s="5" t="s">
        <v>379</v>
      </c>
      <c r="Z11" s="7">
        <v>2958.2</v>
      </c>
      <c r="AA11" s="7">
        <v>0</v>
      </c>
      <c r="AB11" s="7">
        <v>0</v>
      </c>
      <c r="AC11" s="6"/>
      <c r="AD11" s="7">
        <v>2958.2</v>
      </c>
      <c r="AE11" s="4">
        <v>51</v>
      </c>
      <c r="AF11" s="5" t="s">
        <v>149</v>
      </c>
      <c r="AG11" s="5"/>
      <c r="AH11" s="5"/>
      <c r="AI11" s="5"/>
      <c r="AJ11" s="4"/>
      <c r="AK11" s="5" t="s">
        <v>369</v>
      </c>
      <c r="AL11" s="5" t="s">
        <v>72</v>
      </c>
      <c r="AM11" s="6">
        <v>46196</v>
      </c>
      <c r="AN11" s="5" t="s">
        <v>339</v>
      </c>
      <c r="AO11" s="5" t="s">
        <v>388</v>
      </c>
    </row>
    <row r="12" spans="1:41" x14ac:dyDescent="0.25">
      <c r="A12" s="2" t="s">
        <v>78</v>
      </c>
      <c r="B12" s="13" t="s">
        <v>389</v>
      </c>
      <c r="C12" s="3">
        <v>46217</v>
      </c>
      <c r="D12" s="4">
        <v>563172458</v>
      </c>
      <c r="E12" s="5" t="s">
        <v>390</v>
      </c>
      <c r="F12" s="6">
        <v>46191</v>
      </c>
      <c r="G12" s="5" t="s">
        <v>130</v>
      </c>
      <c r="H12" s="5" t="s">
        <v>130</v>
      </c>
      <c r="I12" s="5" t="s">
        <v>45</v>
      </c>
      <c r="J12" s="5" t="s">
        <v>391</v>
      </c>
      <c r="K12" s="3">
        <v>46262</v>
      </c>
      <c r="L12" s="11">
        <f ca="1">IF($O12="","",$O12-TODAY())</f>
        <v>-2</v>
      </c>
      <c r="M12" s="11">
        <f ca="1">IF($C12="","",$C12+180-TODAY())</f>
        <v>114</v>
      </c>
      <c r="N12" s="11">
        <f ca="1">IF($C12="","",$C12+365-TODAY())</f>
        <v>299</v>
      </c>
      <c r="O12" s="6">
        <v>46281</v>
      </c>
      <c r="P12" s="5" t="s">
        <v>47</v>
      </c>
      <c r="Q12" s="5" t="s">
        <v>131</v>
      </c>
      <c r="R12" s="5" t="s">
        <v>49</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392</v>
      </c>
    </row>
    <row r="13" spans="1:41" x14ac:dyDescent="0.25">
      <c r="A13" s="2" t="s">
        <v>41</v>
      </c>
      <c r="B13" s="13" t="s">
        <v>891</v>
      </c>
      <c r="C13" s="3">
        <v>46204</v>
      </c>
      <c r="D13" s="4">
        <v>563159449</v>
      </c>
      <c r="E13" s="5" t="s">
        <v>396</v>
      </c>
      <c r="F13" s="6">
        <v>46195</v>
      </c>
      <c r="G13" s="5" t="s">
        <v>130</v>
      </c>
      <c r="H13" s="5" t="s">
        <v>130</v>
      </c>
      <c r="I13" s="5" t="s">
        <v>45</v>
      </c>
      <c r="J13" s="5" t="s">
        <v>343</v>
      </c>
      <c r="K13" s="3">
        <v>46282</v>
      </c>
      <c r="L13" s="11">
        <f ca="1">IF($O13="","",$O13-TODAY())</f>
        <v>2</v>
      </c>
      <c r="M13" s="11">
        <f ca="1">IF($C13="","",$C13+180-TODAY())</f>
        <v>101</v>
      </c>
      <c r="N13" s="11">
        <f ca="1">IF($C13="","",$C13+365-TODAY())</f>
        <v>286</v>
      </c>
      <c r="O13" s="6">
        <v>46285</v>
      </c>
      <c r="P13" s="5" t="s">
        <v>47</v>
      </c>
      <c r="Q13" s="5" t="s">
        <v>131</v>
      </c>
      <c r="R13" s="5" t="s">
        <v>49</v>
      </c>
      <c r="S13" s="5" t="s">
        <v>50</v>
      </c>
      <c r="T13" s="5" t="s">
        <v>51</v>
      </c>
      <c r="U13" s="5" t="s">
        <v>50</v>
      </c>
      <c r="V13" s="5" t="s">
        <v>334</v>
      </c>
      <c r="W13" s="5"/>
      <c r="X13" s="5"/>
      <c r="Y13" s="5" t="s">
        <v>335</v>
      </c>
      <c r="Z13" s="7">
        <v>5916.4</v>
      </c>
      <c r="AA13" s="7">
        <v>0</v>
      </c>
      <c r="AB13" s="7">
        <v>0</v>
      </c>
      <c r="AC13" s="6"/>
      <c r="AD13" s="7">
        <v>5916.4</v>
      </c>
      <c r="AE13" s="4">
        <v>47</v>
      </c>
      <c r="AF13" s="5" t="s">
        <v>149</v>
      </c>
      <c r="AG13" s="5" t="s">
        <v>397</v>
      </c>
      <c r="AH13" s="5" t="s">
        <v>398</v>
      </c>
      <c r="AI13" s="5"/>
      <c r="AJ13" s="4"/>
      <c r="AK13" s="5" t="s">
        <v>369</v>
      </c>
      <c r="AL13" s="5" t="s">
        <v>72</v>
      </c>
      <c r="AM13" s="6">
        <v>46196</v>
      </c>
      <c r="AN13" s="5" t="s">
        <v>339</v>
      </c>
      <c r="AO13" s="5" t="s">
        <v>399</v>
      </c>
    </row>
    <row r="14" spans="1:41" x14ac:dyDescent="0.25">
      <c r="A14" s="2" t="s">
        <v>41</v>
      </c>
      <c r="B14" s="13" t="s">
        <v>892</v>
      </c>
      <c r="C14" s="3">
        <v>46222</v>
      </c>
      <c r="D14" s="4">
        <v>563166125</v>
      </c>
      <c r="E14" s="5" t="s">
        <v>405</v>
      </c>
      <c r="F14" s="6">
        <v>46195</v>
      </c>
      <c r="G14" s="14" t="s">
        <v>81</v>
      </c>
      <c r="H14" s="5" t="s">
        <v>81</v>
      </c>
      <c r="I14" s="5" t="s">
        <v>45</v>
      </c>
      <c r="J14" s="5" t="s">
        <v>343</v>
      </c>
      <c r="K14" s="3">
        <v>46282</v>
      </c>
      <c r="L14" s="11">
        <f ca="1">IF($O14="","",$O14-TODAY())</f>
        <v>2</v>
      </c>
      <c r="M14" s="11">
        <f ca="1">IF($C14="","",$C14+365-TODAY())</f>
        <v>304</v>
      </c>
      <c r="N14" s="11">
        <f ca="1">IF($C14="","",$C14+365-TODAY())</f>
        <v>304</v>
      </c>
      <c r="O14" s="6">
        <v>46285</v>
      </c>
      <c r="P14" s="5" t="s">
        <v>47</v>
      </c>
      <c r="Q14" s="5" t="s">
        <v>83</v>
      </c>
      <c r="R14" s="5" t="s">
        <v>51</v>
      </c>
      <c r="S14" s="5" t="s">
        <v>50</v>
      </c>
      <c r="T14" s="5" t="s">
        <v>51</v>
      </c>
      <c r="U14" s="5" t="s">
        <v>50</v>
      </c>
      <c r="V14" s="5" t="s">
        <v>334</v>
      </c>
      <c r="W14" s="5"/>
      <c r="X14" s="5"/>
      <c r="Y14" s="5" t="s">
        <v>335</v>
      </c>
      <c r="Z14" s="7">
        <v>5916.4</v>
      </c>
      <c r="AA14" s="7">
        <v>0</v>
      </c>
      <c r="AB14" s="7">
        <v>0</v>
      </c>
      <c r="AC14" s="6">
        <v>46222</v>
      </c>
      <c r="AD14" s="7">
        <v>5916.4</v>
      </c>
      <c r="AE14" s="4">
        <v>47</v>
      </c>
      <c r="AF14" s="5" t="s">
        <v>149</v>
      </c>
      <c r="AG14" s="5" t="s">
        <v>336</v>
      </c>
      <c r="AH14" s="5"/>
      <c r="AI14" s="5"/>
      <c r="AJ14" s="4"/>
      <c r="AK14" s="5" t="s">
        <v>55</v>
      </c>
      <c r="AL14" s="5" t="s">
        <v>56</v>
      </c>
      <c r="AM14" s="6">
        <v>46196</v>
      </c>
      <c r="AN14" s="5" t="s">
        <v>339</v>
      </c>
      <c r="AO14" s="5" t="s">
        <v>406</v>
      </c>
    </row>
    <row r="15" spans="1:41" x14ac:dyDescent="0.25">
      <c r="A15" s="2" t="s">
        <v>78</v>
      </c>
      <c r="B15" s="13" t="s">
        <v>893</v>
      </c>
      <c r="C15" s="3">
        <v>46204</v>
      </c>
      <c r="D15" s="4">
        <v>563182075</v>
      </c>
      <c r="E15" s="5" t="s">
        <v>407</v>
      </c>
      <c r="F15" s="6">
        <v>46195</v>
      </c>
      <c r="G15" s="5" t="s">
        <v>44</v>
      </c>
      <c r="H15" s="5" t="s">
        <v>44</v>
      </c>
      <c r="I15" s="5" t="s">
        <v>45</v>
      </c>
      <c r="J15" s="5" t="s">
        <v>408</v>
      </c>
      <c r="K15" s="3"/>
      <c r="L15" s="11">
        <f ca="1">IF($O15="","",$O15-TODAY())</f>
        <v>2</v>
      </c>
      <c r="M15" s="11">
        <f ca="1">IF($C15="","",$C15+180-TODAY())</f>
        <v>101</v>
      </c>
      <c r="N15" s="11">
        <f ca="1">IF($C15="","",$C15+365-TODAY())</f>
        <v>286</v>
      </c>
      <c r="O15" s="6">
        <v>46285</v>
      </c>
      <c r="P15" s="5" t="s">
        <v>47</v>
      </c>
      <c r="Q15" s="5" t="s">
        <v>48</v>
      </c>
      <c r="R15" s="5" t="s">
        <v>49</v>
      </c>
      <c r="S15" s="5" t="s">
        <v>50</v>
      </c>
      <c r="T15" s="5" t="s">
        <v>51</v>
      </c>
      <c r="U15" s="5" t="s">
        <v>50</v>
      </c>
      <c r="V15" s="5" t="s">
        <v>354</v>
      </c>
      <c r="W15" s="5"/>
      <c r="X15" s="5"/>
      <c r="Y15" s="5" t="s">
        <v>379</v>
      </c>
      <c r="Z15" s="7">
        <v>2958.2</v>
      </c>
      <c r="AA15" s="7">
        <v>0</v>
      </c>
      <c r="AB15" s="7">
        <v>0</v>
      </c>
      <c r="AC15" s="6">
        <v>46204</v>
      </c>
      <c r="AD15" s="7">
        <v>2958.2</v>
      </c>
      <c r="AE15" s="4">
        <v>47</v>
      </c>
      <c r="AF15" s="5" t="s">
        <v>367</v>
      </c>
      <c r="AG15" s="5"/>
      <c r="AH15" s="5"/>
      <c r="AI15" s="5"/>
      <c r="AJ15" s="4"/>
      <c r="AK15" s="5" t="s">
        <v>76</v>
      </c>
      <c r="AL15" s="5" t="s">
        <v>113</v>
      </c>
      <c r="AM15" s="6">
        <v>46196</v>
      </c>
      <c r="AN15" s="5" t="s">
        <v>339</v>
      </c>
      <c r="AO15" s="5" t="s">
        <v>409</v>
      </c>
    </row>
    <row r="16" spans="1:41" x14ac:dyDescent="0.25">
      <c r="A16" s="2" t="s">
        <v>41</v>
      </c>
      <c r="B16" s="13" t="s">
        <v>894</v>
      </c>
      <c r="C16" s="3">
        <v>46210</v>
      </c>
      <c r="D16" s="4">
        <v>563202959</v>
      </c>
      <c r="E16" s="5" t="s">
        <v>410</v>
      </c>
      <c r="F16" s="6">
        <v>46195</v>
      </c>
      <c r="G16" s="5" t="s">
        <v>136</v>
      </c>
      <c r="H16" s="5" t="s">
        <v>136</v>
      </c>
      <c r="I16" s="5" t="s">
        <v>45</v>
      </c>
      <c r="J16" s="5" t="s">
        <v>411</v>
      </c>
      <c r="K16" s="3">
        <v>46282</v>
      </c>
      <c r="L16" s="11">
        <f ca="1">IF($O16="","",$O16-TODAY())</f>
        <v>2</v>
      </c>
      <c r="M16" s="11">
        <f ca="1">IF($C16="","",$C16+365-TODAY())</f>
        <v>292</v>
      </c>
      <c r="N16" s="11">
        <f ca="1">IF($C16="","",$C16+365-TODAY())</f>
        <v>292</v>
      </c>
      <c r="O16" s="6">
        <v>46285</v>
      </c>
      <c r="P16" s="5" t="s">
        <v>47</v>
      </c>
      <c r="Q16" s="5" t="s">
        <v>137</v>
      </c>
      <c r="R16" s="5" t="s">
        <v>51</v>
      </c>
      <c r="S16" s="5" t="s">
        <v>50</v>
      </c>
      <c r="T16" s="5" t="s">
        <v>51</v>
      </c>
      <c r="U16" s="5" t="s">
        <v>50</v>
      </c>
      <c r="V16" s="5" t="s">
        <v>384</v>
      </c>
      <c r="W16" s="5"/>
      <c r="X16" s="5"/>
      <c r="Y16" s="5" t="s">
        <v>52</v>
      </c>
      <c r="Z16" s="7">
        <v>6392.96</v>
      </c>
      <c r="AA16" s="7">
        <v>0</v>
      </c>
      <c r="AB16" s="7">
        <v>0</v>
      </c>
      <c r="AC16" s="6">
        <v>46210</v>
      </c>
      <c r="AD16" s="7">
        <v>6392.96</v>
      </c>
      <c r="AE16" s="4">
        <v>47</v>
      </c>
      <c r="AF16" s="5" t="s">
        <v>412</v>
      </c>
      <c r="AG16" s="5"/>
      <c r="AH16" s="5"/>
      <c r="AI16" s="5"/>
      <c r="AJ16" s="4"/>
      <c r="AK16" s="5" t="s">
        <v>100</v>
      </c>
      <c r="AL16" s="5" t="s">
        <v>72</v>
      </c>
      <c r="AM16" s="6">
        <v>46196</v>
      </c>
      <c r="AN16" s="5" t="s">
        <v>339</v>
      </c>
      <c r="AO16" s="5" t="s">
        <v>413</v>
      </c>
    </row>
    <row r="17" spans="1:41" x14ac:dyDescent="0.25">
      <c r="A17" s="13" t="s">
        <v>78</v>
      </c>
      <c r="B17" s="2" t="s">
        <v>895</v>
      </c>
      <c r="C17" s="3">
        <v>46220</v>
      </c>
      <c r="D17" s="4">
        <v>564043829</v>
      </c>
      <c r="E17" s="5" t="s">
        <v>414</v>
      </c>
      <c r="F17" s="6">
        <v>46196</v>
      </c>
      <c r="G17" s="5" t="s">
        <v>81</v>
      </c>
      <c r="H17" s="5" t="s">
        <v>81</v>
      </c>
      <c r="I17" s="5" t="s">
        <v>45</v>
      </c>
      <c r="J17" s="5" t="s">
        <v>415</v>
      </c>
      <c r="K17" s="3">
        <v>46282</v>
      </c>
      <c r="L17" s="11">
        <f ca="1">IF($O17="","",$O17-TODAY())</f>
        <v>3</v>
      </c>
      <c r="M17" s="11">
        <f ca="1">IF($C17="","",$C17+365-TODAY())</f>
        <v>302</v>
      </c>
      <c r="N17" s="11">
        <f ca="1">IF($C17="","",$C17+365-TODAY())</f>
        <v>302</v>
      </c>
      <c r="O17" s="6">
        <v>46286</v>
      </c>
      <c r="P17" s="5" t="s">
        <v>47</v>
      </c>
      <c r="Q17" s="5" t="s">
        <v>83</v>
      </c>
      <c r="R17" s="5" t="s">
        <v>51</v>
      </c>
      <c r="S17" s="5" t="s">
        <v>50</v>
      </c>
      <c r="T17" s="5" t="s">
        <v>51</v>
      </c>
      <c r="U17" s="5" t="s">
        <v>50</v>
      </c>
      <c r="V17" s="5" t="s">
        <v>366</v>
      </c>
      <c r="W17" s="5"/>
      <c r="X17" s="5"/>
      <c r="Y17" s="5" t="s">
        <v>52</v>
      </c>
      <c r="Z17" s="7">
        <v>9479.4</v>
      </c>
      <c r="AA17" s="7">
        <v>0</v>
      </c>
      <c r="AB17" s="7">
        <v>0</v>
      </c>
      <c r="AC17" s="6">
        <v>46220</v>
      </c>
      <c r="AD17" s="7">
        <v>9479.4</v>
      </c>
      <c r="AE17" s="4">
        <v>46</v>
      </c>
      <c r="AF17" s="5" t="s">
        <v>336</v>
      </c>
      <c r="AG17" s="5"/>
      <c r="AH17" s="5"/>
      <c r="AI17" s="5"/>
      <c r="AJ17" s="4"/>
      <c r="AK17" s="5" t="s">
        <v>369</v>
      </c>
      <c r="AL17" s="5" t="s">
        <v>72</v>
      </c>
      <c r="AM17" s="6">
        <v>46204</v>
      </c>
      <c r="AN17" s="5" t="s">
        <v>339</v>
      </c>
      <c r="AO17" s="5" t="s">
        <v>416</v>
      </c>
    </row>
    <row r="18" spans="1:41" x14ac:dyDescent="0.25">
      <c r="A18" s="13" t="s">
        <v>78</v>
      </c>
      <c r="B18" s="13" t="s">
        <v>896</v>
      </c>
      <c r="C18" s="3">
        <v>46211</v>
      </c>
      <c r="D18" s="4">
        <v>564105695</v>
      </c>
      <c r="E18" s="5" t="s">
        <v>417</v>
      </c>
      <c r="F18" s="6">
        <v>46197</v>
      </c>
      <c r="G18" s="5" t="s">
        <v>44</v>
      </c>
      <c r="H18" s="5" t="s">
        <v>44</v>
      </c>
      <c r="I18" s="5" t="s">
        <v>75</v>
      </c>
      <c r="J18" s="5" t="s">
        <v>378</v>
      </c>
      <c r="K18" s="3"/>
      <c r="L18" s="11">
        <f ca="1">IF($O18="","",$O18-TODAY())</f>
        <v>4</v>
      </c>
      <c r="M18" s="11">
        <f ca="1">IF($C18="","",$C18+180-TODAY())</f>
        <v>108</v>
      </c>
      <c r="N18" s="11">
        <f ca="1">IF($C18="","",$C18+365-TODAY())</f>
        <v>293</v>
      </c>
      <c r="O18" s="6">
        <v>46287</v>
      </c>
      <c r="P18" s="5" t="s">
        <v>47</v>
      </c>
      <c r="Q18" s="5" t="s">
        <v>48</v>
      </c>
      <c r="R18" s="5" t="s">
        <v>49</v>
      </c>
      <c r="S18" s="5" t="s">
        <v>50</v>
      </c>
      <c r="T18" s="5" t="s">
        <v>51</v>
      </c>
      <c r="U18" s="5" t="s">
        <v>50</v>
      </c>
      <c r="V18" s="5" t="s">
        <v>334</v>
      </c>
      <c r="W18" s="5"/>
      <c r="X18" s="5"/>
      <c r="Y18" s="5" t="s">
        <v>379</v>
      </c>
      <c r="Z18" s="7">
        <v>2958.2</v>
      </c>
      <c r="AA18" s="7">
        <v>0</v>
      </c>
      <c r="AB18" s="7">
        <v>0</v>
      </c>
      <c r="AC18" s="6">
        <v>46211</v>
      </c>
      <c r="AD18" s="7">
        <v>2958.2</v>
      </c>
      <c r="AE18" s="4">
        <v>45</v>
      </c>
      <c r="AF18" s="5" t="s">
        <v>149</v>
      </c>
      <c r="AG18" s="5" t="s">
        <v>336</v>
      </c>
      <c r="AH18" s="5"/>
      <c r="AI18" s="5"/>
      <c r="AJ18" s="4"/>
      <c r="AK18" s="5" t="s">
        <v>112</v>
      </c>
      <c r="AL18" s="5" t="s">
        <v>113</v>
      </c>
      <c r="AM18" s="6">
        <v>46205</v>
      </c>
      <c r="AN18" s="5" t="s">
        <v>339</v>
      </c>
      <c r="AO18" s="5" t="s">
        <v>418</v>
      </c>
    </row>
    <row r="19" spans="1:41" x14ac:dyDescent="0.25">
      <c r="A19" s="2" t="s">
        <v>41</v>
      </c>
      <c r="B19" s="13" t="s">
        <v>894</v>
      </c>
      <c r="C19" s="3">
        <v>46243</v>
      </c>
      <c r="D19" s="4">
        <v>564106567</v>
      </c>
      <c r="E19" s="5" t="s">
        <v>419</v>
      </c>
      <c r="F19" s="6">
        <v>46198</v>
      </c>
      <c r="G19" s="5" t="s">
        <v>136</v>
      </c>
      <c r="H19" s="5" t="s">
        <v>136</v>
      </c>
      <c r="I19" s="5" t="s">
        <v>45</v>
      </c>
      <c r="J19" s="5" t="s">
        <v>378</v>
      </c>
      <c r="K19" s="3">
        <v>46243</v>
      </c>
      <c r="L19" s="11">
        <f ca="1">IF($O19="","",$O19-TODAY())</f>
        <v>5</v>
      </c>
      <c r="M19" s="11">
        <f ca="1">IF($C19="","",$C19+365-TODAY())</f>
        <v>325</v>
      </c>
      <c r="N19" s="11">
        <f ca="1">IF($C19="","",$C19+365-TODAY())</f>
        <v>325</v>
      </c>
      <c r="O19" s="6">
        <v>46288</v>
      </c>
      <c r="P19" s="5" t="s">
        <v>47</v>
      </c>
      <c r="Q19" s="5" t="s">
        <v>137</v>
      </c>
      <c r="R19" s="5" t="s">
        <v>51</v>
      </c>
      <c r="S19" s="5" t="s">
        <v>50</v>
      </c>
      <c r="T19" s="5" t="s">
        <v>51</v>
      </c>
      <c r="U19" s="5" t="s">
        <v>50</v>
      </c>
      <c r="V19" s="5" t="s">
        <v>334</v>
      </c>
      <c r="W19" s="5"/>
      <c r="X19" s="5"/>
      <c r="Y19" s="5" t="s">
        <v>379</v>
      </c>
      <c r="Z19" s="7">
        <v>2958.2</v>
      </c>
      <c r="AA19" s="7">
        <v>0</v>
      </c>
      <c r="AB19" s="7">
        <v>0</v>
      </c>
      <c r="AC19" s="6"/>
      <c r="AD19" s="7">
        <v>2958.2</v>
      </c>
      <c r="AE19" s="4">
        <v>44</v>
      </c>
      <c r="AF19" s="5" t="s">
        <v>149</v>
      </c>
      <c r="AG19" s="5" t="s">
        <v>420</v>
      </c>
      <c r="AH19" s="5"/>
      <c r="AI19" s="5"/>
      <c r="AJ19" s="4"/>
      <c r="AK19" s="5" t="s">
        <v>112</v>
      </c>
      <c r="AL19" s="5" t="s">
        <v>56</v>
      </c>
      <c r="AM19" s="6">
        <v>46205</v>
      </c>
      <c r="AN19" s="5" t="s">
        <v>339</v>
      </c>
      <c r="AO19" s="5" t="s">
        <v>421</v>
      </c>
    </row>
    <row r="20" spans="1:41" x14ac:dyDescent="0.25">
      <c r="A20" s="2" t="s">
        <v>78</v>
      </c>
      <c r="B20" s="2" t="s">
        <v>897</v>
      </c>
      <c r="C20" s="3">
        <v>46220</v>
      </c>
      <c r="D20" s="4">
        <v>564053524</v>
      </c>
      <c r="E20" s="5" t="s">
        <v>427</v>
      </c>
      <c r="F20" s="6">
        <v>46202</v>
      </c>
      <c r="G20" s="5" t="s">
        <v>81</v>
      </c>
      <c r="H20" s="5" t="s">
        <v>81</v>
      </c>
      <c r="I20" s="5" t="s">
        <v>45</v>
      </c>
      <c r="J20" s="5" t="s">
        <v>365</v>
      </c>
      <c r="K20" s="3">
        <v>46282</v>
      </c>
      <c r="L20" s="11">
        <f ca="1">IF($O20="","",$O20-TODAY())</f>
        <v>9</v>
      </c>
      <c r="M20" s="11">
        <f ca="1">IF($C20="","",$C20+365-TODAY())</f>
        <v>302</v>
      </c>
      <c r="N20" s="11">
        <f ca="1">IF($C20="","",$C20+365-TODAY())</f>
        <v>302</v>
      </c>
      <c r="O20" s="6">
        <v>46292</v>
      </c>
      <c r="P20" s="5" t="s">
        <v>47</v>
      </c>
      <c r="Q20" s="5" t="s">
        <v>83</v>
      </c>
      <c r="R20" s="5" t="s">
        <v>51</v>
      </c>
      <c r="S20" s="5" t="s">
        <v>50</v>
      </c>
      <c r="T20" s="5" t="s">
        <v>51</v>
      </c>
      <c r="U20" s="5" t="s">
        <v>50</v>
      </c>
      <c r="V20" s="5" t="s">
        <v>366</v>
      </c>
      <c r="W20" s="5"/>
      <c r="X20" s="5"/>
      <c r="Y20" s="5" t="s">
        <v>52</v>
      </c>
      <c r="Z20" s="7">
        <v>6392.96</v>
      </c>
      <c r="AA20" s="7">
        <v>0</v>
      </c>
      <c r="AB20" s="7">
        <v>0</v>
      </c>
      <c r="AC20" s="6">
        <v>46220</v>
      </c>
      <c r="AD20" s="7">
        <v>6392.96</v>
      </c>
      <c r="AE20" s="4">
        <v>40</v>
      </c>
      <c r="AF20" s="5" t="s">
        <v>428</v>
      </c>
      <c r="AG20" s="5" t="s">
        <v>429</v>
      </c>
      <c r="AH20" s="5"/>
      <c r="AI20" s="5"/>
      <c r="AJ20" s="4"/>
      <c r="AK20" s="5" t="s">
        <v>430</v>
      </c>
      <c r="AL20" s="5" t="s">
        <v>72</v>
      </c>
      <c r="AM20" s="6">
        <v>46204</v>
      </c>
      <c r="AN20" s="5" t="s">
        <v>339</v>
      </c>
      <c r="AO20" s="5" t="s">
        <v>431</v>
      </c>
    </row>
    <row r="21" spans="1:41" x14ac:dyDescent="0.25">
      <c r="A21" s="2" t="s">
        <v>41</v>
      </c>
      <c r="B21" s="13" t="s">
        <v>891</v>
      </c>
      <c r="C21" s="3">
        <v>46210</v>
      </c>
      <c r="D21" s="4">
        <v>564118055</v>
      </c>
      <c r="E21" s="5" t="s">
        <v>432</v>
      </c>
      <c r="F21" s="6">
        <v>46202</v>
      </c>
      <c r="G21" s="5" t="s">
        <v>130</v>
      </c>
      <c r="H21" s="5" t="s">
        <v>130</v>
      </c>
      <c r="I21" s="5" t="s">
        <v>45</v>
      </c>
      <c r="J21" s="5" t="s">
        <v>378</v>
      </c>
      <c r="K21" s="3">
        <v>46283</v>
      </c>
      <c r="L21" s="11">
        <f ca="1">IF($O21="","",$O21-TODAY())</f>
        <v>9</v>
      </c>
      <c r="M21" s="11">
        <f ca="1">IF($C21="","",$C21+180-TODAY())</f>
        <v>107</v>
      </c>
      <c r="N21" s="11">
        <f ca="1">IF($C21="","",$C21+365-TODAY())</f>
        <v>292</v>
      </c>
      <c r="O21" s="6">
        <v>46292</v>
      </c>
      <c r="P21" s="5" t="s">
        <v>47</v>
      </c>
      <c r="Q21" s="5" t="s">
        <v>131</v>
      </c>
      <c r="R21" s="5" t="s">
        <v>49</v>
      </c>
      <c r="S21" s="5" t="s">
        <v>50</v>
      </c>
      <c r="T21" s="5" t="s">
        <v>51</v>
      </c>
      <c r="U21" s="5" t="s">
        <v>50</v>
      </c>
      <c r="V21" s="5" t="s">
        <v>334</v>
      </c>
      <c r="W21" s="5"/>
      <c r="X21" s="5"/>
      <c r="Y21" s="5" t="s">
        <v>379</v>
      </c>
      <c r="Z21" s="7">
        <v>2958.2</v>
      </c>
      <c r="AA21" s="7">
        <v>0</v>
      </c>
      <c r="AB21" s="7">
        <v>0</v>
      </c>
      <c r="AC21" s="6"/>
      <c r="AD21" s="7">
        <v>2958.2</v>
      </c>
      <c r="AE21" s="4">
        <v>40</v>
      </c>
      <c r="AF21" s="5" t="s">
        <v>149</v>
      </c>
      <c r="AG21" s="5"/>
      <c r="AH21" s="5"/>
      <c r="AI21" s="5"/>
      <c r="AJ21" s="4"/>
      <c r="AK21" s="5" t="s">
        <v>373</v>
      </c>
      <c r="AL21" s="5" t="s">
        <v>374</v>
      </c>
      <c r="AM21" s="6">
        <v>46205</v>
      </c>
      <c r="AN21" s="5" t="s">
        <v>339</v>
      </c>
      <c r="AO21" s="5" t="s">
        <v>433</v>
      </c>
    </row>
    <row r="22" spans="1:41" x14ac:dyDescent="0.25">
      <c r="A22" s="2" t="s">
        <v>78</v>
      </c>
      <c r="B22" s="13" t="s">
        <v>905</v>
      </c>
      <c r="C22" s="3">
        <v>46210</v>
      </c>
      <c r="D22" s="4">
        <v>572251031</v>
      </c>
      <c r="E22" s="5" t="s">
        <v>434</v>
      </c>
      <c r="F22" s="6">
        <v>46202</v>
      </c>
      <c r="G22" s="5" t="s">
        <v>136</v>
      </c>
      <c r="H22" s="5" t="s">
        <v>136</v>
      </c>
      <c r="I22" s="5" t="s">
        <v>45</v>
      </c>
      <c r="J22" s="5" t="s">
        <v>435</v>
      </c>
      <c r="K22" s="3">
        <v>46283</v>
      </c>
      <c r="L22" s="11">
        <f ca="1">IF($O22="","",$O22-TODAY())</f>
        <v>9</v>
      </c>
      <c r="M22" s="11">
        <f ca="1">IF($C22="","",$C22+365-TODAY())</f>
        <v>292</v>
      </c>
      <c r="N22" s="11">
        <f ca="1">IF($C22="","",$C22+365-TODAY())</f>
        <v>292</v>
      </c>
      <c r="O22" s="6">
        <v>46292</v>
      </c>
      <c r="P22" s="5" t="s">
        <v>47</v>
      </c>
      <c r="Q22" s="5" t="s">
        <v>137</v>
      </c>
      <c r="R22" s="5" t="s">
        <v>51</v>
      </c>
      <c r="S22" s="5" t="s">
        <v>50</v>
      </c>
      <c r="T22" s="5" t="s">
        <v>51</v>
      </c>
      <c r="U22" s="5" t="s">
        <v>50</v>
      </c>
      <c r="V22" s="5" t="s">
        <v>354</v>
      </c>
      <c r="W22" s="5"/>
      <c r="X22" s="5"/>
      <c r="Y22" s="5" t="s">
        <v>335</v>
      </c>
      <c r="Z22" s="7">
        <v>36353.800000000003</v>
      </c>
      <c r="AA22" s="7">
        <v>0</v>
      </c>
      <c r="AB22" s="7">
        <v>0</v>
      </c>
      <c r="AC22" s="6"/>
      <c r="AD22" s="7">
        <v>36353.800000000003</v>
      </c>
      <c r="AE22" s="4">
        <v>40</v>
      </c>
      <c r="AF22" s="5" t="s">
        <v>149</v>
      </c>
      <c r="AG22" s="5"/>
      <c r="AH22" s="5"/>
      <c r="AI22" s="5"/>
      <c r="AJ22" s="4"/>
      <c r="AK22" s="5" t="s">
        <v>97</v>
      </c>
      <c r="AL22" s="5" t="s">
        <v>436</v>
      </c>
      <c r="AM22" s="6">
        <v>46205</v>
      </c>
      <c r="AN22" s="5" t="s">
        <v>339</v>
      </c>
      <c r="AO22" s="5" t="s">
        <v>437</v>
      </c>
    </row>
    <row r="23" spans="1:41" x14ac:dyDescent="0.25">
      <c r="A23" s="2" t="s">
        <v>901</v>
      </c>
      <c r="B23" s="13" t="s">
        <v>906</v>
      </c>
      <c r="C23" s="15"/>
      <c r="D23" s="4">
        <v>572251311</v>
      </c>
      <c r="E23" s="5" t="s">
        <v>438</v>
      </c>
      <c r="F23" s="6">
        <v>46202</v>
      </c>
      <c r="G23" s="5" t="s">
        <v>439</v>
      </c>
      <c r="H23" s="5" t="s">
        <v>439</v>
      </c>
      <c r="I23" s="5" t="s">
        <v>45</v>
      </c>
      <c r="J23" s="5" t="s">
        <v>343</v>
      </c>
      <c r="K23" s="3">
        <v>46283</v>
      </c>
      <c r="L23" s="11">
        <f ca="1">IF($O23="","",$O23-TODAY())</f>
        <v>9</v>
      </c>
      <c r="M23" s="11" t="str">
        <f ca="1">IF($C23="","",$C23+180-TODAY())</f>
        <v/>
      </c>
      <c r="N23" s="11" t="str">
        <f ca="1">IF($C23="","",$C23+365-TODAY())</f>
        <v/>
      </c>
      <c r="O23" s="6">
        <v>46292</v>
      </c>
      <c r="P23" s="5" t="s">
        <v>47</v>
      </c>
      <c r="Q23" s="5" t="s">
        <v>131</v>
      </c>
      <c r="R23" s="5" t="s">
        <v>49</v>
      </c>
      <c r="S23" s="5" t="s">
        <v>50</v>
      </c>
      <c r="T23" s="5" t="s">
        <v>51</v>
      </c>
      <c r="U23" s="5" t="s">
        <v>50</v>
      </c>
      <c r="V23" s="5" t="s">
        <v>334</v>
      </c>
      <c r="W23" s="5"/>
      <c r="X23" s="5"/>
      <c r="Y23" s="5" t="s">
        <v>335</v>
      </c>
      <c r="Z23" s="7">
        <v>5916.4</v>
      </c>
      <c r="AA23" s="7">
        <v>0</v>
      </c>
      <c r="AB23" s="7">
        <v>0</v>
      </c>
      <c r="AC23" s="6"/>
      <c r="AD23" s="7">
        <v>5916.4</v>
      </c>
      <c r="AE23" s="4">
        <v>40</v>
      </c>
      <c r="AF23" s="5" t="s">
        <v>149</v>
      </c>
      <c r="AG23" s="5"/>
      <c r="AH23" s="5"/>
      <c r="AI23" s="5"/>
      <c r="AJ23" s="4"/>
      <c r="AK23" s="5" t="s">
        <v>369</v>
      </c>
      <c r="AL23" s="5" t="s">
        <v>72</v>
      </c>
      <c r="AM23" s="6">
        <v>46217</v>
      </c>
      <c r="AN23" s="5" t="s">
        <v>339</v>
      </c>
      <c r="AO23" s="5" t="s">
        <v>440</v>
      </c>
    </row>
    <row r="24" spans="1:41" x14ac:dyDescent="0.25">
      <c r="A24" s="2" t="s">
        <v>78</v>
      </c>
      <c r="B24" s="13" t="s">
        <v>907</v>
      </c>
      <c r="C24" s="15">
        <v>46265</v>
      </c>
      <c r="D24" s="4">
        <v>567785138</v>
      </c>
      <c r="E24" s="5" t="s">
        <v>441</v>
      </c>
      <c r="F24" s="6">
        <v>46202</v>
      </c>
      <c r="G24" s="5" t="s">
        <v>81</v>
      </c>
      <c r="H24" s="5" t="s">
        <v>81</v>
      </c>
      <c r="I24" s="5" t="s">
        <v>45</v>
      </c>
      <c r="J24" s="5" t="s">
        <v>343</v>
      </c>
      <c r="K24" s="3">
        <v>46283</v>
      </c>
      <c r="L24" s="11">
        <f ca="1">IF($O24="","",$O24-TODAY())</f>
        <v>9</v>
      </c>
      <c r="M24" s="11">
        <f ca="1">IF($C24="","",$C24+365-TODAY())</f>
        <v>347</v>
      </c>
      <c r="N24" s="11">
        <f ca="1">IF($C24="","",$C24+365-TODAY())</f>
        <v>347</v>
      </c>
      <c r="O24" s="6">
        <v>46292</v>
      </c>
      <c r="P24" s="5" t="s">
        <v>47</v>
      </c>
      <c r="Q24" s="5" t="s">
        <v>83</v>
      </c>
      <c r="R24" s="5" t="s">
        <v>51</v>
      </c>
      <c r="S24" s="5" t="s">
        <v>50</v>
      </c>
      <c r="T24" s="5" t="s">
        <v>51</v>
      </c>
      <c r="U24" s="5" t="s">
        <v>50</v>
      </c>
      <c r="V24" s="5" t="s">
        <v>334</v>
      </c>
      <c r="W24" s="5"/>
      <c r="X24" s="5"/>
      <c r="Y24" s="5" t="s">
        <v>335</v>
      </c>
      <c r="Z24" s="7">
        <v>5916.4</v>
      </c>
      <c r="AA24" s="7">
        <v>0</v>
      </c>
      <c r="AB24" s="7">
        <v>0</v>
      </c>
      <c r="AC24" s="6"/>
      <c r="AD24" s="7">
        <v>5916.4</v>
      </c>
      <c r="AE24" s="4">
        <v>40</v>
      </c>
      <c r="AF24" s="5" t="s">
        <v>149</v>
      </c>
      <c r="AG24" s="5" t="s">
        <v>442</v>
      </c>
      <c r="AH24" s="5"/>
      <c r="AI24" s="5"/>
      <c r="AJ24" s="4"/>
      <c r="AK24" s="5" t="s">
        <v>443</v>
      </c>
      <c r="AL24" s="5" t="s">
        <v>63</v>
      </c>
      <c r="AM24" s="6">
        <v>46205</v>
      </c>
      <c r="AN24" s="5" t="s">
        <v>339</v>
      </c>
      <c r="AO24" s="5" t="s">
        <v>444</v>
      </c>
    </row>
    <row r="25" spans="1:41" x14ac:dyDescent="0.25">
      <c r="A25" s="2" t="s">
        <v>127</v>
      </c>
      <c r="B25" s="13" t="s">
        <v>908</v>
      </c>
      <c r="C25" s="3">
        <v>46204</v>
      </c>
      <c r="D25" s="4">
        <v>563158507</v>
      </c>
      <c r="E25" s="5" t="s">
        <v>445</v>
      </c>
      <c r="F25" s="6">
        <v>46192</v>
      </c>
      <c r="G25" s="5" t="s">
        <v>446</v>
      </c>
      <c r="H25" s="5" t="s">
        <v>174</v>
      </c>
      <c r="I25" s="5" t="s">
        <v>446</v>
      </c>
      <c r="J25" s="5" t="s">
        <v>332</v>
      </c>
      <c r="K25" s="3">
        <v>46283</v>
      </c>
      <c r="L25" s="11">
        <f ca="1">IF($O25="","",$O25-TODAY())</f>
        <v>29</v>
      </c>
      <c r="M25" s="11">
        <f ca="1">IF($C25="","",$C25+180-TODAY())</f>
        <v>101</v>
      </c>
      <c r="N25" s="11">
        <f ca="1">IF($C25="","",$C25+180-TODAY())</f>
        <v>101</v>
      </c>
      <c r="O25" s="6">
        <v>46312</v>
      </c>
      <c r="P25" s="5" t="s">
        <v>166</v>
      </c>
      <c r="Q25" s="5" t="s">
        <v>167</v>
      </c>
      <c r="R25" s="5" t="s">
        <v>49</v>
      </c>
      <c r="S25" s="5" t="s">
        <v>50</v>
      </c>
      <c r="T25" s="5" t="s">
        <v>49</v>
      </c>
      <c r="U25" s="5" t="s">
        <v>50</v>
      </c>
      <c r="V25" s="5" t="s">
        <v>334</v>
      </c>
      <c r="W25" s="5"/>
      <c r="X25" s="5"/>
      <c r="Y25" s="5" t="s">
        <v>335</v>
      </c>
      <c r="Z25" s="7">
        <v>5916.4</v>
      </c>
      <c r="AA25" s="7">
        <v>945.04</v>
      </c>
      <c r="AB25" s="7">
        <v>3960.92</v>
      </c>
      <c r="AC25" s="6">
        <v>46204</v>
      </c>
      <c r="AD25" s="7">
        <v>1010.44</v>
      </c>
      <c r="AE25" s="4">
        <v>50</v>
      </c>
      <c r="AF25" s="5" t="s">
        <v>149</v>
      </c>
      <c r="AG25" s="5"/>
      <c r="AH25" s="5"/>
      <c r="AI25" s="5"/>
      <c r="AJ25" s="4">
        <v>565293130</v>
      </c>
      <c r="AK25" s="5" t="s">
        <v>100</v>
      </c>
      <c r="AL25" s="5" t="s">
        <v>72</v>
      </c>
      <c r="AM25" s="6">
        <v>46196</v>
      </c>
      <c r="AN25" s="5" t="s">
        <v>339</v>
      </c>
      <c r="AO25" s="5" t="s">
        <v>447</v>
      </c>
    </row>
    <row r="26" spans="1:41" x14ac:dyDescent="0.25">
      <c r="A26" s="2"/>
      <c r="B26" s="2"/>
      <c r="C26" s="3">
        <v>46192</v>
      </c>
      <c r="D26" s="4">
        <v>562134105</v>
      </c>
      <c r="E26" s="5" t="s">
        <v>450</v>
      </c>
      <c r="F26" s="6">
        <v>46175</v>
      </c>
      <c r="G26" s="5" t="s">
        <v>203</v>
      </c>
      <c r="H26" s="5" t="s">
        <v>203</v>
      </c>
      <c r="I26" s="5" t="s">
        <v>45</v>
      </c>
      <c r="J26" s="5" t="s">
        <v>451</v>
      </c>
      <c r="K26" s="3"/>
      <c r="L26" s="11">
        <f ca="1">IF($O26="","",$O26-TODAY())</f>
        <v>72</v>
      </c>
      <c r="M26" s="11">
        <f ca="1">IF($F26="","",$F26+365-TODAY())</f>
        <v>257</v>
      </c>
      <c r="N26" s="11">
        <f ca="1">IF($F26="","",$F26+365-TODAY())</f>
        <v>257</v>
      </c>
      <c r="O26" s="6">
        <v>46355</v>
      </c>
      <c r="P26" s="5" t="s">
        <v>49</v>
      </c>
      <c r="Q26" s="5" t="s">
        <v>452</v>
      </c>
      <c r="R26" s="5" t="s">
        <v>51</v>
      </c>
      <c r="S26" s="5" t="s">
        <v>189</v>
      </c>
      <c r="T26" s="5" t="s">
        <v>51</v>
      </c>
      <c r="U26" s="5" t="s">
        <v>189</v>
      </c>
      <c r="V26" s="5" t="s">
        <v>384</v>
      </c>
      <c r="W26" s="5"/>
      <c r="X26" s="5"/>
      <c r="Y26" s="5" t="s">
        <v>52</v>
      </c>
      <c r="Z26" s="7">
        <v>5320.49</v>
      </c>
      <c r="AA26" s="7">
        <v>0</v>
      </c>
      <c r="AB26" s="7">
        <v>0</v>
      </c>
      <c r="AC26" s="6">
        <v>46192</v>
      </c>
      <c r="AD26" s="7">
        <v>5320.49</v>
      </c>
      <c r="AE26" s="4">
        <v>67</v>
      </c>
      <c r="AF26" s="5" t="s">
        <v>428</v>
      </c>
      <c r="AG26" s="5"/>
      <c r="AH26" s="5"/>
      <c r="AI26" s="5"/>
      <c r="AJ26" s="4"/>
      <c r="AK26" s="5" t="s">
        <v>453</v>
      </c>
      <c r="AL26" s="5" t="s">
        <v>338</v>
      </c>
      <c r="AM26" s="6">
        <v>46185</v>
      </c>
      <c r="AN26" s="5" t="s">
        <v>339</v>
      </c>
      <c r="AO26" s="5" t="s">
        <v>454</v>
      </c>
    </row>
    <row r="27" spans="1:41" x14ac:dyDescent="0.25">
      <c r="A27" s="2"/>
      <c r="B27" s="2"/>
      <c r="C27" s="3">
        <v>46211</v>
      </c>
      <c r="D27" s="4">
        <v>564103202</v>
      </c>
      <c r="E27" s="5" t="s">
        <v>455</v>
      </c>
      <c r="F27" s="6">
        <v>46196</v>
      </c>
      <c r="G27" s="5" t="s">
        <v>75</v>
      </c>
      <c r="H27" s="5" t="s">
        <v>75</v>
      </c>
      <c r="I27" s="5" t="s">
        <v>45</v>
      </c>
      <c r="J27" s="5" t="s">
        <v>423</v>
      </c>
      <c r="K27" s="3"/>
      <c r="L27" s="11">
        <f ca="1">IF($O27="","",$O27-TODAY())</f>
        <v>93</v>
      </c>
      <c r="M27" s="11">
        <f ca="1">IF($F27="","",$F27+365-TODAY())</f>
        <v>278</v>
      </c>
      <c r="N27" s="11">
        <f ca="1">IF($F27="","",$F27+365-TODAY())</f>
        <v>278</v>
      </c>
      <c r="O27" s="6">
        <v>46376</v>
      </c>
      <c r="P27" s="5" t="s">
        <v>49</v>
      </c>
      <c r="Q27" s="5" t="s">
        <v>456</v>
      </c>
      <c r="R27" s="5" t="s">
        <v>51</v>
      </c>
      <c r="S27" s="5" t="s">
        <v>189</v>
      </c>
      <c r="T27" s="5" t="s">
        <v>51</v>
      </c>
      <c r="U27" s="5" t="s">
        <v>189</v>
      </c>
      <c r="V27" s="5" t="s">
        <v>354</v>
      </c>
      <c r="W27" s="5"/>
      <c r="X27" s="5"/>
      <c r="Y27" s="5" t="s">
        <v>335</v>
      </c>
      <c r="Z27" s="7">
        <v>5916.4</v>
      </c>
      <c r="AA27" s="7">
        <v>0</v>
      </c>
      <c r="AB27" s="7">
        <v>0</v>
      </c>
      <c r="AC27" s="6">
        <v>46211</v>
      </c>
      <c r="AD27" s="7">
        <v>5916.4</v>
      </c>
      <c r="AE27" s="4">
        <v>46</v>
      </c>
      <c r="AF27" s="5" t="s">
        <v>149</v>
      </c>
      <c r="AG27" s="5" t="s">
        <v>457</v>
      </c>
      <c r="AH27" s="5" t="s">
        <v>458</v>
      </c>
      <c r="AI27" s="5" t="s">
        <v>336</v>
      </c>
      <c r="AJ27" s="4"/>
      <c r="AK27" s="5" t="s">
        <v>459</v>
      </c>
      <c r="AL27" s="5" t="s">
        <v>56</v>
      </c>
      <c r="AM27" s="6">
        <v>46205</v>
      </c>
      <c r="AN27" s="5" t="s">
        <v>339</v>
      </c>
      <c r="AO27" s="5" t="s">
        <v>460</v>
      </c>
    </row>
    <row r="28" spans="1:41" x14ac:dyDescent="0.25">
      <c r="A28" s="2"/>
      <c r="B28" s="2"/>
      <c r="C28" s="3">
        <v>46188</v>
      </c>
      <c r="D28" s="4">
        <v>562148651</v>
      </c>
      <c r="E28" s="5" t="s">
        <v>467</v>
      </c>
      <c r="F28" s="6">
        <v>46177</v>
      </c>
      <c r="G28" s="5" t="s">
        <v>462</v>
      </c>
      <c r="H28" s="5" t="s">
        <v>462</v>
      </c>
      <c r="I28" s="5" t="s">
        <v>233</v>
      </c>
      <c r="J28" s="5" t="s">
        <v>468</v>
      </c>
      <c r="K28" s="3"/>
      <c r="L28" s="11">
        <f ca="1">IF($O28="","",$O28-TODAY())</f>
        <v>259</v>
      </c>
      <c r="M28" s="11">
        <f ca="1">IF($C28="","",$C28+365-TODAY())</f>
        <v>270</v>
      </c>
      <c r="N28" s="11">
        <f ca="1">IF($C28="","",$C28+120-TODAY())</f>
        <v>25</v>
      </c>
      <c r="O28" s="6">
        <v>46542</v>
      </c>
      <c r="P28" s="5" t="s">
        <v>51</v>
      </c>
      <c r="Q28" s="5" t="s">
        <v>209</v>
      </c>
      <c r="R28" s="5" t="s">
        <v>51</v>
      </c>
      <c r="S28" s="5" t="s">
        <v>50</v>
      </c>
      <c r="T28" s="5" t="s">
        <v>166</v>
      </c>
      <c r="U28" s="5" t="s">
        <v>50</v>
      </c>
      <c r="V28" s="5" t="s">
        <v>384</v>
      </c>
      <c r="W28" s="5" t="s">
        <v>469</v>
      </c>
      <c r="X28" s="5"/>
      <c r="Y28" s="5" t="s">
        <v>52</v>
      </c>
      <c r="Z28" s="7">
        <v>3790.43</v>
      </c>
      <c r="AA28" s="7">
        <v>0</v>
      </c>
      <c r="AB28" s="7">
        <v>0</v>
      </c>
      <c r="AC28" s="6">
        <v>46188</v>
      </c>
      <c r="AD28" s="7">
        <v>3790.43</v>
      </c>
      <c r="AE28" s="4">
        <v>65</v>
      </c>
      <c r="AF28" s="5" t="s">
        <v>470</v>
      </c>
      <c r="AG28" s="5"/>
      <c r="AH28" s="5"/>
      <c r="AI28" s="5"/>
      <c r="AJ28" s="4"/>
      <c r="AK28" s="5" t="s">
        <v>471</v>
      </c>
      <c r="AL28" s="5" t="s">
        <v>472</v>
      </c>
      <c r="AM28" s="6">
        <v>46185</v>
      </c>
      <c r="AN28" s="5" t="s">
        <v>339</v>
      </c>
      <c r="AO28" s="5" t="s">
        <v>473</v>
      </c>
    </row>
    <row r="29" spans="1:41" x14ac:dyDescent="0.25">
      <c r="A29" s="2"/>
      <c r="B29" s="2"/>
      <c r="C29" s="3">
        <v>46195</v>
      </c>
      <c r="D29" s="4">
        <v>562696935</v>
      </c>
      <c r="E29" s="5" t="s">
        <v>474</v>
      </c>
      <c r="F29" s="6">
        <v>46177</v>
      </c>
      <c r="G29" s="5" t="s">
        <v>462</v>
      </c>
      <c r="H29" s="5" t="s">
        <v>462</v>
      </c>
      <c r="I29" s="5" t="s">
        <v>294</v>
      </c>
      <c r="J29" s="5" t="s">
        <v>475</v>
      </c>
      <c r="K29" s="3"/>
      <c r="L29" s="11">
        <f ca="1">IF($O29="","",$O29-TODAY())</f>
        <v>259</v>
      </c>
      <c r="M29" s="11">
        <f ca="1">IF($C29="","",$C29+365-TODAY())</f>
        <v>277</v>
      </c>
      <c r="N29" s="11">
        <f ca="1">IF($C29="","",$C29+120-TODAY())</f>
        <v>32</v>
      </c>
      <c r="O29" s="6">
        <v>46542</v>
      </c>
      <c r="P29" s="5" t="s">
        <v>51</v>
      </c>
      <c r="Q29" s="5" t="s">
        <v>209</v>
      </c>
      <c r="R29" s="5" t="s">
        <v>51</v>
      </c>
      <c r="S29" s="5" t="s">
        <v>50</v>
      </c>
      <c r="T29" s="5" t="s">
        <v>166</v>
      </c>
      <c r="U29" s="5" t="s">
        <v>50</v>
      </c>
      <c r="V29" s="5" t="s">
        <v>384</v>
      </c>
      <c r="W29" s="5" t="s">
        <v>476</v>
      </c>
      <c r="X29" s="5"/>
      <c r="Y29" s="5" t="s">
        <v>52</v>
      </c>
      <c r="Z29" s="7">
        <v>9040.2199999999993</v>
      </c>
      <c r="AA29" s="7">
        <v>0</v>
      </c>
      <c r="AB29" s="7">
        <v>0</v>
      </c>
      <c r="AC29" s="6">
        <v>46195</v>
      </c>
      <c r="AD29" s="7">
        <v>9040.2199999999993</v>
      </c>
      <c r="AE29" s="4">
        <v>65</v>
      </c>
      <c r="AF29" s="5" t="s">
        <v>477</v>
      </c>
      <c r="AG29" s="5"/>
      <c r="AH29" s="5"/>
      <c r="AI29" s="5"/>
      <c r="AJ29" s="4"/>
      <c r="AK29" s="5" t="s">
        <v>471</v>
      </c>
      <c r="AL29" s="5" t="s">
        <v>472</v>
      </c>
      <c r="AM29" s="6">
        <v>46191</v>
      </c>
      <c r="AN29" s="5" t="s">
        <v>339</v>
      </c>
      <c r="AO29" s="5" t="s">
        <v>478</v>
      </c>
    </row>
    <row r="30" spans="1:41" x14ac:dyDescent="0.25">
      <c r="A30" s="2" t="s">
        <v>41</v>
      </c>
      <c r="B30" s="2"/>
      <c r="C30" s="3">
        <v>46217</v>
      </c>
      <c r="D30" s="4">
        <v>562140958</v>
      </c>
      <c r="E30" s="5" t="s">
        <v>479</v>
      </c>
      <c r="F30" s="6">
        <v>46178</v>
      </c>
      <c r="G30" s="5" t="s">
        <v>136</v>
      </c>
      <c r="H30" s="5" t="s">
        <v>462</v>
      </c>
      <c r="I30" s="5" t="s">
        <v>136</v>
      </c>
      <c r="J30" s="5" t="s">
        <v>435</v>
      </c>
      <c r="K30" s="3"/>
      <c r="L30" s="11">
        <f ca="1">IF($O30="","",$O30-TODAY())</f>
        <v>260</v>
      </c>
      <c r="M30" s="11">
        <f ca="1">IF($C30="","",$C30+365-TODAY())</f>
        <v>299</v>
      </c>
      <c r="N30" s="11">
        <f ca="1">IF($C30="","",$C30+120-TODAY())</f>
        <v>54</v>
      </c>
      <c r="O30" s="6">
        <v>46543</v>
      </c>
      <c r="P30" s="5" t="s">
        <v>51</v>
      </c>
      <c r="Q30" s="5" t="s">
        <v>209</v>
      </c>
      <c r="R30" s="5" t="s">
        <v>51</v>
      </c>
      <c r="S30" s="5" t="s">
        <v>50</v>
      </c>
      <c r="T30" s="5" t="s">
        <v>166</v>
      </c>
      <c r="U30" s="5" t="s">
        <v>50</v>
      </c>
      <c r="V30" s="5" t="s">
        <v>354</v>
      </c>
      <c r="W30" s="5"/>
      <c r="X30" s="5"/>
      <c r="Y30" s="5" t="s">
        <v>335</v>
      </c>
      <c r="Z30" s="7">
        <v>36353.800000000003</v>
      </c>
      <c r="AA30" s="7">
        <v>31016.19</v>
      </c>
      <c r="AB30" s="7">
        <v>4252.7299999999996</v>
      </c>
      <c r="AC30" s="6">
        <v>46217</v>
      </c>
      <c r="AD30" s="7">
        <v>1084.8800000000001</v>
      </c>
      <c r="AE30" s="4">
        <v>64</v>
      </c>
      <c r="AF30" s="5" t="s">
        <v>149</v>
      </c>
      <c r="AG30" s="5"/>
      <c r="AH30" s="5"/>
      <c r="AI30" s="5"/>
      <c r="AJ30" s="4">
        <v>564721141</v>
      </c>
      <c r="AK30" s="5" t="s">
        <v>480</v>
      </c>
      <c r="AL30" s="5" t="s">
        <v>481</v>
      </c>
      <c r="AM30" s="6">
        <v>46185</v>
      </c>
      <c r="AN30" s="5" t="s">
        <v>339</v>
      </c>
      <c r="AO30" s="5" t="s">
        <v>482</v>
      </c>
    </row>
    <row r="31" spans="1:41" x14ac:dyDescent="0.25">
      <c r="A31" s="2"/>
      <c r="B31" s="2"/>
      <c r="C31" s="3"/>
      <c r="D31" s="4">
        <v>564672683</v>
      </c>
      <c r="E31" s="5" t="s">
        <v>486</v>
      </c>
      <c r="F31" s="6">
        <v>46181</v>
      </c>
      <c r="G31" s="5" t="s">
        <v>462</v>
      </c>
      <c r="H31" s="5" t="s">
        <v>462</v>
      </c>
      <c r="I31" s="5" t="s">
        <v>294</v>
      </c>
      <c r="J31" s="5" t="s">
        <v>391</v>
      </c>
      <c r="K31" s="3"/>
      <c r="L31" s="11">
        <f ca="1">IF($O31="","",$O31-TODAY())</f>
        <v>263</v>
      </c>
      <c r="M31" s="11" t="str">
        <f ca="1">IF($C31="","",$C31+365-TODAY())</f>
        <v/>
      </c>
      <c r="N31" s="11" t="str">
        <f ca="1">IF($C31="","",$C31+120-TODAY())</f>
        <v/>
      </c>
      <c r="O31" s="6">
        <v>46546</v>
      </c>
      <c r="P31" s="5" t="s">
        <v>51</v>
      </c>
      <c r="Q31" s="5" t="s">
        <v>209</v>
      </c>
      <c r="R31" s="5" t="s">
        <v>51</v>
      </c>
      <c r="S31" s="5" t="s">
        <v>50</v>
      </c>
      <c r="T31" s="5" t="s">
        <v>166</v>
      </c>
      <c r="U31" s="5" t="s">
        <v>50</v>
      </c>
      <c r="V31" s="5" t="s">
        <v>334</v>
      </c>
      <c r="W31" s="5"/>
      <c r="X31" s="5"/>
      <c r="Y31" s="5" t="s">
        <v>379</v>
      </c>
      <c r="Z31" s="7">
        <v>18176.900000000001</v>
      </c>
      <c r="AA31" s="7">
        <v>0</v>
      </c>
      <c r="AB31" s="7">
        <v>0</v>
      </c>
      <c r="AC31" s="6"/>
      <c r="AD31" s="7">
        <v>18176.900000000001</v>
      </c>
      <c r="AE31" s="4">
        <v>61</v>
      </c>
      <c r="AF31" s="5" t="s">
        <v>149</v>
      </c>
      <c r="AG31" s="5"/>
      <c r="AH31" s="5"/>
      <c r="AI31" s="5"/>
      <c r="AJ31" s="4"/>
      <c r="AK31" s="5" t="s">
        <v>487</v>
      </c>
      <c r="AL31" s="5" t="s">
        <v>488</v>
      </c>
      <c r="AM31" s="6">
        <v>46211</v>
      </c>
      <c r="AN31" s="5" t="s">
        <v>339</v>
      </c>
      <c r="AO31" s="5" t="s">
        <v>489</v>
      </c>
    </row>
    <row r="32" spans="1:41" x14ac:dyDescent="0.25">
      <c r="A32" s="2"/>
      <c r="B32" s="2"/>
      <c r="C32" s="3"/>
      <c r="D32" s="4">
        <v>562699568</v>
      </c>
      <c r="E32" s="5" t="s">
        <v>490</v>
      </c>
      <c r="F32" s="6">
        <v>46182</v>
      </c>
      <c r="G32" s="5" t="s">
        <v>462</v>
      </c>
      <c r="H32" s="5" t="s">
        <v>462</v>
      </c>
      <c r="I32" s="5" t="s">
        <v>230</v>
      </c>
      <c r="J32" s="5" t="s">
        <v>383</v>
      </c>
      <c r="K32" s="3"/>
      <c r="L32" s="11">
        <f ca="1">IF($O32="","",$O32-TODAY())</f>
        <v>264</v>
      </c>
      <c r="M32" s="11" t="str">
        <f ca="1">IF($C32="","",$C32+365-TODAY())</f>
        <v/>
      </c>
      <c r="N32" s="11" t="str">
        <f ca="1">IF($C32="","",$C32+120-TODAY())</f>
        <v/>
      </c>
      <c r="O32" s="6">
        <v>46547</v>
      </c>
      <c r="P32" s="5" t="s">
        <v>51</v>
      </c>
      <c r="Q32" s="5" t="s">
        <v>209</v>
      </c>
      <c r="R32" s="5" t="s">
        <v>51</v>
      </c>
      <c r="S32" s="5" t="s">
        <v>50</v>
      </c>
      <c r="T32" s="5" t="s">
        <v>166</v>
      </c>
      <c r="U32" s="5" t="s">
        <v>50</v>
      </c>
      <c r="V32" s="5" t="s">
        <v>384</v>
      </c>
      <c r="W32" s="5"/>
      <c r="X32" s="5"/>
      <c r="Y32" s="5" t="s">
        <v>52</v>
      </c>
      <c r="Z32" s="7">
        <v>5492.55</v>
      </c>
      <c r="AA32" s="7">
        <v>0</v>
      </c>
      <c r="AB32" s="7">
        <v>0</v>
      </c>
      <c r="AC32" s="6"/>
      <c r="AD32" s="7">
        <v>5492.55</v>
      </c>
      <c r="AE32" s="4">
        <v>60</v>
      </c>
      <c r="AF32" s="5" t="s">
        <v>491</v>
      </c>
      <c r="AG32" s="5"/>
      <c r="AH32" s="5"/>
      <c r="AI32" s="5"/>
      <c r="AJ32" s="4"/>
      <c r="AK32" s="5" t="s">
        <v>464</v>
      </c>
      <c r="AL32" s="5" t="s">
        <v>465</v>
      </c>
      <c r="AM32" s="6">
        <v>46191</v>
      </c>
      <c r="AN32" s="5" t="s">
        <v>339</v>
      </c>
      <c r="AO32" s="5" t="s">
        <v>492</v>
      </c>
    </row>
    <row r="33" spans="1:41" x14ac:dyDescent="0.25">
      <c r="A33" s="2" t="s">
        <v>41</v>
      </c>
      <c r="B33" s="2"/>
      <c r="C33" s="3">
        <v>46211</v>
      </c>
      <c r="D33" s="4">
        <v>563164453</v>
      </c>
      <c r="E33" s="5" t="s">
        <v>501</v>
      </c>
      <c r="F33" s="6">
        <v>46195</v>
      </c>
      <c r="G33" s="5" t="s">
        <v>230</v>
      </c>
      <c r="H33" s="5" t="s">
        <v>462</v>
      </c>
      <c r="I33" s="5" t="s">
        <v>230</v>
      </c>
      <c r="J33" s="5" t="s">
        <v>435</v>
      </c>
      <c r="K33" s="3"/>
      <c r="L33" s="11">
        <f ca="1">IF($O33="","",$O33-TODAY())</f>
        <v>277</v>
      </c>
      <c r="M33" s="11">
        <f ca="1">IF($C33="","",$C33+365-TODAY())</f>
        <v>293</v>
      </c>
      <c r="N33" s="11">
        <f ca="1">IF($C33="","",$C33+120-TODAY())</f>
        <v>48</v>
      </c>
      <c r="O33" s="6">
        <v>46560</v>
      </c>
      <c r="P33" s="5" t="s">
        <v>51</v>
      </c>
      <c r="Q33" s="5" t="s">
        <v>209</v>
      </c>
      <c r="R33" s="5" t="s">
        <v>51</v>
      </c>
      <c r="S33" s="5" t="s">
        <v>50</v>
      </c>
      <c r="T33" s="5" t="s">
        <v>166</v>
      </c>
      <c r="U33" s="5" t="s">
        <v>50</v>
      </c>
      <c r="V33" s="5" t="s">
        <v>354</v>
      </c>
      <c r="W33" s="5"/>
      <c r="X33" s="5"/>
      <c r="Y33" s="5" t="s">
        <v>335</v>
      </c>
      <c r="Z33" s="7">
        <v>36353.800000000003</v>
      </c>
      <c r="AA33" s="7">
        <v>31016.19</v>
      </c>
      <c r="AB33" s="7">
        <v>4252.7299999999996</v>
      </c>
      <c r="AC33" s="6">
        <v>46211</v>
      </c>
      <c r="AD33" s="7">
        <v>1084.8800000000001</v>
      </c>
      <c r="AE33" s="4">
        <v>47</v>
      </c>
      <c r="AF33" s="5" t="s">
        <v>149</v>
      </c>
      <c r="AG33" s="5" t="s">
        <v>403</v>
      </c>
      <c r="AH33" s="5" t="s">
        <v>425</v>
      </c>
      <c r="AI33" s="5"/>
      <c r="AJ33" s="4">
        <v>566076337</v>
      </c>
      <c r="AK33" s="5" t="s">
        <v>471</v>
      </c>
      <c r="AL33" s="5" t="s">
        <v>472</v>
      </c>
      <c r="AM33" s="6">
        <v>46196</v>
      </c>
      <c r="AN33" s="5" t="s">
        <v>339</v>
      </c>
      <c r="AO33" s="5" t="s">
        <v>502</v>
      </c>
    </row>
    <row r="34" spans="1:41" x14ac:dyDescent="0.25">
      <c r="A34" s="2"/>
      <c r="B34" s="2"/>
      <c r="C34" s="3"/>
      <c r="D34" s="4">
        <v>563203416</v>
      </c>
      <c r="E34" s="5" t="s">
        <v>503</v>
      </c>
      <c r="F34" s="6">
        <v>46195</v>
      </c>
      <c r="G34" s="5" t="s">
        <v>462</v>
      </c>
      <c r="H34" s="5" t="s">
        <v>462</v>
      </c>
      <c r="I34" s="5" t="s">
        <v>255</v>
      </c>
      <c r="J34" s="5" t="s">
        <v>411</v>
      </c>
      <c r="K34" s="3"/>
      <c r="L34" s="11">
        <f ca="1">IF($O34="","",$O34-TODAY())</f>
        <v>277</v>
      </c>
      <c r="M34" s="11" t="str">
        <f ca="1">IF($C34="","",$C34+365-TODAY())</f>
        <v/>
      </c>
      <c r="N34" s="11" t="str">
        <f ca="1">IF($C34="","",$C34+120-TODAY())</f>
        <v/>
      </c>
      <c r="O34" s="6">
        <v>46560</v>
      </c>
      <c r="P34" s="5" t="s">
        <v>51</v>
      </c>
      <c r="Q34" s="5" t="s">
        <v>209</v>
      </c>
      <c r="R34" s="5" t="s">
        <v>51</v>
      </c>
      <c r="S34" s="5" t="s">
        <v>50</v>
      </c>
      <c r="T34" s="5" t="s">
        <v>166</v>
      </c>
      <c r="U34" s="5" t="s">
        <v>50</v>
      </c>
      <c r="V34" s="5" t="s">
        <v>384</v>
      </c>
      <c r="W34" s="5"/>
      <c r="X34" s="5"/>
      <c r="Y34" s="5" t="s">
        <v>52</v>
      </c>
      <c r="Z34" s="7">
        <v>6392.96</v>
      </c>
      <c r="AA34" s="7">
        <v>0</v>
      </c>
      <c r="AB34" s="7">
        <v>0</v>
      </c>
      <c r="AC34" s="6"/>
      <c r="AD34" s="7">
        <v>6392.96</v>
      </c>
      <c r="AE34" s="4">
        <v>47</v>
      </c>
      <c r="AF34" s="5" t="s">
        <v>336</v>
      </c>
      <c r="AG34" s="5"/>
      <c r="AH34" s="5"/>
      <c r="AI34" s="5"/>
      <c r="AJ34" s="4"/>
      <c r="AK34" s="5" t="s">
        <v>487</v>
      </c>
      <c r="AL34" s="5" t="s">
        <v>488</v>
      </c>
      <c r="AM34" s="6">
        <v>46196</v>
      </c>
      <c r="AN34" s="5" t="s">
        <v>339</v>
      </c>
      <c r="AO34" s="5" t="s">
        <v>504</v>
      </c>
    </row>
    <row r="35" spans="1:41" x14ac:dyDescent="0.25">
      <c r="A35" s="2"/>
      <c r="B35" s="2"/>
      <c r="C35" s="3">
        <v>46209</v>
      </c>
      <c r="D35" s="4">
        <v>564042566</v>
      </c>
      <c r="E35" s="5" t="s">
        <v>505</v>
      </c>
      <c r="F35" s="6">
        <v>46197</v>
      </c>
      <c r="G35" s="5" t="s">
        <v>462</v>
      </c>
      <c r="H35" s="5" t="s">
        <v>462</v>
      </c>
      <c r="I35" s="5" t="s">
        <v>45</v>
      </c>
      <c r="J35" s="5" t="s">
        <v>506</v>
      </c>
      <c r="K35" s="3"/>
      <c r="L35" s="11">
        <f ca="1">IF($O35="","",$O35-TODAY())</f>
        <v>279</v>
      </c>
      <c r="M35" s="11">
        <f ca="1">IF($C35="","",$C35+365-TODAY())</f>
        <v>291</v>
      </c>
      <c r="N35" s="11">
        <f ca="1">IF($C35="","",$C35+120-TODAY())</f>
        <v>46</v>
      </c>
      <c r="O35" s="6">
        <v>46562</v>
      </c>
      <c r="P35" s="5" t="s">
        <v>51</v>
      </c>
      <c r="Q35" s="5" t="s">
        <v>209</v>
      </c>
      <c r="R35" s="5" t="s">
        <v>51</v>
      </c>
      <c r="S35" s="5" t="s">
        <v>50</v>
      </c>
      <c r="T35" s="5" t="s">
        <v>166</v>
      </c>
      <c r="U35" s="5" t="s">
        <v>50</v>
      </c>
      <c r="V35" s="5" t="s">
        <v>384</v>
      </c>
      <c r="W35" s="5"/>
      <c r="X35" s="5"/>
      <c r="Y35" s="5" t="s">
        <v>52</v>
      </c>
      <c r="Z35" s="7">
        <v>7792.75</v>
      </c>
      <c r="AA35" s="7">
        <v>0</v>
      </c>
      <c r="AB35" s="7">
        <v>0</v>
      </c>
      <c r="AC35" s="6">
        <v>46209</v>
      </c>
      <c r="AD35" s="7">
        <v>7792.75</v>
      </c>
      <c r="AE35" s="4">
        <v>45</v>
      </c>
      <c r="AF35" s="5" t="s">
        <v>507</v>
      </c>
      <c r="AG35" s="5" t="s">
        <v>508</v>
      </c>
      <c r="AH35" s="5"/>
      <c r="AI35" s="5"/>
      <c r="AJ35" s="4"/>
      <c r="AK35" s="5" t="s">
        <v>480</v>
      </c>
      <c r="AL35" s="5" t="s">
        <v>481</v>
      </c>
      <c r="AM35" s="6">
        <v>46204</v>
      </c>
      <c r="AN35" s="5" t="s">
        <v>339</v>
      </c>
      <c r="AO35" s="5" t="s">
        <v>509</v>
      </c>
    </row>
    <row r="36" spans="1:41" x14ac:dyDescent="0.25">
      <c r="A36" s="2"/>
      <c r="B36" s="2"/>
      <c r="C36" s="3"/>
      <c r="D36" s="4">
        <v>564112414</v>
      </c>
      <c r="E36" s="5" t="s">
        <v>510</v>
      </c>
      <c r="F36" s="6">
        <v>46199</v>
      </c>
      <c r="G36" s="5" t="s">
        <v>462</v>
      </c>
      <c r="H36" s="5" t="s">
        <v>462</v>
      </c>
      <c r="I36" s="5" t="s">
        <v>294</v>
      </c>
      <c r="J36" s="5" t="s">
        <v>378</v>
      </c>
      <c r="K36" s="3"/>
      <c r="L36" s="11">
        <f ca="1">IF($O36="","",$O36-TODAY())</f>
        <v>281</v>
      </c>
      <c r="M36" s="11" t="str">
        <f ca="1">IF($C36="","",$C36+365-TODAY())</f>
        <v/>
      </c>
      <c r="N36" s="11" t="str">
        <f ca="1">IF($C36="","",$C36+120-TODAY())</f>
        <v/>
      </c>
      <c r="O36" s="6">
        <v>46564</v>
      </c>
      <c r="P36" s="5" t="s">
        <v>51</v>
      </c>
      <c r="Q36" s="5" t="s">
        <v>209</v>
      </c>
      <c r="R36" s="5" t="s">
        <v>51</v>
      </c>
      <c r="S36" s="5" t="s">
        <v>50</v>
      </c>
      <c r="T36" s="5" t="s">
        <v>166</v>
      </c>
      <c r="U36" s="5" t="s">
        <v>50</v>
      </c>
      <c r="V36" s="5" t="s">
        <v>334</v>
      </c>
      <c r="W36" s="5"/>
      <c r="X36" s="5"/>
      <c r="Y36" s="5" t="s">
        <v>379</v>
      </c>
      <c r="Z36" s="7">
        <v>2958.2</v>
      </c>
      <c r="AA36" s="7">
        <v>0</v>
      </c>
      <c r="AB36" s="7">
        <v>0</v>
      </c>
      <c r="AC36" s="6"/>
      <c r="AD36" s="7">
        <v>2958.2</v>
      </c>
      <c r="AE36" s="4">
        <v>43</v>
      </c>
      <c r="AF36" s="5" t="s">
        <v>149</v>
      </c>
      <c r="AG36" s="5" t="s">
        <v>511</v>
      </c>
      <c r="AH36" s="5"/>
      <c r="AI36" s="5"/>
      <c r="AJ36" s="4"/>
      <c r="AK36" s="5" t="s">
        <v>487</v>
      </c>
      <c r="AL36" s="5" t="s">
        <v>488</v>
      </c>
      <c r="AM36" s="6">
        <v>46205</v>
      </c>
      <c r="AN36" s="5" t="s">
        <v>339</v>
      </c>
      <c r="AO36" s="5" t="s">
        <v>512</v>
      </c>
    </row>
    <row r="37" spans="1:41" x14ac:dyDescent="0.25">
      <c r="A37" s="2" t="s">
        <v>41</v>
      </c>
      <c r="B37" s="2"/>
      <c r="C37" s="3">
        <v>46219</v>
      </c>
      <c r="D37" s="4">
        <v>564117213</v>
      </c>
      <c r="E37" s="5" t="s">
        <v>513</v>
      </c>
      <c r="F37" s="6">
        <v>46202</v>
      </c>
      <c r="G37" s="5" t="s">
        <v>514</v>
      </c>
      <c r="H37" s="5" t="s">
        <v>462</v>
      </c>
      <c r="I37" s="5" t="s">
        <v>514</v>
      </c>
      <c r="J37" s="5" t="s">
        <v>353</v>
      </c>
      <c r="K37" s="3"/>
      <c r="L37" s="11">
        <f ca="1">IF($O37="","",$O37-TODAY())</f>
        <v>284</v>
      </c>
      <c r="M37" s="11">
        <f ca="1">IF($C37="","",$C37+365-TODAY())</f>
        <v>301</v>
      </c>
      <c r="N37" s="11">
        <f ca="1">IF($C37="","",$C37+120-TODAY())</f>
        <v>56</v>
      </c>
      <c r="O37" s="6">
        <v>46567</v>
      </c>
      <c r="P37" s="5" t="s">
        <v>51</v>
      </c>
      <c r="Q37" s="5" t="s">
        <v>209</v>
      </c>
      <c r="R37" s="5" t="s">
        <v>51</v>
      </c>
      <c r="S37" s="5" t="s">
        <v>50</v>
      </c>
      <c r="T37" s="5" t="s">
        <v>166</v>
      </c>
      <c r="U37" s="5" t="s">
        <v>50</v>
      </c>
      <c r="V37" s="5" t="s">
        <v>354</v>
      </c>
      <c r="W37" s="5"/>
      <c r="X37" s="5"/>
      <c r="Y37" s="5" t="s">
        <v>355</v>
      </c>
      <c r="Z37" s="7">
        <v>11832.8</v>
      </c>
      <c r="AA37" s="7">
        <v>10095.450000000001</v>
      </c>
      <c r="AB37" s="7">
        <v>1384.23</v>
      </c>
      <c r="AC37" s="6">
        <v>46219</v>
      </c>
      <c r="AD37" s="7">
        <v>353.12</v>
      </c>
      <c r="AE37" s="4">
        <v>40</v>
      </c>
      <c r="AF37" s="5" t="s">
        <v>149</v>
      </c>
      <c r="AG37" s="5"/>
      <c r="AH37" s="5"/>
      <c r="AI37" s="5"/>
      <c r="AJ37" s="4">
        <v>567247169</v>
      </c>
      <c r="AK37" s="5" t="s">
        <v>464</v>
      </c>
      <c r="AL37" s="5" t="s">
        <v>465</v>
      </c>
      <c r="AM37" s="6">
        <v>46205</v>
      </c>
      <c r="AN37" s="5" t="s">
        <v>339</v>
      </c>
      <c r="AO37" s="5" t="s">
        <v>515</v>
      </c>
    </row>
    <row r="38" spans="1:41" x14ac:dyDescent="0.25">
      <c r="A38" s="2"/>
      <c r="B38" s="2"/>
      <c r="C38" s="3">
        <v>46224</v>
      </c>
      <c r="D38" s="4">
        <v>565309736</v>
      </c>
      <c r="E38" s="5" t="s">
        <v>516</v>
      </c>
      <c r="F38" s="6">
        <v>46202</v>
      </c>
      <c r="G38" s="5" t="s">
        <v>462</v>
      </c>
      <c r="H38" s="5" t="s">
        <v>462</v>
      </c>
      <c r="I38" s="5" t="s">
        <v>247</v>
      </c>
      <c r="J38" s="5" t="s">
        <v>411</v>
      </c>
      <c r="K38" s="3"/>
      <c r="L38" s="11">
        <f ca="1">IF($O38="","",$O38-TODAY())</f>
        <v>284</v>
      </c>
      <c r="M38" s="11">
        <f ca="1">IF($C38="","",$C38+365-TODAY())</f>
        <v>306</v>
      </c>
      <c r="N38" s="11">
        <f ca="1">IF($C38="","",$C38+120-TODAY())</f>
        <v>61</v>
      </c>
      <c r="O38" s="6">
        <v>46567</v>
      </c>
      <c r="P38" s="5" t="s">
        <v>51</v>
      </c>
      <c r="Q38" s="5" t="s">
        <v>209</v>
      </c>
      <c r="R38" s="5" t="s">
        <v>51</v>
      </c>
      <c r="S38" s="5" t="s">
        <v>50</v>
      </c>
      <c r="T38" s="5" t="s">
        <v>166</v>
      </c>
      <c r="U38" s="5" t="s">
        <v>50</v>
      </c>
      <c r="V38" s="5" t="s">
        <v>384</v>
      </c>
      <c r="W38" s="5"/>
      <c r="X38" s="5"/>
      <c r="Y38" s="5" t="s">
        <v>52</v>
      </c>
      <c r="Z38" s="7">
        <v>6392.96</v>
      </c>
      <c r="AA38" s="7">
        <v>0</v>
      </c>
      <c r="AB38" s="7">
        <v>0</v>
      </c>
      <c r="AC38" s="6">
        <v>46224</v>
      </c>
      <c r="AD38" s="7">
        <v>6392.96</v>
      </c>
      <c r="AE38" s="4">
        <v>40</v>
      </c>
      <c r="AF38" s="5" t="s">
        <v>367</v>
      </c>
      <c r="AG38" s="5"/>
      <c r="AH38" s="5"/>
      <c r="AI38" s="5"/>
      <c r="AJ38" s="4"/>
      <c r="AK38" s="5" t="s">
        <v>471</v>
      </c>
      <c r="AL38" s="5" t="s">
        <v>472</v>
      </c>
      <c r="AM38" s="6">
        <v>46204</v>
      </c>
      <c r="AN38" s="5" t="s">
        <v>339</v>
      </c>
      <c r="AO38" s="5" t="s">
        <v>517</v>
      </c>
    </row>
    <row r="39" spans="1:41" x14ac:dyDescent="0.25">
      <c r="A39" s="2"/>
      <c r="B39" s="13" t="s">
        <v>302</v>
      </c>
      <c r="C39" s="3"/>
      <c r="D39" s="4">
        <v>562142694</v>
      </c>
      <c r="E39" s="5" t="s">
        <v>521</v>
      </c>
      <c r="F39" s="6">
        <v>46177</v>
      </c>
      <c r="G39" s="5" t="s">
        <v>304</v>
      </c>
      <c r="H39" s="5" t="s">
        <v>304</v>
      </c>
      <c r="I39" s="5" t="s">
        <v>45</v>
      </c>
      <c r="J39" s="5" t="s">
        <v>522</v>
      </c>
      <c r="K39" s="3"/>
      <c r="L39" s="11" t="str">
        <f ca="1">IF($O39="","",$O39-TODAY())</f>
        <v/>
      </c>
      <c r="M39" s="11"/>
      <c r="N39" s="11"/>
      <c r="O39" s="6"/>
      <c r="P39" s="5"/>
      <c r="Q39" s="5" t="s">
        <v>286</v>
      </c>
      <c r="R39" s="5"/>
      <c r="S39" s="5"/>
      <c r="T39" s="5"/>
      <c r="U39" s="5"/>
      <c r="V39" s="5" t="s">
        <v>384</v>
      </c>
      <c r="W39" s="5"/>
      <c r="X39" s="5"/>
      <c r="Y39" s="5" t="s">
        <v>52</v>
      </c>
      <c r="Z39" s="7">
        <v>9479.4</v>
      </c>
      <c r="AA39" s="7">
        <v>0</v>
      </c>
      <c r="AB39" s="7">
        <v>0</v>
      </c>
      <c r="AC39" s="6"/>
      <c r="AD39" s="7">
        <v>9479.4</v>
      </c>
      <c r="AE39" s="4">
        <v>65</v>
      </c>
      <c r="AF39" s="5" t="s">
        <v>336</v>
      </c>
      <c r="AG39" s="5" t="s">
        <v>523</v>
      </c>
      <c r="AH39" s="5" t="s">
        <v>524</v>
      </c>
      <c r="AI39" s="5"/>
      <c r="AJ39" s="4"/>
      <c r="AK39" s="5" t="s">
        <v>525</v>
      </c>
      <c r="AL39" s="5" t="s">
        <v>113</v>
      </c>
      <c r="AM39" s="6">
        <v>46185</v>
      </c>
      <c r="AN39" s="5" t="s">
        <v>339</v>
      </c>
      <c r="AO39" s="5" t="s">
        <v>526</v>
      </c>
    </row>
    <row r="40" spans="1:41" x14ac:dyDescent="0.25">
      <c r="A40" s="2"/>
      <c r="B40" s="13" t="s">
        <v>302</v>
      </c>
      <c r="C40" s="3"/>
      <c r="D40" s="4">
        <v>564106191</v>
      </c>
      <c r="E40" s="5" t="s">
        <v>521</v>
      </c>
      <c r="F40" s="6">
        <v>46197</v>
      </c>
      <c r="G40" s="5" t="s">
        <v>304</v>
      </c>
      <c r="H40" s="5" t="s">
        <v>304</v>
      </c>
      <c r="I40" s="5" t="s">
        <v>45</v>
      </c>
      <c r="J40" s="5" t="s">
        <v>378</v>
      </c>
      <c r="K40" s="3"/>
      <c r="L40" s="11" t="str">
        <f ca="1">IF($O40="","",$O40-TODAY())</f>
        <v/>
      </c>
      <c r="M40" s="11"/>
      <c r="N40" s="11"/>
      <c r="O40" s="6"/>
      <c r="P40" s="5"/>
      <c r="Q40" s="5" t="s">
        <v>286</v>
      </c>
      <c r="R40" s="5"/>
      <c r="S40" s="5"/>
      <c r="T40" s="5"/>
      <c r="U40" s="5"/>
      <c r="V40" s="5" t="s">
        <v>334</v>
      </c>
      <c r="W40" s="5"/>
      <c r="X40" s="5"/>
      <c r="Y40" s="5" t="s">
        <v>379</v>
      </c>
      <c r="Z40" s="7">
        <v>2958.2</v>
      </c>
      <c r="AA40" s="7">
        <v>0</v>
      </c>
      <c r="AB40" s="7">
        <v>0</v>
      </c>
      <c r="AC40" s="6"/>
      <c r="AD40" s="7">
        <v>2958.2</v>
      </c>
      <c r="AE40" s="4">
        <v>45</v>
      </c>
      <c r="AF40" s="5" t="s">
        <v>149</v>
      </c>
      <c r="AG40" s="5" t="s">
        <v>336</v>
      </c>
      <c r="AH40" s="5"/>
      <c r="AI40" s="5"/>
      <c r="AJ40" s="4"/>
      <c r="AK40" s="5" t="s">
        <v>112</v>
      </c>
      <c r="AL40" s="5" t="s">
        <v>113</v>
      </c>
      <c r="AM40" s="6">
        <v>46205</v>
      </c>
      <c r="AN40" s="5" t="s">
        <v>339</v>
      </c>
      <c r="AO40" s="5" t="s">
        <v>530</v>
      </c>
    </row>
  </sheetData>
  <autoFilter ref="A1:AO40" xr:uid="{00000000-0009-0000-0000-000001000000}"/>
  <conditionalFormatting sqref="L2:L40">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0">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0">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40">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0"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IF($C9="","",$C9+60-TODAY())</f>
        <v>39</v>
      </c>
      <c r="O9" s="6">
        <v>46292</v>
      </c>
      <c r="P9" s="5" t="s">
        <v>47</v>
      </c>
      <c r="Q9" s="5" t="s">
        <v>576</v>
      </c>
      <c r="R9" s="5" t="s">
        <v>47</v>
      </c>
      <c r="S9" s="5" t="s">
        <v>189</v>
      </c>
      <c r="T9" s="5" t="s">
        <v>205</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c r="AO9" s="5" t="s">
        <v>587</v>
      </c>
    </row>
    <row r="10" spans="1:41"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c r="AO10" s="5" t="s">
        <v>593</v>
      </c>
    </row>
    <row r="11" spans="1:41"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c r="AO11" s="5" t="s">
        <v>597</v>
      </c>
    </row>
    <row r="12" spans="1:41"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c r="AO12" s="5" t="s">
        <v>601</v>
      </c>
    </row>
    <row r="13" spans="1:41"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c r="AO13" s="5" t="s">
        <v>606</v>
      </c>
    </row>
    <row r="14" spans="1:41"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c r="AO14" s="5" t="s">
        <v>617</v>
      </c>
    </row>
    <row r="15" spans="1:41"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c r="AO15" s="5" t="s">
        <v>621</v>
      </c>
    </row>
    <row r="16" spans="1:41"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c r="AO16" s="5" t="s">
        <v>634</v>
      </c>
    </row>
    <row r="17" spans="1:41"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c r="AO17" s="5" t="s">
        <v>638</v>
      </c>
    </row>
  </sheetData>
  <autoFilter ref="A1:AO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5"/>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c r="AO5" s="5" t="s">
        <v>665</v>
      </c>
    </row>
    <row r="6" spans="1:41" x14ac:dyDescent="0.25">
      <c r="A6" s="2" t="s">
        <v>78</v>
      </c>
      <c r="B6" s="2" t="s">
        <v>666</v>
      </c>
      <c r="C6" s="3">
        <v>46197</v>
      </c>
      <c r="D6" s="4">
        <v>562573309</v>
      </c>
      <c r="E6" s="5" t="s">
        <v>372</v>
      </c>
      <c r="F6" s="6">
        <v>46181</v>
      </c>
      <c r="G6" s="5" t="s">
        <v>136</v>
      </c>
      <c r="H6" s="5" t="s">
        <v>136</v>
      </c>
      <c r="I6" s="5" t="s">
        <v>45</v>
      </c>
      <c r="J6" s="5" t="s">
        <v>667</v>
      </c>
      <c r="K6" s="3"/>
      <c r="L6" s="11">
        <f ca="1">IF($O6="","",$O6-TODAY())</f>
        <v>-12</v>
      </c>
      <c r="M6" s="11">
        <f ca="1">IF($C6="","",$C6+365-TODAY())</f>
        <v>279</v>
      </c>
      <c r="N6" s="11">
        <f ca="1">IF($C6="","",$C6+365-TODAY())</f>
        <v>279</v>
      </c>
      <c r="O6" s="6">
        <v>46271</v>
      </c>
      <c r="P6" s="5" t="s">
        <v>47</v>
      </c>
      <c r="Q6" s="5" t="s">
        <v>137</v>
      </c>
      <c r="R6" s="5" t="s">
        <v>51</v>
      </c>
      <c r="S6" s="5" t="s">
        <v>50</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c r="AO6" s="5" t="s">
        <v>670</v>
      </c>
    </row>
    <row r="7" spans="1:41"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IF($C7="","",$C7+60-TODAY())</f>
        <v>13</v>
      </c>
      <c r="O7" s="6">
        <v>46271</v>
      </c>
      <c r="P7" s="5" t="s">
        <v>47</v>
      </c>
      <c r="Q7" s="5" t="s">
        <v>576</v>
      </c>
      <c r="R7" s="5" t="s">
        <v>47</v>
      </c>
      <c r="S7" s="5" t="s">
        <v>189</v>
      </c>
      <c r="T7" s="5" t="s">
        <v>205</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c r="AO7" s="5" t="s">
        <v>675</v>
      </c>
    </row>
    <row r="8" spans="1:41" x14ac:dyDescent="0.25">
      <c r="A8" s="2" t="s">
        <v>78</v>
      </c>
      <c r="B8" s="13" t="s">
        <v>666</v>
      </c>
      <c r="C8" s="3">
        <v>46197</v>
      </c>
      <c r="D8" s="4">
        <v>562086355</v>
      </c>
      <c r="E8" s="5" t="s">
        <v>676</v>
      </c>
      <c r="F8" s="6">
        <v>46184</v>
      </c>
      <c r="G8" s="5" t="s">
        <v>136</v>
      </c>
      <c r="H8" s="5" t="s">
        <v>136</v>
      </c>
      <c r="I8" s="5" t="s">
        <v>45</v>
      </c>
      <c r="J8" s="14" t="s">
        <v>677</v>
      </c>
      <c r="K8" s="3"/>
      <c r="L8" s="11">
        <f ca="1">IF($O8="","",$O8-TODAY())</f>
        <v>-9</v>
      </c>
      <c r="M8" s="11">
        <f ca="1">IF($C8="","",$C8+365-TODAY())</f>
        <v>279</v>
      </c>
      <c r="N8" s="11">
        <f ca="1">IF($C8="","",$C8+365-TODAY())</f>
        <v>279</v>
      </c>
      <c r="O8" s="6">
        <v>46274</v>
      </c>
      <c r="P8" s="5" t="s">
        <v>47</v>
      </c>
      <c r="Q8" s="5" t="s">
        <v>137</v>
      </c>
      <c r="R8" s="5" t="s">
        <v>51</v>
      </c>
      <c r="S8" s="5" t="s">
        <v>50</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c r="AO8" s="5" t="s">
        <v>678</v>
      </c>
    </row>
    <row r="9" spans="1:41"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IF($C9="","",$C9+365-TODAY())</f>
        <v>278</v>
      </c>
      <c r="N9" s="11">
        <f ca="1">IF($C9="","",$C9+365-TODAY())</f>
        <v>278</v>
      </c>
      <c r="O9" s="6">
        <v>46274</v>
      </c>
      <c r="P9" s="5" t="s">
        <v>47</v>
      </c>
      <c r="Q9" s="5" t="s">
        <v>137</v>
      </c>
      <c r="R9" s="5" t="s">
        <v>51</v>
      </c>
      <c r="S9" s="5" t="s">
        <v>50</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c r="AO9" s="5" t="s">
        <v>682</v>
      </c>
    </row>
    <row r="10" spans="1:41"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c r="AO10" s="5" t="s">
        <v>685</v>
      </c>
    </row>
    <row r="11" spans="1:41"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c r="AO11" s="5" t="s">
        <v>693</v>
      </c>
    </row>
    <row r="12" spans="1:41"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c r="AO12" s="5" t="s">
        <v>702</v>
      </c>
    </row>
    <row r="13" spans="1:41"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c r="AO13" s="5" t="s">
        <v>708</v>
      </c>
    </row>
    <row r="14" spans="1:41"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c r="AO14" s="5" t="s">
        <v>711</v>
      </c>
    </row>
    <row r="15" spans="1:41"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c r="AO15" s="5" t="s">
        <v>715</v>
      </c>
    </row>
    <row r="16" spans="1:41"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c r="AO16" s="5" t="s">
        <v>717</v>
      </c>
    </row>
    <row r="17" spans="1:41"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c r="AO17" s="5" t="s">
        <v>719</v>
      </c>
    </row>
    <row r="18" spans="1:41"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c r="AO18" s="5" t="s">
        <v>724</v>
      </c>
    </row>
    <row r="19" spans="1:41"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c r="AO19" s="5" t="s">
        <v>733</v>
      </c>
    </row>
    <row r="20" spans="1:41"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c r="AO20" s="5" t="s">
        <v>740</v>
      </c>
    </row>
    <row r="21" spans="1:41" x14ac:dyDescent="0.25">
      <c r="A21" s="2"/>
      <c r="B21" s="2"/>
      <c r="C21" s="3">
        <v>46188</v>
      </c>
      <c r="D21" s="4">
        <v>561270366</v>
      </c>
      <c r="E21" s="5" t="s">
        <v>483</v>
      </c>
      <c r="F21" s="6">
        <v>46177</v>
      </c>
      <c r="G21" s="5" t="s">
        <v>208</v>
      </c>
      <c r="H21" s="5" t="s">
        <v>208</v>
      </c>
      <c r="I21" s="5" t="s">
        <v>484</v>
      </c>
      <c r="J21" s="5" t="s">
        <v>687</v>
      </c>
      <c r="K21" s="3"/>
      <c r="L21" s="11">
        <f ca="1">IF($O21="","",$O21-TODAY())</f>
        <v>259</v>
      </c>
      <c r="M21" s="11">
        <f ca="1">IF($C21="","",$C21+365-TODAY())</f>
        <v>270</v>
      </c>
      <c r="N21" s="11">
        <f ca="1">IF($C21="","",$C21+120-TODAY())</f>
        <v>25</v>
      </c>
      <c r="O21" s="6">
        <v>46542</v>
      </c>
      <c r="P21" s="5" t="s">
        <v>51</v>
      </c>
      <c r="Q21" s="5" t="s">
        <v>209</v>
      </c>
      <c r="R21" s="5" t="s">
        <v>51</v>
      </c>
      <c r="S21" s="5" t="s">
        <v>50</v>
      </c>
      <c r="T21" s="5" t="s">
        <v>166</v>
      </c>
      <c r="U21" s="5" t="s">
        <v>50</v>
      </c>
      <c r="V21" s="5" t="s">
        <v>554</v>
      </c>
      <c r="W21" s="5"/>
      <c r="X21" s="5"/>
      <c r="Y21" s="5" t="s">
        <v>52</v>
      </c>
      <c r="Z21" s="7">
        <v>5614.63</v>
      </c>
      <c r="AA21" s="7">
        <v>0</v>
      </c>
      <c r="AB21" s="7">
        <v>0</v>
      </c>
      <c r="AC21" s="6">
        <v>46188</v>
      </c>
      <c r="AD21" s="7">
        <v>5614.63</v>
      </c>
      <c r="AE21" s="4">
        <v>65</v>
      </c>
      <c r="AF21" s="5" t="s">
        <v>348</v>
      </c>
      <c r="AG21" s="5"/>
      <c r="AH21" s="5"/>
      <c r="AI21" s="5"/>
      <c r="AJ21" s="4"/>
      <c r="AK21" s="5" t="s">
        <v>62</v>
      </c>
      <c r="AL21" s="5" t="s">
        <v>541</v>
      </c>
      <c r="AM21" s="6">
        <v>46181</v>
      </c>
      <c r="AN21" s="5" t="s">
        <v>643</v>
      </c>
      <c r="AO21" s="5" t="s">
        <v>741</v>
      </c>
    </row>
    <row r="22" spans="1:41" x14ac:dyDescent="0.25">
      <c r="A22" s="2"/>
      <c r="B22" s="2"/>
      <c r="C22" s="3">
        <v>46195</v>
      </c>
      <c r="D22" s="4">
        <v>562554208</v>
      </c>
      <c r="E22" s="5" t="s">
        <v>749</v>
      </c>
      <c r="F22" s="6">
        <v>46188</v>
      </c>
      <c r="G22" s="5" t="s">
        <v>208</v>
      </c>
      <c r="H22" s="5" t="s">
        <v>208</v>
      </c>
      <c r="I22" s="5" t="s">
        <v>750</v>
      </c>
      <c r="J22" s="5" t="s">
        <v>751</v>
      </c>
      <c r="K22" s="3"/>
      <c r="L22" s="11">
        <f ca="1">IF($O22="","",$O22-TODAY())</f>
        <v>270</v>
      </c>
      <c r="M22" s="11">
        <f ca="1">IF($C22="","",$C22+365-TODAY())</f>
        <v>277</v>
      </c>
      <c r="N22" s="11">
        <f ca="1">IF($C22="","",$C22+120-TODAY())</f>
        <v>32</v>
      </c>
      <c r="O22" s="6">
        <v>46553</v>
      </c>
      <c r="P22" s="5" t="s">
        <v>51</v>
      </c>
      <c r="Q22" s="5" t="s">
        <v>209</v>
      </c>
      <c r="R22" s="5" t="s">
        <v>51</v>
      </c>
      <c r="S22" s="5" t="s">
        <v>50</v>
      </c>
      <c r="T22" s="5" t="s">
        <v>166</v>
      </c>
      <c r="U22" s="5" t="s">
        <v>50</v>
      </c>
      <c r="V22" s="5"/>
      <c r="W22" s="5"/>
      <c r="X22" s="5"/>
      <c r="Y22" s="5" t="s">
        <v>52</v>
      </c>
      <c r="Z22" s="7">
        <v>5784.24</v>
      </c>
      <c r="AA22" s="7">
        <v>0</v>
      </c>
      <c r="AB22" s="7">
        <v>0</v>
      </c>
      <c r="AC22" s="6">
        <v>46195</v>
      </c>
      <c r="AD22" s="7">
        <v>5784.24</v>
      </c>
      <c r="AE22" s="4">
        <v>54</v>
      </c>
      <c r="AF22" s="5" t="s">
        <v>403</v>
      </c>
      <c r="AG22" s="5" t="s">
        <v>367</v>
      </c>
      <c r="AH22" s="5"/>
      <c r="AI22" s="5"/>
      <c r="AJ22" s="4"/>
      <c r="AK22" s="5" t="s">
        <v>132</v>
      </c>
      <c r="AL22" s="5" t="s">
        <v>558</v>
      </c>
      <c r="AM22" s="6">
        <v>46190</v>
      </c>
      <c r="AN22" s="5" t="s">
        <v>643</v>
      </c>
      <c r="AO22" s="5" t="s">
        <v>752</v>
      </c>
    </row>
    <row r="23" spans="1:41" x14ac:dyDescent="0.25">
      <c r="A23" s="2"/>
      <c r="B23" s="2"/>
      <c r="C23" s="3">
        <v>46218</v>
      </c>
      <c r="D23" s="4">
        <v>564087324</v>
      </c>
      <c r="E23" s="5" t="s">
        <v>756</v>
      </c>
      <c r="F23" s="6">
        <v>46191</v>
      </c>
      <c r="G23" s="5" t="s">
        <v>208</v>
      </c>
      <c r="H23" s="5" t="s">
        <v>208</v>
      </c>
      <c r="I23" s="5" t="s">
        <v>284</v>
      </c>
      <c r="J23" s="5" t="s">
        <v>687</v>
      </c>
      <c r="K23" s="3"/>
      <c r="L23" s="11">
        <f ca="1">IF($O23="","",$O23-TODAY())</f>
        <v>273</v>
      </c>
      <c r="M23" s="11">
        <f ca="1">IF($C23="","",$C23+365-TODAY())</f>
        <v>300</v>
      </c>
      <c r="N23" s="11">
        <f ca="1">IF($C23="","",$C23+120-TODAY())</f>
        <v>55</v>
      </c>
      <c r="O23" s="6">
        <v>46556</v>
      </c>
      <c r="P23" s="5" t="s">
        <v>51</v>
      </c>
      <c r="Q23" s="5" t="s">
        <v>209</v>
      </c>
      <c r="R23" s="5" t="s">
        <v>51</v>
      </c>
      <c r="S23" s="5" t="s">
        <v>50</v>
      </c>
      <c r="T23" s="5" t="s">
        <v>166</v>
      </c>
      <c r="U23" s="5" t="s">
        <v>50</v>
      </c>
      <c r="V23" s="5" t="s">
        <v>554</v>
      </c>
      <c r="W23" s="5"/>
      <c r="X23" s="5"/>
      <c r="Y23" s="5" t="s">
        <v>52</v>
      </c>
      <c r="Z23" s="7">
        <v>5614.63</v>
      </c>
      <c r="AA23" s="7">
        <v>0</v>
      </c>
      <c r="AB23" s="7">
        <v>0</v>
      </c>
      <c r="AC23" s="6">
        <v>46218</v>
      </c>
      <c r="AD23" s="7">
        <v>5614.63</v>
      </c>
      <c r="AE23" s="4">
        <v>51</v>
      </c>
      <c r="AF23" s="5" t="s">
        <v>348</v>
      </c>
      <c r="AG23" s="5"/>
      <c r="AH23" s="5"/>
      <c r="AI23" s="5"/>
      <c r="AJ23" s="4"/>
      <c r="AK23" s="5" t="s">
        <v>55</v>
      </c>
      <c r="AL23" s="5" t="s">
        <v>558</v>
      </c>
      <c r="AM23" s="6">
        <v>46210</v>
      </c>
      <c r="AN23" s="5" t="s">
        <v>643</v>
      </c>
      <c r="AO23" s="5" t="s">
        <v>757</v>
      </c>
    </row>
    <row r="24" spans="1:41" x14ac:dyDescent="0.25">
      <c r="A24" s="2"/>
      <c r="B24" s="13" t="s">
        <v>302</v>
      </c>
      <c r="C24" s="3"/>
      <c r="D24" s="4">
        <v>563830748</v>
      </c>
      <c r="E24" s="5" t="s">
        <v>521</v>
      </c>
      <c r="F24" s="6">
        <v>46193</v>
      </c>
      <c r="G24" s="5" t="s">
        <v>304</v>
      </c>
      <c r="H24" s="5" t="s">
        <v>304</v>
      </c>
      <c r="I24" s="5" t="s">
        <v>45</v>
      </c>
      <c r="J24" s="5" t="s">
        <v>760</v>
      </c>
      <c r="K24" s="3"/>
      <c r="L24" s="11" t="str">
        <f ca="1">IF($O24="","",$O24-TODAY())</f>
        <v/>
      </c>
      <c r="M24" s="11"/>
      <c r="N24" s="11"/>
      <c r="O24" s="6"/>
      <c r="P24" s="5"/>
      <c r="Q24" s="5" t="s">
        <v>286</v>
      </c>
      <c r="R24" s="5"/>
      <c r="S24" s="5"/>
      <c r="T24" s="5"/>
      <c r="U24" s="5"/>
      <c r="V24" s="5"/>
      <c r="W24" s="5"/>
      <c r="X24" s="5"/>
      <c r="Y24" s="5" t="s">
        <v>52</v>
      </c>
      <c r="Z24" s="7">
        <v>11094.23</v>
      </c>
      <c r="AA24" s="7">
        <v>0</v>
      </c>
      <c r="AB24" s="7">
        <v>0</v>
      </c>
      <c r="AC24" s="6"/>
      <c r="AD24" s="7">
        <v>11094.23</v>
      </c>
      <c r="AE24" s="4">
        <v>49</v>
      </c>
      <c r="AF24" s="5" t="s">
        <v>761</v>
      </c>
      <c r="AG24" s="5" t="s">
        <v>511</v>
      </c>
      <c r="AH24" s="5" t="s">
        <v>647</v>
      </c>
      <c r="AI24" s="5" t="s">
        <v>762</v>
      </c>
      <c r="AJ24" s="4"/>
      <c r="AK24" s="5" t="s">
        <v>132</v>
      </c>
      <c r="AL24" s="5" t="s">
        <v>558</v>
      </c>
      <c r="AM24" s="6">
        <v>46203</v>
      </c>
      <c r="AN24" s="5" t="s">
        <v>643</v>
      </c>
      <c r="AO24" s="5" t="s">
        <v>763</v>
      </c>
    </row>
    <row r="25" spans="1:41" x14ac:dyDescent="0.25">
      <c r="A25" s="2"/>
      <c r="B25" s="2"/>
      <c r="C25" s="3"/>
      <c r="D25" s="4">
        <v>564560469</v>
      </c>
      <c r="E25" s="5" t="s">
        <v>771</v>
      </c>
      <c r="F25" s="6">
        <v>46202</v>
      </c>
      <c r="G25" s="5" t="s">
        <v>297</v>
      </c>
      <c r="H25" s="5" t="s">
        <v>297</v>
      </c>
      <c r="I25" s="5" t="s">
        <v>165</v>
      </c>
      <c r="J25" s="5" t="s">
        <v>772</v>
      </c>
      <c r="K25" s="3"/>
      <c r="L25" s="11" t="str">
        <f ca="1">IF($O25="","",$O25-TODAY())</f>
        <v/>
      </c>
      <c r="M25" s="11"/>
      <c r="N25" s="11"/>
      <c r="O25" s="6"/>
      <c r="P25" s="5"/>
      <c r="Q25" s="5" t="s">
        <v>286</v>
      </c>
      <c r="R25" s="5"/>
      <c r="S25" s="5"/>
      <c r="T25" s="5"/>
      <c r="U25" s="5"/>
      <c r="V25" s="5"/>
      <c r="W25" s="5"/>
      <c r="X25" s="5"/>
      <c r="Y25" s="5" t="s">
        <v>184</v>
      </c>
      <c r="Z25" s="7">
        <v>15998.71</v>
      </c>
      <c r="AA25" s="7">
        <v>0</v>
      </c>
      <c r="AB25" s="7">
        <v>0</v>
      </c>
      <c r="AC25" s="6"/>
      <c r="AD25" s="7">
        <v>15998.71</v>
      </c>
      <c r="AE25" s="4">
        <v>40</v>
      </c>
      <c r="AF25" s="5" t="s">
        <v>336</v>
      </c>
      <c r="AG25" s="5" t="s">
        <v>367</v>
      </c>
      <c r="AH25" s="5" t="s">
        <v>773</v>
      </c>
      <c r="AI25" s="5"/>
      <c r="AJ25" s="4"/>
      <c r="AK25" s="5" t="s">
        <v>132</v>
      </c>
      <c r="AL25" s="5" t="s">
        <v>558</v>
      </c>
      <c r="AM25" s="6">
        <v>46210</v>
      </c>
      <c r="AN25" s="5" t="s">
        <v>643</v>
      </c>
      <c r="AO25" s="5" t="s">
        <v>774</v>
      </c>
    </row>
  </sheetData>
  <autoFilter ref="A1:AO25" xr:uid="{00000000-0009-0000-0000-000003000000}"/>
  <conditionalFormatting sqref="L2:L25">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5">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5">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5">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7"/>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t="s">
        <v>127</v>
      </c>
      <c r="B3" s="13" t="s">
        <v>782</v>
      </c>
      <c r="C3" s="3"/>
      <c r="D3" s="4">
        <v>563023143</v>
      </c>
      <c r="E3" s="5" t="s">
        <v>783</v>
      </c>
      <c r="F3" s="6">
        <v>46177</v>
      </c>
      <c r="G3" s="5" t="s">
        <v>130</v>
      </c>
      <c r="H3" s="5" t="s">
        <v>130</v>
      </c>
      <c r="I3" s="5" t="s">
        <v>45</v>
      </c>
      <c r="J3" s="5" t="s">
        <v>777</v>
      </c>
      <c r="K3" s="3">
        <v>46275</v>
      </c>
      <c r="L3" s="11">
        <f ca="1">IF($O3="","",$O3-TODAY())</f>
        <v>-16</v>
      </c>
      <c r="M3" s="11" t="str">
        <f ca="1">IF($C3="","",$C3+180-TODAY())</f>
        <v/>
      </c>
      <c r="N3" s="11" t="str">
        <f ca="1">IF($C3="","",$C3+365-TODAY())</f>
        <v/>
      </c>
      <c r="O3" s="6">
        <v>46267</v>
      </c>
      <c r="P3" s="5" t="s">
        <v>47</v>
      </c>
      <c r="Q3" s="5" t="s">
        <v>131</v>
      </c>
      <c r="R3" s="5" t="s">
        <v>49</v>
      </c>
      <c r="S3" s="5" t="s">
        <v>50</v>
      </c>
      <c r="T3" s="5" t="s">
        <v>51</v>
      </c>
      <c r="U3" s="5" t="s">
        <v>50</v>
      </c>
      <c r="V3" s="5"/>
      <c r="W3" s="5"/>
      <c r="X3" s="5"/>
      <c r="Y3" s="5" t="s">
        <v>52</v>
      </c>
      <c r="Z3" s="7">
        <v>1294.23</v>
      </c>
      <c r="AA3" s="7">
        <v>0</v>
      </c>
      <c r="AB3" s="7">
        <v>0</v>
      </c>
      <c r="AC3" s="6"/>
      <c r="AD3" s="7">
        <v>1294.23</v>
      </c>
      <c r="AE3" s="4">
        <v>65</v>
      </c>
      <c r="AF3" s="5" t="s">
        <v>784</v>
      </c>
      <c r="AG3" s="5" t="s">
        <v>785</v>
      </c>
      <c r="AH3" s="5"/>
      <c r="AI3" s="5"/>
      <c r="AJ3" s="4"/>
      <c r="AK3" s="5" t="s">
        <v>97</v>
      </c>
      <c r="AL3" s="5" t="s">
        <v>786</v>
      </c>
      <c r="AM3" s="6">
        <v>46195</v>
      </c>
      <c r="AN3" s="5" t="s">
        <v>780</v>
      </c>
      <c r="AO3" s="5" t="s">
        <v>787</v>
      </c>
    </row>
    <row r="4" spans="1:41" x14ac:dyDescent="0.25">
      <c r="A4" s="2" t="s">
        <v>78</v>
      </c>
      <c r="B4" s="2" t="s">
        <v>788</v>
      </c>
      <c r="C4" s="3">
        <v>46247</v>
      </c>
      <c r="D4" s="4">
        <v>563060686</v>
      </c>
      <c r="E4" s="5" t="s">
        <v>789</v>
      </c>
      <c r="F4" s="6">
        <v>46182</v>
      </c>
      <c r="G4" s="5" t="s">
        <v>66</v>
      </c>
      <c r="H4" s="5" t="s">
        <v>66</v>
      </c>
      <c r="I4" s="5" t="s">
        <v>45</v>
      </c>
      <c r="J4" s="5" t="s">
        <v>790</v>
      </c>
      <c r="K4" s="3">
        <v>46271</v>
      </c>
      <c r="L4" s="11">
        <f ca="1">IF($O4="","",$O4-TODAY())</f>
        <v>-11</v>
      </c>
      <c r="M4" s="11">
        <f ca="1">IF($C4="","",$C4+180-TODAY())</f>
        <v>144</v>
      </c>
      <c r="N4" s="11">
        <f ca="1">IF($C4="","",$C4+365-TODAY())</f>
        <v>329</v>
      </c>
      <c r="O4" s="6">
        <v>46272</v>
      </c>
      <c r="P4" s="5" t="s">
        <v>47</v>
      </c>
      <c r="Q4" s="5" t="s">
        <v>67</v>
      </c>
      <c r="R4" s="5" t="s">
        <v>49</v>
      </c>
      <c r="S4" s="5" t="s">
        <v>50</v>
      </c>
      <c r="T4" s="5" t="s">
        <v>51</v>
      </c>
      <c r="U4" s="5" t="s">
        <v>50</v>
      </c>
      <c r="V4" s="5"/>
      <c r="W4" s="5"/>
      <c r="X4" s="5"/>
      <c r="Y4" s="5" t="s">
        <v>52</v>
      </c>
      <c r="Z4" s="7">
        <v>3822.49</v>
      </c>
      <c r="AA4" s="7">
        <v>0</v>
      </c>
      <c r="AB4" s="7">
        <v>0</v>
      </c>
      <c r="AC4" s="6"/>
      <c r="AD4" s="7">
        <v>3822.49</v>
      </c>
      <c r="AE4" s="4">
        <v>60</v>
      </c>
      <c r="AF4" s="5" t="s">
        <v>403</v>
      </c>
      <c r="AG4" s="5" t="s">
        <v>791</v>
      </c>
      <c r="AH4" s="5" t="s">
        <v>155</v>
      </c>
      <c r="AI4" s="5" t="s">
        <v>792</v>
      </c>
      <c r="AJ4" s="4"/>
      <c r="AK4" s="5" t="s">
        <v>85</v>
      </c>
      <c r="AL4" s="5" t="s">
        <v>63</v>
      </c>
      <c r="AM4" s="6">
        <v>46195</v>
      </c>
      <c r="AN4" s="5" t="s">
        <v>780</v>
      </c>
      <c r="AO4" s="5" t="s">
        <v>793</v>
      </c>
    </row>
    <row r="5" spans="1:41" x14ac:dyDescent="0.25">
      <c r="A5" s="2" t="s">
        <v>78</v>
      </c>
      <c r="B5" s="13" t="s">
        <v>794</v>
      </c>
      <c r="C5" s="3">
        <v>46204</v>
      </c>
      <c r="D5" s="4">
        <v>563063291</v>
      </c>
      <c r="E5" s="5" t="s">
        <v>795</v>
      </c>
      <c r="F5" s="6">
        <v>46183</v>
      </c>
      <c r="G5" s="5" t="s">
        <v>136</v>
      </c>
      <c r="H5" s="5" t="s">
        <v>136</v>
      </c>
      <c r="I5" s="5" t="s">
        <v>45</v>
      </c>
      <c r="J5" s="5" t="s">
        <v>796</v>
      </c>
      <c r="K5" s="3">
        <v>46276</v>
      </c>
      <c r="L5" s="11">
        <f ca="1">IF($O5="","",$O5-TODAY())</f>
        <v>-10</v>
      </c>
      <c r="M5" s="11">
        <f ca="1">IF($C5="","",$C5+365-TODAY())</f>
        <v>286</v>
      </c>
      <c r="N5" s="11">
        <f ca="1">IF($C5="","",$C5+365-TODAY())</f>
        <v>286</v>
      </c>
      <c r="O5" s="6">
        <v>46273</v>
      </c>
      <c r="P5" s="5" t="s">
        <v>47</v>
      </c>
      <c r="Q5" s="5" t="s">
        <v>137</v>
      </c>
      <c r="R5" s="5" t="s">
        <v>51</v>
      </c>
      <c r="S5" s="5" t="s">
        <v>50</v>
      </c>
      <c r="T5" s="5" t="s">
        <v>51</v>
      </c>
      <c r="U5" s="5" t="s">
        <v>50</v>
      </c>
      <c r="V5" s="5"/>
      <c r="W5" s="5"/>
      <c r="X5" s="5"/>
      <c r="Y5" s="5" t="s">
        <v>52</v>
      </c>
      <c r="Z5" s="7">
        <v>2528.2600000000002</v>
      </c>
      <c r="AA5" s="7">
        <v>0</v>
      </c>
      <c r="AB5" s="7">
        <v>0</v>
      </c>
      <c r="AC5" s="6">
        <v>46204</v>
      </c>
      <c r="AD5" s="7">
        <v>2528.2600000000002</v>
      </c>
      <c r="AE5" s="4">
        <v>59</v>
      </c>
      <c r="AF5" s="5" t="s">
        <v>797</v>
      </c>
      <c r="AG5" s="5"/>
      <c r="AH5" s="5"/>
      <c r="AI5" s="5"/>
      <c r="AJ5" s="4"/>
      <c r="AK5" s="5" t="s">
        <v>68</v>
      </c>
      <c r="AL5" s="5" t="s">
        <v>113</v>
      </c>
      <c r="AM5" s="6">
        <v>46195</v>
      </c>
      <c r="AN5" s="5" t="s">
        <v>780</v>
      </c>
      <c r="AO5" s="5" t="s">
        <v>798</v>
      </c>
    </row>
    <row r="6" spans="1:41" x14ac:dyDescent="0.25">
      <c r="A6" s="2" t="s">
        <v>41</v>
      </c>
      <c r="B6" s="13" t="s">
        <v>913</v>
      </c>
      <c r="C6" s="3">
        <v>46202</v>
      </c>
      <c r="D6" s="4">
        <v>570990107</v>
      </c>
      <c r="E6" s="5" t="s">
        <v>799</v>
      </c>
      <c r="F6" s="6">
        <v>46190</v>
      </c>
      <c r="G6" s="5" t="s">
        <v>360</v>
      </c>
      <c r="H6" s="5" t="s">
        <v>360</v>
      </c>
      <c r="I6" s="5" t="s">
        <v>45</v>
      </c>
      <c r="J6" s="5" t="s">
        <v>800</v>
      </c>
      <c r="K6" s="3">
        <v>46282</v>
      </c>
      <c r="L6" s="11">
        <f ca="1">IF($O6="","",$O6-TODAY())</f>
        <v>-3</v>
      </c>
      <c r="M6" s="11">
        <f ca="1">IF($F6="","",$F6+90-TODAY())</f>
        <v>-3</v>
      </c>
      <c r="N6" s="11">
        <f ca="1">IF($C6="","",$C6+180-TODAY())</f>
        <v>99</v>
      </c>
      <c r="O6" s="6">
        <v>46280</v>
      </c>
      <c r="P6" s="5" t="s">
        <v>47</v>
      </c>
      <c r="Q6" s="5" t="s">
        <v>361</v>
      </c>
      <c r="R6" s="5" t="s">
        <v>47</v>
      </c>
      <c r="S6" s="5" t="s">
        <v>189</v>
      </c>
      <c r="T6" s="5" t="s">
        <v>49</v>
      </c>
      <c r="U6" s="5" t="s">
        <v>50</v>
      </c>
      <c r="V6" s="5"/>
      <c r="W6" s="5"/>
      <c r="X6" s="5"/>
      <c r="Y6" s="5" t="s">
        <v>52</v>
      </c>
      <c r="Z6" s="7">
        <v>879.06</v>
      </c>
      <c r="AA6" s="7">
        <v>0</v>
      </c>
      <c r="AB6" s="7">
        <v>0</v>
      </c>
      <c r="AC6" s="6">
        <v>46202</v>
      </c>
      <c r="AD6" s="7">
        <v>879.06</v>
      </c>
      <c r="AE6" s="4">
        <v>52</v>
      </c>
      <c r="AF6" s="5" t="s">
        <v>801</v>
      </c>
      <c r="AG6" s="5" t="s">
        <v>778</v>
      </c>
      <c r="AH6" s="5"/>
      <c r="AI6" s="5"/>
      <c r="AJ6" s="4"/>
      <c r="AK6" s="5" t="s">
        <v>68</v>
      </c>
      <c r="AL6" s="5" t="s">
        <v>113</v>
      </c>
      <c r="AM6" s="6">
        <v>46195</v>
      </c>
      <c r="AN6" s="5" t="s">
        <v>780</v>
      </c>
      <c r="AO6" s="5" t="s">
        <v>802</v>
      </c>
    </row>
    <row r="7" spans="1:41" x14ac:dyDescent="0.25">
      <c r="A7" s="2" t="s">
        <v>127</v>
      </c>
      <c r="B7" s="2" t="s">
        <v>803</v>
      </c>
      <c r="C7" s="3"/>
      <c r="D7" s="4">
        <v>564069244</v>
      </c>
      <c r="E7" s="5" t="s">
        <v>804</v>
      </c>
      <c r="F7" s="6">
        <v>46198</v>
      </c>
      <c r="G7" s="5" t="s">
        <v>130</v>
      </c>
      <c r="H7" s="5" t="s">
        <v>130</v>
      </c>
      <c r="I7" s="5" t="s">
        <v>45</v>
      </c>
      <c r="J7" s="5" t="s">
        <v>790</v>
      </c>
      <c r="K7" s="3">
        <v>46273</v>
      </c>
      <c r="L7" s="11">
        <f ca="1">IF($O7="","",$O7-TODAY())</f>
        <v>5</v>
      </c>
      <c r="M7" s="11" t="str">
        <f ca="1">IF($C7="","",$C7+180-TODAY())</f>
        <v/>
      </c>
      <c r="N7" s="11" t="str">
        <f ca="1">IF($C7="","",$C7+365-TODAY())</f>
        <v/>
      </c>
      <c r="O7" s="6">
        <v>46288</v>
      </c>
      <c r="P7" s="5" t="s">
        <v>47</v>
      </c>
      <c r="Q7" s="5" t="s">
        <v>131</v>
      </c>
      <c r="R7" s="5" t="s">
        <v>49</v>
      </c>
      <c r="S7" s="5" t="s">
        <v>50</v>
      </c>
      <c r="T7" s="5" t="s">
        <v>51</v>
      </c>
      <c r="U7" s="5" t="s">
        <v>50</v>
      </c>
      <c r="V7" s="5"/>
      <c r="W7" s="5"/>
      <c r="X7" s="5"/>
      <c r="Y7" s="5" t="s">
        <v>52</v>
      </c>
      <c r="Z7" s="7">
        <v>3822.49</v>
      </c>
      <c r="AA7" s="7">
        <v>0</v>
      </c>
      <c r="AB7" s="7">
        <v>0</v>
      </c>
      <c r="AC7" s="6"/>
      <c r="AD7" s="7">
        <v>3822.49</v>
      </c>
      <c r="AE7" s="4">
        <v>44</v>
      </c>
      <c r="AF7" s="5" t="s">
        <v>805</v>
      </c>
      <c r="AG7" s="5"/>
      <c r="AH7" s="5"/>
      <c r="AI7" s="5"/>
      <c r="AJ7" s="4"/>
      <c r="AK7" s="5" t="s">
        <v>97</v>
      </c>
      <c r="AL7" s="5" t="s">
        <v>786</v>
      </c>
      <c r="AM7" s="6">
        <v>46204</v>
      </c>
      <c r="AN7" s="5" t="s">
        <v>780</v>
      </c>
      <c r="AO7" s="5" t="s">
        <v>806</v>
      </c>
    </row>
    <row r="8" spans="1:41" x14ac:dyDescent="0.25">
      <c r="A8" s="2"/>
      <c r="B8" s="2"/>
      <c r="C8" s="3"/>
      <c r="D8" s="4">
        <v>564070165</v>
      </c>
      <c r="E8" s="5" t="s">
        <v>807</v>
      </c>
      <c r="F8" s="6">
        <v>46203</v>
      </c>
      <c r="G8" s="5" t="s">
        <v>44</v>
      </c>
      <c r="H8" s="5" t="s">
        <v>44</v>
      </c>
      <c r="I8" s="5" t="s">
        <v>215</v>
      </c>
      <c r="J8" s="5" t="s">
        <v>808</v>
      </c>
      <c r="K8" s="3"/>
      <c r="L8" s="11">
        <f ca="1">IF($O8="","",$O8-TODAY())</f>
        <v>10</v>
      </c>
      <c r="M8" s="11" t="str">
        <f ca="1">IF($C8="","",$C8+180-TODAY())</f>
        <v/>
      </c>
      <c r="N8" s="11" t="str">
        <f ca="1">IF($C8="","",$C8+365-TODAY())</f>
        <v/>
      </c>
      <c r="O8" s="6">
        <v>46293</v>
      </c>
      <c r="P8" s="5" t="s">
        <v>47</v>
      </c>
      <c r="Q8" s="5" t="s">
        <v>48</v>
      </c>
      <c r="R8" s="5" t="s">
        <v>49</v>
      </c>
      <c r="S8" s="5" t="s">
        <v>50</v>
      </c>
      <c r="T8" s="5" t="s">
        <v>51</v>
      </c>
      <c r="U8" s="5" t="s">
        <v>50</v>
      </c>
      <c r="V8" s="5"/>
      <c r="W8" s="5"/>
      <c r="X8" s="5"/>
      <c r="Y8" s="5" t="s">
        <v>52</v>
      </c>
      <c r="Z8" s="7">
        <v>3822.49</v>
      </c>
      <c r="AA8" s="7">
        <v>0</v>
      </c>
      <c r="AB8" s="7">
        <v>0</v>
      </c>
      <c r="AC8" s="6"/>
      <c r="AD8" s="7">
        <v>3822.49</v>
      </c>
      <c r="AE8" s="4">
        <v>39</v>
      </c>
      <c r="AF8" s="5" t="s">
        <v>785</v>
      </c>
      <c r="AG8" s="5" t="s">
        <v>809</v>
      </c>
      <c r="AH8" s="5" t="s">
        <v>778</v>
      </c>
      <c r="AI8" s="5"/>
      <c r="AJ8" s="4"/>
      <c r="AK8" s="5" t="s">
        <v>85</v>
      </c>
      <c r="AL8" s="5" t="s">
        <v>63</v>
      </c>
      <c r="AM8" s="6">
        <v>46204</v>
      </c>
      <c r="AN8" s="5" t="s">
        <v>780</v>
      </c>
      <c r="AO8" s="5" t="s">
        <v>810</v>
      </c>
    </row>
    <row r="9" spans="1:41" x14ac:dyDescent="0.25">
      <c r="A9" s="2"/>
      <c r="B9" s="2"/>
      <c r="C9" s="3">
        <v>46227</v>
      </c>
      <c r="D9" s="4">
        <v>563071059</v>
      </c>
      <c r="E9" s="5" t="s">
        <v>811</v>
      </c>
      <c r="F9" s="6">
        <v>46190</v>
      </c>
      <c r="G9" s="5" t="s">
        <v>812</v>
      </c>
      <c r="H9" s="5" t="s">
        <v>812</v>
      </c>
      <c r="I9" s="5" t="s">
        <v>45</v>
      </c>
      <c r="J9" s="5" t="s">
        <v>800</v>
      </c>
      <c r="K9" s="3"/>
      <c r="L9" s="11">
        <f ca="1">IF($O9="","",$O9-TODAY())</f>
        <v>27</v>
      </c>
      <c r="M9" s="11">
        <f ca="1">IF($C9="","",$C9+180-TODAY())</f>
        <v>124</v>
      </c>
      <c r="N9" s="11">
        <f ca="1">IF($C9="","",$C9+180-TODAY())</f>
        <v>124</v>
      </c>
      <c r="O9" s="6">
        <v>46310</v>
      </c>
      <c r="P9" s="5" t="s">
        <v>166</v>
      </c>
      <c r="Q9" s="5" t="s">
        <v>183</v>
      </c>
      <c r="R9" s="5" t="s">
        <v>49</v>
      </c>
      <c r="S9" s="5" t="s">
        <v>50</v>
      </c>
      <c r="T9" s="5" t="s">
        <v>49</v>
      </c>
      <c r="U9" s="5" t="s">
        <v>50</v>
      </c>
      <c r="V9" s="5"/>
      <c r="W9" s="5"/>
      <c r="X9" s="5"/>
      <c r="Y9" s="5" t="s">
        <v>52</v>
      </c>
      <c r="Z9" s="7">
        <v>879.06</v>
      </c>
      <c r="AA9" s="7">
        <v>0</v>
      </c>
      <c r="AB9" s="7">
        <v>0</v>
      </c>
      <c r="AC9" s="6">
        <v>46227</v>
      </c>
      <c r="AD9" s="7">
        <v>879.06</v>
      </c>
      <c r="AE9" s="4">
        <v>52</v>
      </c>
      <c r="AF9" s="5" t="s">
        <v>797</v>
      </c>
      <c r="AG9" s="5"/>
      <c r="AH9" s="5"/>
      <c r="AI9" s="5"/>
      <c r="AJ9" s="4"/>
      <c r="AK9" s="5" t="s">
        <v>68</v>
      </c>
      <c r="AL9" s="5" t="s">
        <v>113</v>
      </c>
      <c r="AM9" s="6">
        <v>46195</v>
      </c>
      <c r="AN9" s="5" t="s">
        <v>780</v>
      </c>
      <c r="AO9" s="5" t="s">
        <v>813</v>
      </c>
    </row>
    <row r="10" spans="1:41" x14ac:dyDescent="0.25">
      <c r="A10" s="2"/>
      <c r="B10" s="2"/>
      <c r="C10" s="3"/>
      <c r="D10" s="4">
        <v>564059272</v>
      </c>
      <c r="E10" s="5" t="s">
        <v>814</v>
      </c>
      <c r="F10" s="6">
        <v>46191</v>
      </c>
      <c r="G10" s="5" t="s">
        <v>170</v>
      </c>
      <c r="H10" s="5" t="s">
        <v>170</v>
      </c>
      <c r="I10" s="5" t="s">
        <v>45</v>
      </c>
      <c r="J10" s="5" t="s">
        <v>815</v>
      </c>
      <c r="K10" s="3"/>
      <c r="L10" s="11">
        <f ca="1">IF($O10="","",$O10-TODAY())</f>
        <v>28</v>
      </c>
      <c r="M10" s="11" t="str">
        <f ca="1">IF($C10="","",$C10+365-TODAY())</f>
        <v/>
      </c>
      <c r="N10" s="11" t="str">
        <f ca="1">IF($C10="","",$C10+90-TODAY())</f>
        <v/>
      </c>
      <c r="O10" s="6">
        <v>46311</v>
      </c>
      <c r="P10" s="5" t="s">
        <v>166</v>
      </c>
      <c r="Q10" s="5" t="s">
        <v>171</v>
      </c>
      <c r="R10" s="5" t="s">
        <v>51</v>
      </c>
      <c r="S10" s="5" t="s">
        <v>50</v>
      </c>
      <c r="T10" s="5" t="s">
        <v>47</v>
      </c>
      <c r="U10" s="5" t="s">
        <v>50</v>
      </c>
      <c r="V10" s="5"/>
      <c r="W10" s="5"/>
      <c r="X10" s="5"/>
      <c r="Y10" s="5" t="s">
        <v>52</v>
      </c>
      <c r="Z10" s="7">
        <v>3822.49</v>
      </c>
      <c r="AA10" s="7">
        <v>0</v>
      </c>
      <c r="AB10" s="7">
        <v>0</v>
      </c>
      <c r="AC10" s="6"/>
      <c r="AD10" s="7">
        <v>3822.49</v>
      </c>
      <c r="AE10" s="4">
        <v>51</v>
      </c>
      <c r="AF10" s="5" t="s">
        <v>816</v>
      </c>
      <c r="AG10" s="5"/>
      <c r="AH10" s="5"/>
      <c r="AI10" s="5"/>
      <c r="AJ10" s="4"/>
      <c r="AK10" s="5" t="s">
        <v>97</v>
      </c>
      <c r="AL10" s="5" t="s">
        <v>786</v>
      </c>
      <c r="AM10" s="6">
        <v>46204</v>
      </c>
      <c r="AN10" s="5" t="s">
        <v>780</v>
      </c>
      <c r="AO10" s="5" t="s">
        <v>817</v>
      </c>
    </row>
    <row r="11" spans="1:41" x14ac:dyDescent="0.25">
      <c r="A11" s="2"/>
      <c r="B11" s="2"/>
      <c r="C11" s="3">
        <v>46202</v>
      </c>
      <c r="D11" s="4">
        <v>563006512</v>
      </c>
      <c r="E11" s="5" t="s">
        <v>824</v>
      </c>
      <c r="F11" s="6">
        <v>46175</v>
      </c>
      <c r="G11" s="5" t="s">
        <v>208</v>
      </c>
      <c r="H11" s="5" t="s">
        <v>208</v>
      </c>
      <c r="I11" s="5" t="s">
        <v>230</v>
      </c>
      <c r="J11" s="5" t="s">
        <v>825</v>
      </c>
      <c r="K11" s="3"/>
      <c r="L11" s="11">
        <f ca="1">IF($O11="","",$O11-TODAY())</f>
        <v>257</v>
      </c>
      <c r="M11" s="11">
        <f ca="1">IF($C11="","",$C11+365-TODAY())</f>
        <v>284</v>
      </c>
      <c r="N11" s="11">
        <f ca="1">IF($C11="","",$C11+120-TODAY())</f>
        <v>39</v>
      </c>
      <c r="O11" s="6">
        <v>46540</v>
      </c>
      <c r="P11" s="5" t="s">
        <v>51</v>
      </c>
      <c r="Q11" s="5" t="s">
        <v>209</v>
      </c>
      <c r="R11" s="5" t="s">
        <v>51</v>
      </c>
      <c r="S11" s="5" t="s">
        <v>50</v>
      </c>
      <c r="T11" s="5" t="s">
        <v>166</v>
      </c>
      <c r="U11" s="5" t="s">
        <v>50</v>
      </c>
      <c r="V11" s="5"/>
      <c r="W11" s="5"/>
      <c r="X11" s="5"/>
      <c r="Y11" s="5" t="s">
        <v>52</v>
      </c>
      <c r="Z11" s="7">
        <v>3822.49</v>
      </c>
      <c r="AA11" s="7">
        <v>0</v>
      </c>
      <c r="AB11" s="7">
        <v>0</v>
      </c>
      <c r="AC11" s="6">
        <v>46202</v>
      </c>
      <c r="AD11" s="7">
        <v>3822.49</v>
      </c>
      <c r="AE11" s="4">
        <v>67</v>
      </c>
      <c r="AF11" s="5" t="s">
        <v>826</v>
      </c>
      <c r="AG11" s="5" t="s">
        <v>827</v>
      </c>
      <c r="AH11" s="5"/>
      <c r="AI11" s="5"/>
      <c r="AJ11" s="4"/>
      <c r="AK11" s="5" t="s">
        <v>85</v>
      </c>
      <c r="AL11" s="5" t="s">
        <v>63</v>
      </c>
      <c r="AM11" s="6">
        <v>46195</v>
      </c>
      <c r="AN11" s="5" t="s">
        <v>780</v>
      </c>
      <c r="AO11" s="5" t="s">
        <v>828</v>
      </c>
    </row>
    <row r="12" spans="1:41" x14ac:dyDescent="0.25">
      <c r="A12" s="2"/>
      <c r="B12" s="2"/>
      <c r="C12" s="3">
        <v>46202</v>
      </c>
      <c r="D12" s="4">
        <v>563068412</v>
      </c>
      <c r="E12" s="5" t="s">
        <v>837</v>
      </c>
      <c r="F12" s="6">
        <v>46189</v>
      </c>
      <c r="G12" s="5" t="s">
        <v>208</v>
      </c>
      <c r="H12" s="5" t="s">
        <v>208</v>
      </c>
      <c r="I12" s="5" t="s">
        <v>45</v>
      </c>
      <c r="J12" s="5" t="s">
        <v>838</v>
      </c>
      <c r="K12" s="3"/>
      <c r="L12" s="11">
        <f ca="1">IF($O12="","",$O12-TODAY())</f>
        <v>271</v>
      </c>
      <c r="M12" s="11">
        <f ca="1">IF($C12="","",$C12+365-TODAY())</f>
        <v>284</v>
      </c>
      <c r="N12" s="11">
        <f ca="1">IF($C12="","",$C12+120-TODAY())</f>
        <v>39</v>
      </c>
      <c r="O12" s="6">
        <v>46554</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53</v>
      </c>
      <c r="AF12" s="5" t="s">
        <v>681</v>
      </c>
      <c r="AG12" s="5" t="s">
        <v>839</v>
      </c>
      <c r="AH12" s="5"/>
      <c r="AI12" s="5"/>
      <c r="AJ12" s="4"/>
      <c r="AK12" s="5" t="s">
        <v>85</v>
      </c>
      <c r="AL12" s="5" t="s">
        <v>63</v>
      </c>
      <c r="AM12" s="6">
        <v>46195</v>
      </c>
      <c r="AN12" s="5" t="s">
        <v>780</v>
      </c>
      <c r="AO12" s="5" t="s">
        <v>840</v>
      </c>
    </row>
    <row r="13" spans="1:41" x14ac:dyDescent="0.25">
      <c r="A13" s="2"/>
      <c r="B13" s="2"/>
      <c r="C13" s="3">
        <v>46212</v>
      </c>
      <c r="D13" s="4">
        <v>564058406</v>
      </c>
      <c r="E13" s="5" t="s">
        <v>841</v>
      </c>
      <c r="F13" s="6">
        <v>46191</v>
      </c>
      <c r="G13" s="5" t="s">
        <v>208</v>
      </c>
      <c r="H13" s="5" t="s">
        <v>208</v>
      </c>
      <c r="I13" s="5" t="s">
        <v>230</v>
      </c>
      <c r="J13" s="5" t="s">
        <v>777</v>
      </c>
      <c r="K13" s="3"/>
      <c r="L13" s="11">
        <f ca="1">IF($O13="","",$O13-TODAY())</f>
        <v>273</v>
      </c>
      <c r="M13" s="11">
        <f ca="1">IF($C13="","",$C13+365-TODAY())</f>
        <v>294</v>
      </c>
      <c r="N13" s="11">
        <f ca="1">IF($C13="","",$C13+120-TODAY())</f>
        <v>49</v>
      </c>
      <c r="O13" s="6">
        <v>46556</v>
      </c>
      <c r="P13" s="5" t="s">
        <v>51</v>
      </c>
      <c r="Q13" s="5" t="s">
        <v>209</v>
      </c>
      <c r="R13" s="5" t="s">
        <v>51</v>
      </c>
      <c r="S13" s="5" t="s">
        <v>50</v>
      </c>
      <c r="T13" s="5" t="s">
        <v>166</v>
      </c>
      <c r="U13" s="5" t="s">
        <v>50</v>
      </c>
      <c r="V13" s="5"/>
      <c r="W13" s="5"/>
      <c r="X13" s="5"/>
      <c r="Y13" s="5" t="s">
        <v>52</v>
      </c>
      <c r="Z13" s="7">
        <v>1294.23</v>
      </c>
      <c r="AA13" s="7">
        <v>0</v>
      </c>
      <c r="AB13" s="7">
        <v>0</v>
      </c>
      <c r="AC13" s="6">
        <v>46212</v>
      </c>
      <c r="AD13" s="7">
        <v>1294.23</v>
      </c>
      <c r="AE13" s="4">
        <v>51</v>
      </c>
      <c r="AF13" s="5" t="s">
        <v>842</v>
      </c>
      <c r="AG13" s="5" t="s">
        <v>801</v>
      </c>
      <c r="AH13" s="5" t="s">
        <v>537</v>
      </c>
      <c r="AI13" s="5"/>
      <c r="AJ13" s="4"/>
      <c r="AK13" s="5" t="s">
        <v>97</v>
      </c>
      <c r="AL13" s="5" t="s">
        <v>786</v>
      </c>
      <c r="AM13" s="6">
        <v>46204</v>
      </c>
      <c r="AN13" s="5" t="s">
        <v>780</v>
      </c>
      <c r="AO13" s="5" t="s">
        <v>843</v>
      </c>
    </row>
    <row r="14" spans="1:41" x14ac:dyDescent="0.25">
      <c r="A14" s="2" t="s">
        <v>41</v>
      </c>
      <c r="B14" s="13" t="s">
        <v>914</v>
      </c>
      <c r="C14" s="3">
        <v>46198</v>
      </c>
      <c r="D14" s="4">
        <v>568262814</v>
      </c>
      <c r="E14" s="5" t="s">
        <v>849</v>
      </c>
      <c r="F14" s="6">
        <v>46184</v>
      </c>
      <c r="G14" s="5" t="s">
        <v>331</v>
      </c>
      <c r="H14" s="5" t="s">
        <v>331</v>
      </c>
      <c r="I14" s="5" t="s">
        <v>45</v>
      </c>
      <c r="J14" s="5" t="s">
        <v>808</v>
      </c>
      <c r="K14" s="3">
        <v>46261</v>
      </c>
      <c r="L14" s="11">
        <f ca="1">IF($O14="","",$O14-TODAY())</f>
        <v>-39</v>
      </c>
      <c r="M14" s="11">
        <f ca="1">IF($C14="","",$C14+365-TODAY())</f>
        <v>280</v>
      </c>
      <c r="N14" s="11">
        <f ca="1">IF($C14="","",$C14+90-TODAY())</f>
        <v>5</v>
      </c>
      <c r="O14" s="6">
        <v>46244</v>
      </c>
      <c r="P14" s="5" t="s">
        <v>205</v>
      </c>
      <c r="Q14" s="5" t="s">
        <v>333</v>
      </c>
      <c r="R14" s="5" t="s">
        <v>51</v>
      </c>
      <c r="S14" s="5" t="s">
        <v>50</v>
      </c>
      <c r="T14" s="5" t="s">
        <v>47</v>
      </c>
      <c r="U14" s="5" t="s">
        <v>50</v>
      </c>
      <c r="V14" s="5"/>
      <c r="W14" s="5"/>
      <c r="X14" s="5"/>
      <c r="Y14" s="5" t="s">
        <v>52</v>
      </c>
      <c r="Z14" s="7">
        <v>3822.49</v>
      </c>
      <c r="AA14" s="7">
        <v>0</v>
      </c>
      <c r="AB14" s="7">
        <v>0</v>
      </c>
      <c r="AC14" s="6">
        <v>46202</v>
      </c>
      <c r="AD14" s="7">
        <v>3822.49</v>
      </c>
      <c r="AE14" s="4">
        <v>58</v>
      </c>
      <c r="AF14" s="5" t="s">
        <v>850</v>
      </c>
      <c r="AG14" s="5" t="s">
        <v>424</v>
      </c>
      <c r="AH14" s="5" t="s">
        <v>851</v>
      </c>
      <c r="AI14" s="5" t="s">
        <v>852</v>
      </c>
      <c r="AJ14" s="4"/>
      <c r="AK14" s="5" t="s">
        <v>97</v>
      </c>
      <c r="AL14" s="5" t="s">
        <v>786</v>
      </c>
      <c r="AM14" s="6">
        <v>46195</v>
      </c>
      <c r="AN14" s="5" t="s">
        <v>780</v>
      </c>
      <c r="AO14" s="5" t="s">
        <v>853</v>
      </c>
    </row>
    <row r="15" spans="1:41" x14ac:dyDescent="0.25">
      <c r="A15" s="2"/>
      <c r="B15" s="2"/>
      <c r="C15" s="3">
        <v>46220</v>
      </c>
      <c r="D15" s="4">
        <v>563009396</v>
      </c>
      <c r="E15" s="5" t="s">
        <v>854</v>
      </c>
      <c r="F15" s="6">
        <v>46176</v>
      </c>
      <c r="G15" s="5" t="s">
        <v>314</v>
      </c>
      <c r="H15" s="5" t="s">
        <v>314</v>
      </c>
      <c r="I15" s="5" t="s">
        <v>45</v>
      </c>
      <c r="J15" s="5" t="s">
        <v>855</v>
      </c>
      <c r="K15" s="3"/>
      <c r="L15" s="11" t="str">
        <f ca="1">IF($O15="","",$O15-TODAY())</f>
        <v/>
      </c>
      <c r="M15" s="11"/>
      <c r="N15" s="11">
        <f ca="1">IF($C15="","",$C15+180-TODAY())</f>
        <v>117</v>
      </c>
      <c r="O15" s="6"/>
      <c r="P15" s="5"/>
      <c r="Q15" s="5" t="s">
        <v>315</v>
      </c>
      <c r="R15" s="5"/>
      <c r="S15" s="5"/>
      <c r="T15" s="5" t="s">
        <v>49</v>
      </c>
      <c r="U15" s="5" t="s">
        <v>50</v>
      </c>
      <c r="V15" s="5"/>
      <c r="W15" s="5"/>
      <c r="X15" s="5"/>
      <c r="Y15" s="5" t="s">
        <v>52</v>
      </c>
      <c r="Z15" s="7">
        <v>1649.2</v>
      </c>
      <c r="AA15" s="7">
        <v>0</v>
      </c>
      <c r="AB15" s="7">
        <v>0</v>
      </c>
      <c r="AC15" s="6">
        <v>46220</v>
      </c>
      <c r="AD15" s="7">
        <v>1649.2</v>
      </c>
      <c r="AE15" s="4">
        <v>66</v>
      </c>
      <c r="AF15" s="5" t="s">
        <v>826</v>
      </c>
      <c r="AG15" s="5" t="s">
        <v>785</v>
      </c>
      <c r="AH15" s="5" t="s">
        <v>831</v>
      </c>
      <c r="AI15" s="5"/>
      <c r="AJ15" s="4"/>
      <c r="AK15" s="5" t="s">
        <v>68</v>
      </c>
      <c r="AL15" s="5" t="s">
        <v>113</v>
      </c>
      <c r="AM15" s="6">
        <v>46195</v>
      </c>
      <c r="AN15" s="5" t="s">
        <v>780</v>
      </c>
      <c r="AO15" s="5" t="s">
        <v>856</v>
      </c>
    </row>
    <row r="16" spans="1:41" x14ac:dyDescent="0.25">
      <c r="A16" s="2" t="s">
        <v>127</v>
      </c>
      <c r="B16" s="13" t="s">
        <v>857</v>
      </c>
      <c r="C16" s="3"/>
      <c r="D16" s="4">
        <v>571160597</v>
      </c>
      <c r="E16" s="5" t="s">
        <v>858</v>
      </c>
      <c r="F16" s="6">
        <v>46182</v>
      </c>
      <c r="G16" s="5" t="s">
        <v>81</v>
      </c>
      <c r="H16" s="5" t="s">
        <v>81</v>
      </c>
      <c r="I16" s="5" t="s">
        <v>45</v>
      </c>
      <c r="J16" s="5" t="s">
        <v>859</v>
      </c>
      <c r="K16" s="3">
        <v>46273</v>
      </c>
      <c r="L16" s="11" t="str">
        <f ca="1">IF($O16="","",$O16-TODAY())</f>
        <v/>
      </c>
      <c r="M16" s="11"/>
      <c r="N16" s="11"/>
      <c r="O16" s="6"/>
      <c r="P16" s="5"/>
      <c r="Q16" s="5" t="s">
        <v>286</v>
      </c>
      <c r="R16" s="5"/>
      <c r="S16" s="5"/>
      <c r="T16" s="5"/>
      <c r="U16" s="5"/>
      <c r="V16" s="5"/>
      <c r="W16" s="5"/>
      <c r="X16" s="5"/>
      <c r="Y16" s="5" t="s">
        <v>52</v>
      </c>
      <c r="Z16" s="7">
        <v>2173.29</v>
      </c>
      <c r="AA16" s="7">
        <v>0</v>
      </c>
      <c r="AB16" s="7">
        <v>0</v>
      </c>
      <c r="AC16" s="6">
        <v>46223</v>
      </c>
      <c r="AD16" s="7">
        <v>2173.29</v>
      </c>
      <c r="AE16" s="4">
        <v>60</v>
      </c>
      <c r="AF16" s="5" t="s">
        <v>801</v>
      </c>
      <c r="AG16" s="5"/>
      <c r="AH16" s="5"/>
      <c r="AI16" s="5"/>
      <c r="AJ16" s="4"/>
      <c r="AK16" s="5" t="s">
        <v>85</v>
      </c>
      <c r="AL16" s="5" t="s">
        <v>63</v>
      </c>
      <c r="AM16" s="6">
        <v>46195</v>
      </c>
      <c r="AN16" s="5" t="s">
        <v>780</v>
      </c>
      <c r="AO16" s="5" t="s">
        <v>860</v>
      </c>
    </row>
    <row r="17" spans="1:41" x14ac:dyDescent="0.25">
      <c r="A17" s="2"/>
      <c r="B17" s="2"/>
      <c r="C17" s="3">
        <v>46220</v>
      </c>
      <c r="D17" s="4">
        <v>563069183</v>
      </c>
      <c r="E17" s="5" t="s">
        <v>854</v>
      </c>
      <c r="F17" s="6">
        <v>46190</v>
      </c>
      <c r="G17" s="5" t="s">
        <v>314</v>
      </c>
      <c r="H17" s="5" t="s">
        <v>314</v>
      </c>
      <c r="I17" s="5" t="s">
        <v>45</v>
      </c>
      <c r="J17" s="5" t="s">
        <v>777</v>
      </c>
      <c r="K17" s="3"/>
      <c r="L17" s="11" t="str">
        <f ca="1">IF($O17="","",$O17-TODAY())</f>
        <v/>
      </c>
      <c r="M17" s="11"/>
      <c r="N17" s="11">
        <f ca="1">IF($C17="","",$C17+180-TODAY())</f>
        <v>117</v>
      </c>
      <c r="O17" s="6"/>
      <c r="P17" s="5"/>
      <c r="Q17" s="5" t="s">
        <v>315</v>
      </c>
      <c r="R17" s="5"/>
      <c r="S17" s="5"/>
      <c r="T17" s="5" t="s">
        <v>49</v>
      </c>
      <c r="U17" s="5" t="s">
        <v>50</v>
      </c>
      <c r="V17" s="5"/>
      <c r="W17" s="5"/>
      <c r="X17" s="5"/>
      <c r="Y17" s="5" t="s">
        <v>52</v>
      </c>
      <c r="Z17" s="7">
        <v>1294.23</v>
      </c>
      <c r="AA17" s="7">
        <v>0</v>
      </c>
      <c r="AB17" s="7">
        <v>0</v>
      </c>
      <c r="AC17" s="6">
        <v>46220</v>
      </c>
      <c r="AD17" s="7">
        <v>1294.23</v>
      </c>
      <c r="AE17" s="4">
        <v>52</v>
      </c>
      <c r="AF17" s="5" t="s">
        <v>826</v>
      </c>
      <c r="AG17" s="5"/>
      <c r="AH17" s="5"/>
      <c r="AI17" s="5"/>
      <c r="AJ17" s="4"/>
      <c r="AK17" s="5" t="s">
        <v>68</v>
      </c>
      <c r="AL17" s="5" t="s">
        <v>113</v>
      </c>
      <c r="AM17" s="6">
        <v>46195</v>
      </c>
      <c r="AN17" s="5" t="s">
        <v>780</v>
      </c>
      <c r="AO17" s="5" t="s">
        <v>861</v>
      </c>
    </row>
  </sheetData>
  <autoFilter ref="A1:AO17" xr:uid="{00000000-0009-0000-0000-000004000000}"/>
  <conditionalFormatting sqref="L2:L17">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7">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7">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7">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7"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878</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