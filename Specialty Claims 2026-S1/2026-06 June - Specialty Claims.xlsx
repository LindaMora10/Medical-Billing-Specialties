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'BH'!$A$1:$AO$82</definedName>
    <definedName name="_xlnm._FilterDatabase" localSheetId="1" hidden="1">'DME'!$A$1:$AO$52</definedName>
    <definedName name="_xlnm._FilterDatabase" localSheetId="2" hidden="1">'GAE'!$A$1:$AO$23</definedName>
    <definedName name="_xlnm._FilterDatabase" localSheetId="3" hidden="1">'ORTHO'!$A$1:$AO$39</definedName>
    <definedName name="_xlnm._FilterDatabase" localSheetId="4" hidden="1">'US'!$A$1:$AO$22</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0" fontId="2" fillId="0" borderId="1" applyAlignment="1" pivotButton="0" quotePrefix="0" xfId="0">
      <alignment vertical="top" wrapText="1"/>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D1" authorId="0" shapeId="0">
      <text>
        <t>The master workbook matches on this column to pull Claim Status, Notes, Processed Date and Date Worked 1 back from this file with INDEX/MATCH, so you can freely sort or filter these rows without breaking the link. Do not edit it.</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text>
    </comment>
    <comment ref="N1" authorId="0" shapeId="0">
      <text>
        <t>Live formula: days left to file a reconsideration or appeal, counted from whichever date the carrier uses - see Appeal From. Blank means either no window is on file or, on a processed-date carrier, that Processed Date is still empty.</t>
      </text>
    </comment>
    <comment ref="O1" authorId="0" shapeId="0">
      <text>
        <t>Date of Service plus the primary payer's timely filing limit, from Carrier_Timely_Filing_Reference.xlsx. Blank means no limit is on file for that payer.</t>
      </text>
    </comment>
    <comment ref="P1" authorId="0" shapeId="0">
      <text>
        <t>The limit applied to this row, as days or calendar months.</t>
      </text>
    </comment>
    <comment ref="Q1" authorId="0" shapeId="0">
      <text>
        <t>The carrier row in Carrier_Timely_Filing_Reference.xlsx that the primary payer was matched to.</t>
      </text>
    </comment>
    <comment ref="R1" authorId="0" shapeId="0">
      <text>
        <t>Corrected claim window from Carrier_Timely_Filing_Reference.xlsx.</t>
      </text>
    </comment>
    <comment ref="S1" authorId="0" shapeId="0">
      <text>
        <t>Whether the carrier counts the corrected claim window from the date of service or from the processed date.</t>
      </text>
    </comment>
    <comment ref="T1" authorId="0" shapeId="0">
      <text>
        <t>Reconsideration / appeal window from Carrier_Timely_Filing_Reference.xlsx.</t>
      </text>
    </comment>
    <comment ref="U1" authorId="0" shapeId="0">
      <text>
        <t>Whether the carrier counts the appeal window from the date of service or from the processed date.</t>
      </text>
    </comment>
    <comment ref="AO1" authorId="0" shapeId="0">
      <text>
        <t>The rows of the original 'Merged' sheet that were combined into this claim, so every claim traces back to the source. Informational only.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O8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c r="D2" s="5" t="n">
        <v>561220135</v>
      </c>
      <c r="E2" s="6" t="inlineStr">
        <is>
          <t>HF545720168</t>
        </is>
      </c>
      <c r="F2" s="7" t="n">
        <v>46175</v>
      </c>
      <c r="G2" s="6" t="inlineStr">
        <is>
          <t>UnitedHealthcare Community Plan / Arizona Long Term Care</t>
        </is>
      </c>
      <c r="H2" s="6" t="inlineStr">
        <is>
          <t>UnitedHealthcare Community Plan / Arizona Long Term Care</t>
        </is>
      </c>
      <c r="I2" s="6" t="inlineStr">
        <is>
          <t>No Payer</t>
        </is>
      </c>
      <c r="J2" s="8" t="inlineStr">
        <is>
          <t>99492 x1; 99494 x1</t>
        </is>
      </c>
      <c r="K2" s="4" t="n"/>
      <c r="L2" s="5">
        <f>IF($O2="","",$O2-TODAY())</f>
        <v/>
      </c>
      <c r="M2" s="5">
        <f>IF($C2="","",$C2+180-TODAY())</f>
        <v/>
      </c>
      <c r="N2" s="5">
        <f>IF($C2="","",$C2+365-TODAY())</f>
        <v/>
      </c>
      <c r="O2" s="7" t="n">
        <v>46265</v>
      </c>
      <c r="P2" s="6" t="inlineStr">
        <is>
          <t>90 days</t>
        </is>
      </c>
      <c r="Q2" s="6" t="inlineStr">
        <is>
          <t>UHC COMMUNITY</t>
        </is>
      </c>
      <c r="R2" s="6" t="inlineStr">
        <is>
          <t>180 days</t>
        </is>
      </c>
      <c r="S2" s="6" t="inlineStr">
        <is>
          <t>Processed date</t>
        </is>
      </c>
      <c r="T2" s="6" t="inlineStr">
        <is>
          <t>365 days</t>
        </is>
      </c>
      <c r="U2" s="6" t="inlineStr">
        <is>
          <t>Processed date</t>
        </is>
      </c>
      <c r="V2" s="6" t="n"/>
      <c r="W2" s="6" t="n"/>
      <c r="X2" s="6" t="n"/>
      <c r="Y2" s="6" t="inlineStr">
        <is>
          <t>1</t>
        </is>
      </c>
      <c r="Z2" s="9" t="n">
        <v>1426.25</v>
      </c>
      <c r="AA2" s="9" t="n">
        <v>0</v>
      </c>
      <c r="AB2" s="9" t="n">
        <v>0</v>
      </c>
      <c r="AC2" s="7" t="n"/>
      <c r="AD2" s="9" t="n">
        <v>1426.25</v>
      </c>
      <c r="AE2" s="5" t="n">
        <v>67</v>
      </c>
      <c r="AF2" s="6" t="inlineStr">
        <is>
          <t>F32A</t>
        </is>
      </c>
      <c r="AG2" s="6" t="inlineStr">
        <is>
          <t>F411</t>
        </is>
      </c>
      <c r="AH2" s="6" t="n"/>
      <c r="AI2" s="6" t="n"/>
      <c r="AJ2" s="5" t="n"/>
      <c r="AK2" s="6" t="inlineStr">
        <is>
          <t>MEARS, CHAD</t>
        </is>
      </c>
      <c r="AL2" s="6" t="inlineStr">
        <is>
          <t>ASAP Peoria</t>
        </is>
      </c>
      <c r="AM2" s="7" t="n">
        <v>46217</v>
      </c>
      <c r="AN2" s="6" t="inlineStr">
        <is>
          <t>BH</t>
        </is>
      </c>
      <c r="AO2" s="6" t="inlineStr">
        <is>
          <t>563, 564</t>
        </is>
      </c>
    </row>
    <row r="3">
      <c r="A3" s="2" t="n"/>
      <c r="B3" s="3" t="n"/>
      <c r="C3" s="4" t="n"/>
      <c r="D3" s="5" t="n">
        <v>561212107</v>
      </c>
      <c r="E3" s="6" t="inlineStr">
        <is>
          <t>HF511721208</t>
        </is>
      </c>
      <c r="F3" s="7" t="n">
        <v>46176</v>
      </c>
      <c r="G3" s="6" t="inlineStr">
        <is>
          <t>UnitedHealthcare Community Plan / Arizona Long Term Care</t>
        </is>
      </c>
      <c r="H3" s="6" t="inlineStr">
        <is>
          <t>UnitedHealthcare Community Plan / Arizona Long Term Care</t>
        </is>
      </c>
      <c r="I3" s="6" t="inlineStr">
        <is>
          <t>UnitedHealthcare Community Plan / Arizona Long Term Care</t>
        </is>
      </c>
      <c r="J3" s="8" t="inlineStr">
        <is>
          <t>99494 x1; 99492 x1</t>
        </is>
      </c>
      <c r="K3" s="4" t="n"/>
      <c r="L3" s="5">
        <f>IF($O3="","",$O3-TODAY())</f>
        <v/>
      </c>
      <c r="M3" s="5">
        <f>IF($C3="","",$C3+180-TODAY())</f>
        <v/>
      </c>
      <c r="N3" s="5">
        <f>IF($C3="","",$C3+365-TODAY())</f>
        <v/>
      </c>
      <c r="O3" s="7" t="n">
        <v>46266</v>
      </c>
      <c r="P3" s="6" t="inlineStr">
        <is>
          <t>90 days</t>
        </is>
      </c>
      <c r="Q3" s="6" t="inlineStr">
        <is>
          <t>UHC COMMUNITY</t>
        </is>
      </c>
      <c r="R3" s="6" t="inlineStr">
        <is>
          <t>180 days</t>
        </is>
      </c>
      <c r="S3" s="6" t="inlineStr">
        <is>
          <t>Processed date</t>
        </is>
      </c>
      <c r="T3" s="6" t="inlineStr">
        <is>
          <t>365 days</t>
        </is>
      </c>
      <c r="U3" s="6" t="inlineStr">
        <is>
          <t>Processed date</t>
        </is>
      </c>
      <c r="V3" s="6" t="n"/>
      <c r="W3" s="6" t="n"/>
      <c r="X3" s="6" t="n"/>
      <c r="Y3" s="6" t="inlineStr">
        <is>
          <t>1</t>
        </is>
      </c>
      <c r="Z3" s="9" t="n">
        <v>1426.25</v>
      </c>
      <c r="AA3" s="9" t="n">
        <v>0</v>
      </c>
      <c r="AB3" s="9" t="n">
        <v>0</v>
      </c>
      <c r="AC3" s="7" t="n"/>
      <c r="AD3" s="9" t="n">
        <v>1426.25</v>
      </c>
      <c r="AE3" s="5" t="n">
        <v>66</v>
      </c>
      <c r="AF3" s="6" t="inlineStr">
        <is>
          <t>F39</t>
        </is>
      </c>
      <c r="AG3" s="6" t="n"/>
      <c r="AH3" s="6" t="n"/>
      <c r="AI3" s="6" t="n"/>
      <c r="AJ3" s="5" t="n"/>
      <c r="AK3" s="6" t="inlineStr">
        <is>
          <t>KALLGREN, MARK</t>
        </is>
      </c>
      <c r="AL3" s="6" t="inlineStr">
        <is>
          <t>ASAP - Gilbert</t>
        </is>
      </c>
      <c r="AM3" s="7" t="n">
        <v>46217</v>
      </c>
      <c r="AN3" s="6" t="inlineStr">
        <is>
          <t>BH</t>
        </is>
      </c>
      <c r="AO3" s="6" t="inlineStr">
        <is>
          <t>911, 952</t>
        </is>
      </c>
    </row>
    <row r="4">
      <c r="A4" s="2" t="n"/>
      <c r="B4" s="3" t="n"/>
      <c r="C4" s="4" t="n"/>
      <c r="D4" s="5" t="n">
        <v>561442896</v>
      </c>
      <c r="E4" s="6" t="inlineStr">
        <is>
          <t>HF533454516</t>
        </is>
      </c>
      <c r="F4" s="7" t="n">
        <v>46178</v>
      </c>
      <c r="G4" s="6" t="inlineStr">
        <is>
          <t>UHC Group Medicare Advantage</t>
        </is>
      </c>
      <c r="H4" s="6" t="inlineStr">
        <is>
          <t>UHC Group Medicare Advantage</t>
        </is>
      </c>
      <c r="I4" s="6" t="inlineStr">
        <is>
          <t>No Payer</t>
        </is>
      </c>
      <c r="J4" s="8" t="inlineStr">
        <is>
          <t>99494 x1; 99492 x1</t>
        </is>
      </c>
      <c r="K4" s="4" t="n"/>
      <c r="L4" s="5">
        <f>IF($O4="","",$O4-TODAY())</f>
        <v/>
      </c>
      <c r="M4" s="5">
        <f>IF($C4="","",$C4+180-TODAY())</f>
        <v/>
      </c>
      <c r="N4" s="5">
        <f>IF($C4="","",$C4+365-TODAY())</f>
        <v/>
      </c>
      <c r="O4" s="7" t="n">
        <v>46268</v>
      </c>
      <c r="P4" s="6" t="inlineStr">
        <is>
          <t>90 days</t>
        </is>
      </c>
      <c r="Q4" s="6" t="inlineStr">
        <is>
          <t>UHC MA</t>
        </is>
      </c>
      <c r="R4" s="6" t="inlineStr">
        <is>
          <t>180 days</t>
        </is>
      </c>
      <c r="S4" s="6" t="inlineStr">
        <is>
          <t>Processed date</t>
        </is>
      </c>
      <c r="T4" s="6" t="inlineStr">
        <is>
          <t>365 days</t>
        </is>
      </c>
      <c r="U4" s="6" t="inlineStr">
        <is>
          <t>Processed date</t>
        </is>
      </c>
      <c r="V4" s="6" t="n"/>
      <c r="W4" s="6" t="n"/>
      <c r="X4" s="6" t="n"/>
      <c r="Y4" s="6" t="inlineStr">
        <is>
          <t>1</t>
        </is>
      </c>
      <c r="Z4" s="9" t="n">
        <v>1426.25</v>
      </c>
      <c r="AA4" s="9" t="n">
        <v>0</v>
      </c>
      <c r="AB4" s="9" t="n">
        <v>0</v>
      </c>
      <c r="AC4" s="7" t="n"/>
      <c r="AD4" s="9" t="n">
        <v>1426.25</v>
      </c>
      <c r="AE4" s="5" t="n">
        <v>64</v>
      </c>
      <c r="AF4" s="6" t="inlineStr">
        <is>
          <t>F39</t>
        </is>
      </c>
      <c r="AG4" s="6" t="n"/>
      <c r="AH4" s="6" t="n"/>
      <c r="AI4" s="6" t="n"/>
      <c r="AJ4" s="5" t="n"/>
      <c r="AK4" s="6" t="inlineStr">
        <is>
          <t>BURGHER, ABRAM</t>
        </is>
      </c>
      <c r="AL4" s="6" t="inlineStr">
        <is>
          <t>ASAP - Gilbert</t>
        </is>
      </c>
      <c r="AM4" s="7" t="n">
        <v>46217</v>
      </c>
      <c r="AN4" s="6" t="inlineStr">
        <is>
          <t>BH</t>
        </is>
      </c>
      <c r="AO4" s="6" t="inlineStr">
        <is>
          <t>223, 224</t>
        </is>
      </c>
    </row>
    <row r="5">
      <c r="A5" s="2" t="n"/>
      <c r="B5" s="3" t="n"/>
      <c r="C5" s="4" t="n"/>
      <c r="D5" s="5" t="n">
        <v>561646420</v>
      </c>
      <c r="E5" s="6" t="inlineStr">
        <is>
          <t>HF543376536</t>
        </is>
      </c>
      <c r="F5" s="7" t="n">
        <v>46178</v>
      </c>
      <c r="G5" s="6" t="inlineStr">
        <is>
          <t>UnitedHealthcare Community Plan / Arizona Long Term Care</t>
        </is>
      </c>
      <c r="H5" s="6" t="inlineStr">
        <is>
          <t>UnitedHealthcare Community Plan / Arizona Long Term Care</t>
        </is>
      </c>
      <c r="I5" s="6" t="inlineStr">
        <is>
          <t>UnitedHealthcare Community Plan / Arizona Long Term Care</t>
        </is>
      </c>
      <c r="J5" s="8" t="inlineStr">
        <is>
          <t>99492 x1; 99494 x1</t>
        </is>
      </c>
      <c r="K5" s="4" t="n"/>
      <c r="L5" s="5">
        <f>IF($O5="","",$O5-TODAY())</f>
        <v/>
      </c>
      <c r="M5" s="5">
        <f>IF($C5="","",$C5+180-TODAY())</f>
        <v/>
      </c>
      <c r="N5" s="5">
        <f>IF($C5="","",$C5+365-TODAY())</f>
        <v/>
      </c>
      <c r="O5" s="7" t="n">
        <v>46268</v>
      </c>
      <c r="P5" s="6" t="inlineStr">
        <is>
          <t>90 days</t>
        </is>
      </c>
      <c r="Q5" s="6" t="inlineStr">
        <is>
          <t>UHC COMMUNITY</t>
        </is>
      </c>
      <c r="R5" s="6" t="inlineStr">
        <is>
          <t>180 days</t>
        </is>
      </c>
      <c r="S5" s="6" t="inlineStr">
        <is>
          <t>Processed date</t>
        </is>
      </c>
      <c r="T5" s="6" t="inlineStr">
        <is>
          <t>365 days</t>
        </is>
      </c>
      <c r="U5" s="6" t="inlineStr">
        <is>
          <t>Processed date</t>
        </is>
      </c>
      <c r="V5" s="6" t="n"/>
      <c r="W5" s="6" t="n"/>
      <c r="X5" s="6" t="n"/>
      <c r="Y5" s="6" t="inlineStr">
        <is>
          <t>1</t>
        </is>
      </c>
      <c r="Z5" s="9" t="n">
        <v>1426.25</v>
      </c>
      <c r="AA5" s="9" t="n">
        <v>0</v>
      </c>
      <c r="AB5" s="9" t="n">
        <v>0</v>
      </c>
      <c r="AC5" s="7" t="n"/>
      <c r="AD5" s="9" t="n">
        <v>1426.25</v>
      </c>
      <c r="AE5" s="5" t="n">
        <v>64</v>
      </c>
      <c r="AF5" s="6" t="inlineStr">
        <is>
          <t>F4320</t>
        </is>
      </c>
      <c r="AG5" s="6" t="n"/>
      <c r="AH5" s="6" t="n"/>
      <c r="AI5" s="6" t="n"/>
      <c r="AJ5" s="5" t="n"/>
      <c r="AK5" s="6" t="inlineStr">
        <is>
          <t>MEARS, CHAD</t>
        </is>
      </c>
      <c r="AL5" s="6" t="inlineStr">
        <is>
          <t>ASAP - DEER VALLEY</t>
        </is>
      </c>
      <c r="AM5" s="7" t="n">
        <v>46217</v>
      </c>
      <c r="AN5" s="6" t="inlineStr">
        <is>
          <t>BH</t>
        </is>
      </c>
      <c r="AO5" s="6" t="inlineStr">
        <is>
          <t>888, 889</t>
        </is>
      </c>
    </row>
    <row r="6">
      <c r="A6" s="2" t="n"/>
      <c r="B6" s="3" t="n"/>
      <c r="C6" s="4" t="n"/>
      <c r="D6" s="5" t="n">
        <v>561786626</v>
      </c>
      <c r="E6" s="6" t="inlineStr">
        <is>
          <t>HF525006986</t>
        </is>
      </c>
      <c r="F6" s="7" t="n">
        <v>46181</v>
      </c>
      <c r="G6" s="6" t="inlineStr">
        <is>
          <t>UnitedHealthcare Community Plan / Arizona Long Term Care</t>
        </is>
      </c>
      <c r="H6" s="6" t="inlineStr">
        <is>
          <t>UnitedHealthcare Community Plan / Arizona Long Term Care</t>
        </is>
      </c>
      <c r="I6" s="6" t="inlineStr">
        <is>
          <t>Mercy Care Plan (AHCCCS) - Complete Care &amp; Long Term Care (LTC)</t>
        </is>
      </c>
      <c r="J6" s="8" t="inlineStr">
        <is>
          <t>99494 x1; 99492 x1</t>
        </is>
      </c>
      <c r="K6" s="4" t="n"/>
      <c r="L6" s="5">
        <f>IF($O6="","",$O6-TODAY())</f>
        <v/>
      </c>
      <c r="M6" s="5">
        <f>IF($C6="","",$C6+180-TODAY())</f>
        <v/>
      </c>
      <c r="N6" s="5">
        <f>IF($C6="","",$C6+365-TODAY())</f>
        <v/>
      </c>
      <c r="O6" s="7" t="n">
        <v>46271</v>
      </c>
      <c r="P6" s="6" t="inlineStr">
        <is>
          <t>90 days</t>
        </is>
      </c>
      <c r="Q6" s="6" t="inlineStr">
        <is>
          <t>UHC COMMUNITY</t>
        </is>
      </c>
      <c r="R6" s="6" t="inlineStr">
        <is>
          <t>180 days</t>
        </is>
      </c>
      <c r="S6" s="6" t="inlineStr">
        <is>
          <t>Processed date</t>
        </is>
      </c>
      <c r="T6" s="6" t="inlineStr">
        <is>
          <t>365 days</t>
        </is>
      </c>
      <c r="U6" s="6" t="inlineStr">
        <is>
          <t>Processed date</t>
        </is>
      </c>
      <c r="V6" s="6" t="n"/>
      <c r="W6" s="6" t="n"/>
      <c r="X6" s="6" t="n"/>
      <c r="Y6" s="6" t="inlineStr">
        <is>
          <t>1</t>
        </is>
      </c>
      <c r="Z6" s="9" t="n">
        <v>1426.25</v>
      </c>
      <c r="AA6" s="9" t="n">
        <v>0</v>
      </c>
      <c r="AB6" s="9" t="n">
        <v>0</v>
      </c>
      <c r="AC6" s="7" t="n"/>
      <c r="AD6" s="9" t="n">
        <v>1426.25</v>
      </c>
      <c r="AE6" s="5" t="n">
        <v>61</v>
      </c>
      <c r="AF6" s="6" t="inlineStr">
        <is>
          <t>F4320</t>
        </is>
      </c>
      <c r="AG6" s="6" t="n"/>
      <c r="AH6" s="6" t="n"/>
      <c r="AI6" s="6" t="n"/>
      <c r="AJ6" s="5" t="n"/>
      <c r="AK6" s="6" t="inlineStr">
        <is>
          <t>SARKAR, AWNIK</t>
        </is>
      </c>
      <c r="AL6" s="6" t="inlineStr">
        <is>
          <t>ASAP Peoria</t>
        </is>
      </c>
      <c r="AM6" s="7" t="n">
        <v>46217</v>
      </c>
      <c r="AN6" s="6" t="inlineStr">
        <is>
          <t>BH</t>
        </is>
      </c>
      <c r="AO6" s="6" t="inlineStr">
        <is>
          <t>561, 562</t>
        </is>
      </c>
    </row>
    <row r="7">
      <c r="A7" s="2" t="n"/>
      <c r="B7" s="3" t="n"/>
      <c r="C7" s="4" t="n"/>
      <c r="D7" s="5" t="n">
        <v>562152108</v>
      </c>
      <c r="E7" s="6" t="inlineStr">
        <is>
          <t>HF372010397</t>
        </is>
      </c>
      <c r="F7" s="7" t="n">
        <v>46182</v>
      </c>
      <c r="G7" s="6" t="inlineStr">
        <is>
          <t>Optum Care Medical Network of Arizona, Utah, &amp; Washington (LifePrint)</t>
        </is>
      </c>
      <c r="H7" s="6" t="inlineStr">
        <is>
          <t>Optum Care Medical Network of Arizona, Utah, &amp; Washington (LifePrint)</t>
        </is>
      </c>
      <c r="I7" s="6" t="inlineStr">
        <is>
          <t>No Payer</t>
        </is>
      </c>
      <c r="J7" s="8" t="inlineStr">
        <is>
          <t>99493 x1; 99494 x1</t>
        </is>
      </c>
      <c r="K7" s="4" t="n"/>
      <c r="L7" s="5">
        <f>IF($O7="","",$O7-TODAY())</f>
        <v/>
      </c>
      <c r="M7" s="5">
        <f>IF($C7="","",$C7+365-TODAY())</f>
        <v/>
      </c>
      <c r="N7" s="5">
        <f>IF($C7="","",$C7+365-TODAY())</f>
        <v/>
      </c>
      <c r="O7" s="7" t="n">
        <v>46272</v>
      </c>
      <c r="P7" s="6" t="inlineStr">
        <is>
          <t>90 days</t>
        </is>
      </c>
      <c r="Q7" s="6" t="inlineStr">
        <is>
          <t>OPTUM</t>
        </is>
      </c>
      <c r="R7" s="6" t="inlineStr">
        <is>
          <t>365 days</t>
        </is>
      </c>
      <c r="S7" s="6" t="inlineStr">
        <is>
          <t>Processed date</t>
        </is>
      </c>
      <c r="T7" s="6" t="inlineStr">
        <is>
          <t>365 days</t>
        </is>
      </c>
      <c r="U7" s="6" t="inlineStr">
        <is>
          <t>Processed date</t>
        </is>
      </c>
      <c r="V7" s="6" t="n"/>
      <c r="W7" s="6" t="n"/>
      <c r="X7" s="6" t="n"/>
      <c r="Y7" s="6" t="inlineStr">
        <is>
          <t>1</t>
        </is>
      </c>
      <c r="Z7" s="9" t="n">
        <v>1372.91</v>
      </c>
      <c r="AA7" s="9" t="n">
        <v>0</v>
      </c>
      <c r="AB7" s="9" t="n">
        <v>0</v>
      </c>
      <c r="AC7" s="7" t="n"/>
      <c r="AD7" s="9" t="n">
        <v>1372.91</v>
      </c>
      <c r="AE7" s="5" t="n">
        <v>60</v>
      </c>
      <c r="AF7" s="6" t="inlineStr">
        <is>
          <t>F1190</t>
        </is>
      </c>
      <c r="AG7" s="6" t="n"/>
      <c r="AH7" s="6" t="n"/>
      <c r="AI7" s="6" t="n"/>
      <c r="AJ7" s="5" t="n"/>
      <c r="AK7" s="6" t="inlineStr">
        <is>
          <t>LEATHEM, JARRETT</t>
        </is>
      </c>
      <c r="AL7" s="6" t="inlineStr">
        <is>
          <t>ASAP Peoria</t>
        </is>
      </c>
      <c r="AM7" s="7" t="n">
        <v>46217</v>
      </c>
      <c r="AN7" s="6" t="inlineStr">
        <is>
          <t>BH</t>
        </is>
      </c>
      <c r="AO7" s="6" t="inlineStr">
        <is>
          <t>620, 621</t>
        </is>
      </c>
    </row>
    <row r="8">
      <c r="A8" s="2" t="n"/>
      <c r="B8" s="3" t="n"/>
      <c r="C8" s="4" t="n"/>
      <c r="D8" s="5" t="n">
        <v>561886217</v>
      </c>
      <c r="E8" s="6" t="inlineStr">
        <is>
          <t>HF504127051</t>
        </is>
      </c>
      <c r="F8" s="7" t="n">
        <v>46183</v>
      </c>
      <c r="G8" s="6" t="inlineStr">
        <is>
          <t>UnitedHealthcare Community Plan / Arizona Long Term Care</t>
        </is>
      </c>
      <c r="H8" s="6" t="inlineStr">
        <is>
          <t>UnitedHealthcare Community Plan / Arizona Long Term Care</t>
        </is>
      </c>
      <c r="I8" s="6" t="inlineStr">
        <is>
          <t>Mercy Care Plan (AHCCCS) - Complete Care &amp; Long Term Care (LTC)</t>
        </is>
      </c>
      <c r="J8" s="8" t="inlineStr">
        <is>
          <t>99493 x1; 99494 x1</t>
        </is>
      </c>
      <c r="K8" s="4" t="n"/>
      <c r="L8" s="5">
        <f>IF($O8="","",$O8-TODAY())</f>
        <v/>
      </c>
      <c r="M8" s="5">
        <f>IF($C8="","",$C8+180-TODAY())</f>
        <v/>
      </c>
      <c r="N8" s="5">
        <f>IF($C8="","",$C8+365-TODAY())</f>
        <v/>
      </c>
      <c r="O8" s="7" t="n">
        <v>46273</v>
      </c>
      <c r="P8" s="6" t="inlineStr">
        <is>
          <t>90 days</t>
        </is>
      </c>
      <c r="Q8" s="6" t="inlineStr">
        <is>
          <t>UHC COMMUNITY</t>
        </is>
      </c>
      <c r="R8" s="6" t="inlineStr">
        <is>
          <t>180 days</t>
        </is>
      </c>
      <c r="S8" s="6" t="inlineStr">
        <is>
          <t>Processed date</t>
        </is>
      </c>
      <c r="T8" s="6" t="inlineStr">
        <is>
          <t>365 days</t>
        </is>
      </c>
      <c r="U8" s="6" t="inlineStr">
        <is>
          <t>Processed date</t>
        </is>
      </c>
      <c r="V8" s="6" t="n"/>
      <c r="W8" s="6" t="n"/>
      <c r="X8" s="6" t="n"/>
      <c r="Y8" s="6" t="inlineStr">
        <is>
          <t>1</t>
        </is>
      </c>
      <c r="Z8" s="9" t="n">
        <v>1372.91</v>
      </c>
      <c r="AA8" s="9" t="n">
        <v>0</v>
      </c>
      <c r="AB8" s="9" t="n">
        <v>0</v>
      </c>
      <c r="AC8" s="7" t="n"/>
      <c r="AD8" s="9" t="n">
        <v>1372.91</v>
      </c>
      <c r="AE8" s="5" t="n">
        <v>59</v>
      </c>
      <c r="AF8" s="6" t="inlineStr">
        <is>
          <t>F419</t>
        </is>
      </c>
      <c r="AG8" s="6" t="n"/>
      <c r="AH8" s="6" t="n"/>
      <c r="AI8" s="6" t="n"/>
      <c r="AJ8" s="5" t="n"/>
      <c r="AK8" s="6" t="inlineStr">
        <is>
          <t>SARKAR, AWNIK</t>
        </is>
      </c>
      <c r="AL8" s="6" t="inlineStr">
        <is>
          <t>ASAP - Gilbert</t>
        </is>
      </c>
      <c r="AM8" s="7" t="n">
        <v>46217</v>
      </c>
      <c r="AN8" s="6" t="inlineStr">
        <is>
          <t>BH</t>
        </is>
      </c>
      <c r="AO8" s="6" t="inlineStr">
        <is>
          <t>775, 776</t>
        </is>
      </c>
    </row>
    <row r="9">
      <c r="A9" s="2" t="n"/>
      <c r="B9" s="3" t="n"/>
      <c r="C9" s="4" t="n"/>
      <c r="D9" s="5" t="n">
        <v>562166533</v>
      </c>
      <c r="E9" s="6" t="inlineStr">
        <is>
          <t>HF396067099</t>
        </is>
      </c>
      <c r="F9" s="7" t="n">
        <v>46183</v>
      </c>
      <c r="G9" s="6" t="inlineStr">
        <is>
          <t>UnitedHealthcare Community Plan / Arizona Long Term Care</t>
        </is>
      </c>
      <c r="H9" s="6" t="inlineStr">
        <is>
          <t>UnitedHealthcare Community Plan / Arizona Long Term Care</t>
        </is>
      </c>
      <c r="I9" s="6" t="inlineStr">
        <is>
          <t>Mercy Care Plan (AHCCCS) - Complete Care &amp; Long Term Care (LTC)</t>
        </is>
      </c>
      <c r="J9" s="8" t="inlineStr">
        <is>
          <t>99493 x1; 99494 x1</t>
        </is>
      </c>
      <c r="K9" s="4" t="n"/>
      <c r="L9" s="5">
        <f>IF($O9="","",$O9-TODAY())</f>
        <v/>
      </c>
      <c r="M9" s="5">
        <f>IF($C9="","",$C9+180-TODAY())</f>
        <v/>
      </c>
      <c r="N9" s="5">
        <f>IF($C9="","",$C9+365-TODAY())</f>
        <v/>
      </c>
      <c r="O9" s="7" t="n">
        <v>46273</v>
      </c>
      <c r="P9" s="6" t="inlineStr">
        <is>
          <t>90 days</t>
        </is>
      </c>
      <c r="Q9" s="6" t="inlineStr">
        <is>
          <t>UHC COMMUNITY</t>
        </is>
      </c>
      <c r="R9" s="6" t="inlineStr">
        <is>
          <t>180 days</t>
        </is>
      </c>
      <c r="S9" s="6" t="inlineStr">
        <is>
          <t>Processed date</t>
        </is>
      </c>
      <c r="T9" s="6" t="inlineStr">
        <is>
          <t>365 days</t>
        </is>
      </c>
      <c r="U9" s="6" t="inlineStr">
        <is>
          <t>Processed date</t>
        </is>
      </c>
      <c r="V9" s="6" t="n"/>
      <c r="W9" s="6" t="n"/>
      <c r="X9" s="6" t="n"/>
      <c r="Y9" s="6" t="inlineStr">
        <is>
          <t>1</t>
        </is>
      </c>
      <c r="Z9" s="9" t="n">
        <v>1372.91</v>
      </c>
      <c r="AA9" s="9" t="n">
        <v>0</v>
      </c>
      <c r="AB9" s="9" t="n">
        <v>0</v>
      </c>
      <c r="AC9" s="7" t="n"/>
      <c r="AD9" s="9" t="n">
        <v>1372.91</v>
      </c>
      <c r="AE9" s="5" t="n">
        <v>59</v>
      </c>
      <c r="AF9" s="6" t="inlineStr">
        <is>
          <t>F411</t>
        </is>
      </c>
      <c r="AG9" s="6" t="inlineStr">
        <is>
          <t>F332</t>
        </is>
      </c>
      <c r="AH9" s="6" t="n"/>
      <c r="AI9" s="6" t="n"/>
      <c r="AJ9" s="5" t="n"/>
      <c r="AK9" s="6" t="inlineStr">
        <is>
          <t>O'NEIL, ROY</t>
        </is>
      </c>
      <c r="AL9" s="6" t="inlineStr">
        <is>
          <t>ASAP - DEER VALLEY</t>
        </is>
      </c>
      <c r="AM9" s="7" t="n">
        <v>46217</v>
      </c>
      <c r="AN9" s="6" t="inlineStr">
        <is>
          <t>BH</t>
        </is>
      </c>
      <c r="AO9" s="6" t="inlineStr">
        <is>
          <t>974, 975</t>
        </is>
      </c>
    </row>
    <row r="10">
      <c r="A10" s="2" t="n"/>
      <c r="B10" s="3" t="n"/>
      <c r="C10" s="4" t="n">
        <v>46224</v>
      </c>
      <c r="D10" s="5" t="n">
        <v>562169362</v>
      </c>
      <c r="E10" s="6" t="inlineStr">
        <is>
          <t>HF527805618</t>
        </is>
      </c>
      <c r="F10" s="7" t="n">
        <v>46183</v>
      </c>
      <c r="G10" s="6" t="inlineStr">
        <is>
          <t>UnitedHealthcare Community Plan / Arizona Long Term Care</t>
        </is>
      </c>
      <c r="H10" s="6" t="inlineStr">
        <is>
          <t>UnitedHealthcare Community Plan / Arizona Long Term Care</t>
        </is>
      </c>
      <c r="I10" s="6" t="inlineStr">
        <is>
          <t>No Payer</t>
        </is>
      </c>
      <c r="J10" s="8" t="inlineStr">
        <is>
          <t>99493 x1; 99494 x1</t>
        </is>
      </c>
      <c r="K10" s="4" t="n"/>
      <c r="L10" s="5">
        <f>IF($O10="","",$O10-TODAY())</f>
        <v/>
      </c>
      <c r="M10" s="5">
        <f>IF($C10="","",$C10+180-TODAY())</f>
        <v/>
      </c>
      <c r="N10" s="5">
        <f>IF($C10="","",$C10+365-TODAY())</f>
        <v/>
      </c>
      <c r="O10" s="7" t="n">
        <v>46273</v>
      </c>
      <c r="P10" s="6" t="inlineStr">
        <is>
          <t>90 days</t>
        </is>
      </c>
      <c r="Q10" s="6" t="inlineStr">
        <is>
          <t>UHC COMMUNITY</t>
        </is>
      </c>
      <c r="R10" s="6" t="inlineStr">
        <is>
          <t>180 days</t>
        </is>
      </c>
      <c r="S10" s="6" t="inlineStr">
        <is>
          <t>Processed date</t>
        </is>
      </c>
      <c r="T10" s="6" t="inlineStr">
        <is>
          <t>365 days</t>
        </is>
      </c>
      <c r="U10" s="6" t="inlineStr">
        <is>
          <t>Processed date</t>
        </is>
      </c>
      <c r="V10" s="6" t="n"/>
      <c r="W10" s="6" t="n"/>
      <c r="X10" s="6" t="n"/>
      <c r="Y10" s="6" t="inlineStr">
        <is>
          <t>1</t>
        </is>
      </c>
      <c r="Z10" s="9" t="n">
        <v>1372.91</v>
      </c>
      <c r="AA10" s="9" t="n">
        <v>0</v>
      </c>
      <c r="AB10" s="9" t="n">
        <v>0</v>
      </c>
      <c r="AC10" s="7" t="n">
        <v>46224</v>
      </c>
      <c r="AD10" s="9" t="n">
        <v>1372.91</v>
      </c>
      <c r="AE10" s="5" t="n">
        <v>59</v>
      </c>
      <c r="AF10" s="6" t="inlineStr">
        <is>
          <t>F4323</t>
        </is>
      </c>
      <c r="AG10" s="6" t="n"/>
      <c r="AH10" s="6" t="n"/>
      <c r="AI10" s="6" t="n"/>
      <c r="AJ10" s="5" t="n"/>
      <c r="AK10" s="6" t="inlineStr">
        <is>
          <t>TURLEY, TODD</t>
        </is>
      </c>
      <c r="AL10" s="6" t="inlineStr">
        <is>
          <t>ASAP - DEER VALLEY</t>
        </is>
      </c>
      <c r="AM10" s="7" t="n">
        <v>46217</v>
      </c>
      <c r="AN10" s="6" t="inlineStr">
        <is>
          <t>BH</t>
        </is>
      </c>
      <c r="AO10" s="6" t="inlineStr">
        <is>
          <t>736, 737</t>
        </is>
      </c>
    </row>
    <row r="11">
      <c r="A11" s="2" t="n"/>
      <c r="B11" s="3" t="n"/>
      <c r="C11" s="4" t="n"/>
      <c r="D11" s="5" t="n">
        <v>562154183</v>
      </c>
      <c r="E11" s="6" t="inlineStr">
        <is>
          <t>HF556561019</t>
        </is>
      </c>
      <c r="F11" s="7" t="n">
        <v>46184</v>
      </c>
      <c r="G11" s="6" t="inlineStr">
        <is>
          <t>UnitedHealthcare Community Plan / Arizona Long Term Care</t>
        </is>
      </c>
      <c r="H11" s="6" t="inlineStr">
        <is>
          <t>UnitedHealthcare Community Plan / Arizona Long Term Care</t>
        </is>
      </c>
      <c r="I11" s="6" t="inlineStr">
        <is>
          <t>No Payer</t>
        </is>
      </c>
      <c r="J11" s="8" t="inlineStr">
        <is>
          <t>99494 x1; 99492 x1</t>
        </is>
      </c>
      <c r="K11" s="4" t="n"/>
      <c r="L11" s="5">
        <f>IF($O11="","",$O11-TODAY())</f>
        <v/>
      </c>
      <c r="M11" s="5">
        <f>IF($C11="","",$C11+180-TODAY())</f>
        <v/>
      </c>
      <c r="N11" s="5">
        <f>IF($C11="","",$C11+365-TODAY())</f>
        <v/>
      </c>
      <c r="O11" s="7" t="n">
        <v>46274</v>
      </c>
      <c r="P11" s="6" t="inlineStr">
        <is>
          <t>90 days</t>
        </is>
      </c>
      <c r="Q11" s="6" t="inlineStr">
        <is>
          <t>UHC COMMUNITY</t>
        </is>
      </c>
      <c r="R11" s="6" t="inlineStr">
        <is>
          <t>180 days</t>
        </is>
      </c>
      <c r="S11" s="6" t="inlineStr">
        <is>
          <t>Processed date</t>
        </is>
      </c>
      <c r="T11" s="6" t="inlineStr">
        <is>
          <t>365 days</t>
        </is>
      </c>
      <c r="U11" s="6" t="inlineStr">
        <is>
          <t>Processed date</t>
        </is>
      </c>
      <c r="V11" s="6" t="n"/>
      <c r="W11" s="6" t="n"/>
      <c r="X11" s="6" t="n"/>
      <c r="Y11" s="6" t="inlineStr">
        <is>
          <t>1</t>
        </is>
      </c>
      <c r="Z11" s="9" t="n">
        <v>1426.25</v>
      </c>
      <c r="AA11" s="9" t="n">
        <v>0</v>
      </c>
      <c r="AB11" s="9" t="n">
        <v>0</v>
      </c>
      <c r="AC11" s="7" t="n"/>
      <c r="AD11" s="9" t="n">
        <v>1426.25</v>
      </c>
      <c r="AE11" s="5" t="n">
        <v>58</v>
      </c>
      <c r="AF11" s="6" t="inlineStr">
        <is>
          <t>F4320</t>
        </is>
      </c>
      <c r="AG11" s="6" t="n"/>
      <c r="AH11" s="6" t="n"/>
      <c r="AI11" s="6" t="n"/>
      <c r="AJ11" s="5" t="n"/>
      <c r="AK11" s="6" t="inlineStr">
        <is>
          <t>KRAUSE, JEFFREY</t>
        </is>
      </c>
      <c r="AL11" s="6" t="inlineStr">
        <is>
          <t>ASAP - DEER VALLEY</t>
        </is>
      </c>
      <c r="AM11" s="7" t="n">
        <v>46217</v>
      </c>
      <c r="AN11" s="6" t="inlineStr">
        <is>
          <t>BH</t>
        </is>
      </c>
      <c r="AO11" s="6" t="inlineStr">
        <is>
          <t>609, 610</t>
        </is>
      </c>
    </row>
    <row r="12">
      <c r="A12" s="2" t="n"/>
      <c r="B12" s="3" t="n"/>
      <c r="C12" s="4" t="n"/>
      <c r="D12" s="5" t="n">
        <v>562171100</v>
      </c>
      <c r="E12" s="6" t="inlineStr">
        <is>
          <t>HF367456680</t>
        </is>
      </c>
      <c r="F12" s="7" t="n">
        <v>46184</v>
      </c>
      <c r="G12" s="6" t="inlineStr">
        <is>
          <t>UnitedHealthcare Community Plan / Arizona Long Term Care</t>
        </is>
      </c>
      <c r="H12" s="6" t="inlineStr">
        <is>
          <t>UnitedHealthcare Community Plan / Arizona Long Term Care</t>
        </is>
      </c>
      <c r="I12" s="6" t="inlineStr">
        <is>
          <t>UnitedHealthcare Community Plan / Arizona Long Term Care</t>
        </is>
      </c>
      <c r="J12" s="8" t="inlineStr">
        <is>
          <t>99493 x1; 99494 x1</t>
        </is>
      </c>
      <c r="K12" s="4" t="n"/>
      <c r="L12" s="5">
        <f>IF($O12="","",$O12-TODAY())</f>
        <v/>
      </c>
      <c r="M12" s="5">
        <f>IF($C12="","",$C12+180-TODAY())</f>
        <v/>
      </c>
      <c r="N12" s="5">
        <f>IF($C12="","",$C12+365-TODAY())</f>
        <v/>
      </c>
      <c r="O12" s="7" t="n">
        <v>46274</v>
      </c>
      <c r="P12" s="6" t="inlineStr">
        <is>
          <t>90 days</t>
        </is>
      </c>
      <c r="Q12" s="6" t="inlineStr">
        <is>
          <t>UHC COMMUNITY</t>
        </is>
      </c>
      <c r="R12" s="6" t="inlineStr">
        <is>
          <t>180 days</t>
        </is>
      </c>
      <c r="S12" s="6" t="inlineStr">
        <is>
          <t>Processed date</t>
        </is>
      </c>
      <c r="T12" s="6" t="inlineStr">
        <is>
          <t>365 days</t>
        </is>
      </c>
      <c r="U12" s="6" t="inlineStr">
        <is>
          <t>Processed date</t>
        </is>
      </c>
      <c r="V12" s="6" t="n"/>
      <c r="W12" s="6" t="n"/>
      <c r="X12" s="6" t="n"/>
      <c r="Y12" s="6" t="inlineStr">
        <is>
          <t>1</t>
        </is>
      </c>
      <c r="Z12" s="9" t="n">
        <v>1372.91</v>
      </c>
      <c r="AA12" s="9" t="n">
        <v>0</v>
      </c>
      <c r="AB12" s="9" t="n">
        <v>0</v>
      </c>
      <c r="AC12" s="7" t="n"/>
      <c r="AD12" s="9" t="n">
        <v>1372.91</v>
      </c>
      <c r="AE12" s="5" t="n">
        <v>58</v>
      </c>
      <c r="AF12" s="6" t="inlineStr">
        <is>
          <t>F332</t>
        </is>
      </c>
      <c r="AG12" s="6" t="inlineStr">
        <is>
          <t>F411</t>
        </is>
      </c>
      <c r="AH12" s="6" t="n"/>
      <c r="AI12" s="6" t="n"/>
      <c r="AJ12" s="5" t="n"/>
      <c r="AK12" s="6" t="inlineStr">
        <is>
          <t>LEATHEM, JARRETT</t>
        </is>
      </c>
      <c r="AL12" s="6" t="inlineStr">
        <is>
          <t>ASAP - DEER VALLEY</t>
        </is>
      </c>
      <c r="AM12" s="7" t="n">
        <v>46217</v>
      </c>
      <c r="AN12" s="6" t="inlineStr">
        <is>
          <t>BH</t>
        </is>
      </c>
      <c r="AO12" s="6" t="inlineStr">
        <is>
          <t>881, 883</t>
        </is>
      </c>
    </row>
    <row r="13">
      <c r="A13" s="2" t="n"/>
      <c r="B13" s="3" t="n"/>
      <c r="C13" s="4" t="n"/>
      <c r="D13" s="5" t="n">
        <v>562172671</v>
      </c>
      <c r="E13" s="6" t="inlineStr">
        <is>
          <t>HF523425107</t>
        </is>
      </c>
      <c r="F13" s="7" t="n">
        <v>46184</v>
      </c>
      <c r="G13" s="6" t="inlineStr">
        <is>
          <t>UnitedHealthcare Community Plan / Arizona Long Term Care</t>
        </is>
      </c>
      <c r="H13" s="6" t="inlineStr">
        <is>
          <t>UnitedHealthcare Community Plan / Arizona Long Term Care</t>
        </is>
      </c>
      <c r="I13" s="6" t="inlineStr">
        <is>
          <t>No Payer</t>
        </is>
      </c>
      <c r="J13" s="8" t="inlineStr">
        <is>
          <t>99493 x1; 99494 x1</t>
        </is>
      </c>
      <c r="K13" s="4" t="n"/>
      <c r="L13" s="5">
        <f>IF($O13="","",$O13-TODAY())</f>
        <v/>
      </c>
      <c r="M13" s="5">
        <f>IF($C13="","",$C13+180-TODAY())</f>
        <v/>
      </c>
      <c r="N13" s="5">
        <f>IF($C13="","",$C13+365-TODAY())</f>
        <v/>
      </c>
      <c r="O13" s="7" t="n">
        <v>46274</v>
      </c>
      <c r="P13" s="6" t="inlineStr">
        <is>
          <t>90 days</t>
        </is>
      </c>
      <c r="Q13" s="6" t="inlineStr">
        <is>
          <t>UHC COMMUNITY</t>
        </is>
      </c>
      <c r="R13" s="6" t="inlineStr">
        <is>
          <t>180 days</t>
        </is>
      </c>
      <c r="S13" s="6" t="inlineStr">
        <is>
          <t>Processed date</t>
        </is>
      </c>
      <c r="T13" s="6" t="inlineStr">
        <is>
          <t>365 days</t>
        </is>
      </c>
      <c r="U13" s="6" t="inlineStr">
        <is>
          <t>Processed date</t>
        </is>
      </c>
      <c r="V13" s="6" t="n"/>
      <c r="W13" s="6" t="n"/>
      <c r="X13" s="6" t="n"/>
      <c r="Y13" s="6" t="inlineStr">
        <is>
          <t>1</t>
        </is>
      </c>
      <c r="Z13" s="9" t="n">
        <v>1372.91</v>
      </c>
      <c r="AA13" s="9" t="n">
        <v>0</v>
      </c>
      <c r="AB13" s="9" t="n">
        <v>0</v>
      </c>
      <c r="AC13" s="7" t="n"/>
      <c r="AD13" s="9" t="n">
        <v>1372.91</v>
      </c>
      <c r="AE13" s="5" t="n">
        <v>58</v>
      </c>
      <c r="AF13" s="6" t="inlineStr">
        <is>
          <t>F4323</t>
        </is>
      </c>
      <c r="AG13" s="6" t="n"/>
      <c r="AH13" s="6" t="n"/>
      <c r="AI13" s="6" t="n"/>
      <c r="AJ13" s="5" t="n"/>
      <c r="AK13" s="6" t="inlineStr">
        <is>
          <t>TURLEY, TODD</t>
        </is>
      </c>
      <c r="AL13" s="6" t="inlineStr">
        <is>
          <t>ASAP - DEER VALLEY</t>
        </is>
      </c>
      <c r="AM13" s="7" t="n">
        <v>46217</v>
      </c>
      <c r="AN13" s="6" t="inlineStr">
        <is>
          <t>BH</t>
        </is>
      </c>
      <c r="AO13" s="6" t="inlineStr">
        <is>
          <t>227, 228</t>
        </is>
      </c>
    </row>
    <row r="14">
      <c r="A14" s="2" t="n"/>
      <c r="B14" s="3" t="n"/>
      <c r="C14" s="4" t="n"/>
      <c r="D14" s="5" t="n">
        <v>562179710</v>
      </c>
      <c r="E14" s="6" t="inlineStr">
        <is>
          <t>HF404885397</t>
        </is>
      </c>
      <c r="F14" s="7" t="n">
        <v>46184</v>
      </c>
      <c r="G14" s="6" t="inlineStr">
        <is>
          <t>UnitedHealthcare Community Plan / Arizona Long Term Care</t>
        </is>
      </c>
      <c r="H14" s="6" t="inlineStr">
        <is>
          <t>UnitedHealthcare Community Plan / Arizona Long Term Care</t>
        </is>
      </c>
      <c r="I14" s="6" t="inlineStr">
        <is>
          <t>No Payer</t>
        </is>
      </c>
      <c r="J14" s="8" t="inlineStr">
        <is>
          <t>99494 x1; 99493 x1</t>
        </is>
      </c>
      <c r="K14" s="4" t="n"/>
      <c r="L14" s="5">
        <f>IF($O14="","",$O14-TODAY())</f>
        <v/>
      </c>
      <c r="M14" s="5">
        <f>IF($C14="","",$C14+180-TODAY())</f>
        <v/>
      </c>
      <c r="N14" s="5">
        <f>IF($C14="","",$C14+365-TODAY())</f>
        <v/>
      </c>
      <c r="O14" s="7" t="n">
        <v>46274</v>
      </c>
      <c r="P14" s="6" t="inlineStr">
        <is>
          <t>90 days</t>
        </is>
      </c>
      <c r="Q14" s="6" t="inlineStr">
        <is>
          <t>UHC COMMUNITY</t>
        </is>
      </c>
      <c r="R14" s="6" t="inlineStr">
        <is>
          <t>180 days</t>
        </is>
      </c>
      <c r="S14" s="6" t="inlineStr">
        <is>
          <t>Processed date</t>
        </is>
      </c>
      <c r="T14" s="6" t="inlineStr">
        <is>
          <t>365 days</t>
        </is>
      </c>
      <c r="U14" s="6" t="inlineStr">
        <is>
          <t>Processed date</t>
        </is>
      </c>
      <c r="V14" s="6" t="n"/>
      <c r="W14" s="6" t="n"/>
      <c r="X14" s="6" t="n"/>
      <c r="Y14" s="6" t="inlineStr">
        <is>
          <t>1</t>
        </is>
      </c>
      <c r="Z14" s="9" t="n">
        <v>1372.91</v>
      </c>
      <c r="AA14" s="9" t="n">
        <v>0</v>
      </c>
      <c r="AB14" s="9" t="n">
        <v>0</v>
      </c>
      <c r="AC14" s="7" t="n"/>
      <c r="AD14" s="9" t="n">
        <v>1372.91</v>
      </c>
      <c r="AE14" s="5" t="n">
        <v>58</v>
      </c>
      <c r="AF14" s="6" t="inlineStr">
        <is>
          <t>F339</t>
        </is>
      </c>
      <c r="AG14" s="6" t="n"/>
      <c r="AH14" s="6" t="n"/>
      <c r="AI14" s="6" t="n"/>
      <c r="AJ14" s="5" t="n"/>
      <c r="AK14" s="6" t="inlineStr">
        <is>
          <t>MORALES, DAVID</t>
        </is>
      </c>
      <c r="AL14" s="6" t="inlineStr">
        <is>
          <t>ASAP - DEER VALLEY</t>
        </is>
      </c>
      <c r="AM14" s="7" t="n">
        <v>46217</v>
      </c>
      <c r="AN14" s="6" t="inlineStr">
        <is>
          <t>BH</t>
        </is>
      </c>
      <c r="AO14" s="6" t="inlineStr">
        <is>
          <t>1003, 1004</t>
        </is>
      </c>
    </row>
    <row r="15">
      <c r="A15" s="2" t="n"/>
      <c r="B15" s="3" t="n"/>
      <c r="C15" s="4" t="n"/>
      <c r="D15" s="5" t="n">
        <v>562371749</v>
      </c>
      <c r="E15" s="6" t="inlineStr">
        <is>
          <t>HF520885336</t>
        </is>
      </c>
      <c r="F15" s="7" t="n">
        <v>46188</v>
      </c>
      <c r="G15" s="6" t="inlineStr">
        <is>
          <t>UnitedHealthcare Community Plan / Arizona Long Term Care</t>
        </is>
      </c>
      <c r="H15" s="6" t="inlineStr">
        <is>
          <t>UnitedHealthcare Community Plan / Arizona Long Term Care</t>
        </is>
      </c>
      <c r="I15" s="6" t="inlineStr">
        <is>
          <t>UnitedHealthcare Community Plan / Arizona Long Term Care</t>
        </is>
      </c>
      <c r="J15" s="8" t="inlineStr">
        <is>
          <t>99492 x1; 99494 x1</t>
        </is>
      </c>
      <c r="K15" s="4" t="n"/>
      <c r="L15" s="5">
        <f>IF($O15="","",$O15-TODAY())</f>
        <v/>
      </c>
      <c r="M15" s="5">
        <f>IF($C15="","",$C15+180-TODAY())</f>
        <v/>
      </c>
      <c r="N15" s="5">
        <f>IF($C15="","",$C15+365-TODAY())</f>
        <v/>
      </c>
      <c r="O15" s="7" t="n">
        <v>46278</v>
      </c>
      <c r="P15" s="6" t="inlineStr">
        <is>
          <t>90 days</t>
        </is>
      </c>
      <c r="Q15" s="6" t="inlineStr">
        <is>
          <t>UHC COMMUNITY</t>
        </is>
      </c>
      <c r="R15" s="6" t="inlineStr">
        <is>
          <t>180 days</t>
        </is>
      </c>
      <c r="S15" s="6" t="inlineStr">
        <is>
          <t>Processed date</t>
        </is>
      </c>
      <c r="T15" s="6" t="inlineStr">
        <is>
          <t>365 days</t>
        </is>
      </c>
      <c r="U15" s="6" t="inlineStr">
        <is>
          <t>Processed date</t>
        </is>
      </c>
      <c r="V15" s="6" t="n"/>
      <c r="W15" s="6" t="n"/>
      <c r="X15" s="6" t="n"/>
      <c r="Y15" s="6" t="inlineStr">
        <is>
          <t>1</t>
        </is>
      </c>
      <c r="Z15" s="9" t="n">
        <v>1426.25</v>
      </c>
      <c r="AA15" s="9" t="n">
        <v>0</v>
      </c>
      <c r="AB15" s="9" t="n">
        <v>0</v>
      </c>
      <c r="AC15" s="7" t="n"/>
      <c r="AD15" s="9" t="n">
        <v>1426.25</v>
      </c>
      <c r="AE15" s="5" t="n">
        <v>54</v>
      </c>
      <c r="AF15" s="6" t="inlineStr">
        <is>
          <t>F4320</t>
        </is>
      </c>
      <c r="AG15" s="6" t="n"/>
      <c r="AH15" s="6" t="n"/>
      <c r="AI15" s="6" t="n"/>
      <c r="AJ15" s="5" t="n"/>
      <c r="AK15" s="6" t="inlineStr">
        <is>
          <t>MCMURDIE, TODD</t>
        </is>
      </c>
      <c r="AL15" s="6" t="inlineStr">
        <is>
          <t>ASAP - Surprise - Reems</t>
        </is>
      </c>
      <c r="AM15" s="7" t="n">
        <v>46217</v>
      </c>
      <c r="AN15" s="6" t="inlineStr">
        <is>
          <t>BH</t>
        </is>
      </c>
      <c r="AO15" s="6" t="inlineStr">
        <is>
          <t>236, 237</t>
        </is>
      </c>
    </row>
    <row r="16">
      <c r="A16" s="2" t="n"/>
      <c r="B16" s="3" t="n"/>
      <c r="C16" s="4" t="n"/>
      <c r="D16" s="5" t="n">
        <v>562510277</v>
      </c>
      <c r="E16" s="6" t="inlineStr">
        <is>
          <t>HF559372689</t>
        </is>
      </c>
      <c r="F16" s="7" t="n">
        <v>46189</v>
      </c>
      <c r="G16" s="6" t="inlineStr">
        <is>
          <t>UnitedHealthcare Community Plan / Arizona Long Term Care</t>
        </is>
      </c>
      <c r="H16" s="6" t="inlineStr">
        <is>
          <t>UnitedHealthcare Community Plan / Arizona Long Term Care</t>
        </is>
      </c>
      <c r="I16" s="6" t="inlineStr">
        <is>
          <t>No Payer</t>
        </is>
      </c>
      <c r="J16" s="8" t="inlineStr">
        <is>
          <t>99484 x1</t>
        </is>
      </c>
      <c r="K16" s="4" t="n"/>
      <c r="L16" s="5">
        <f>IF($O16="","",$O16-TODAY())</f>
        <v/>
      </c>
      <c r="M16" s="5">
        <f>IF($C16="","",$C16+180-TODAY())</f>
        <v/>
      </c>
      <c r="N16" s="5">
        <f>IF($C16="","",$C16+365-TODAY())</f>
        <v/>
      </c>
      <c r="O16" s="7" t="n">
        <v>46279</v>
      </c>
      <c r="P16" s="6" t="inlineStr">
        <is>
          <t>90 days</t>
        </is>
      </c>
      <c r="Q16" s="6" t="inlineStr">
        <is>
          <t>UHC COMMUNITY</t>
        </is>
      </c>
      <c r="R16" s="6" t="inlineStr">
        <is>
          <t>180 days</t>
        </is>
      </c>
      <c r="S16" s="6" t="inlineStr">
        <is>
          <t>Processed date</t>
        </is>
      </c>
      <c r="T16" s="6" t="inlineStr">
        <is>
          <t>365 days</t>
        </is>
      </c>
      <c r="U16" s="6" t="inlineStr">
        <is>
          <t>Processed date</t>
        </is>
      </c>
      <c r="V16" s="6" t="n"/>
      <c r="W16" s="6" t="n"/>
      <c r="X16" s="6" t="n"/>
      <c r="Y16" s="6" t="inlineStr">
        <is>
          <t>1</t>
        </is>
      </c>
      <c r="Z16" s="9" t="n">
        <v>294.42</v>
      </c>
      <c r="AA16" s="9" t="n">
        <v>0</v>
      </c>
      <c r="AB16" s="9" t="n">
        <v>0</v>
      </c>
      <c r="AC16" s="7" t="n"/>
      <c r="AD16" s="9" t="n">
        <v>294.42</v>
      </c>
      <c r="AE16" s="5" t="n">
        <v>53</v>
      </c>
      <c r="AF16" s="6" t="inlineStr">
        <is>
          <t>Z79891</t>
        </is>
      </c>
      <c r="AG16" s="6" t="inlineStr">
        <is>
          <t>Z1331</t>
        </is>
      </c>
      <c r="AH16" s="6" t="n"/>
      <c r="AI16" s="6" t="n"/>
      <c r="AJ16" s="5" t="n"/>
      <c r="AK16" s="6" t="inlineStr">
        <is>
          <t>WILSON, JARED</t>
        </is>
      </c>
      <c r="AL16" s="6" t="inlineStr">
        <is>
          <t>ASAP - Tucson</t>
        </is>
      </c>
      <c r="AM16" s="7" t="n">
        <v>46233</v>
      </c>
      <c r="AN16" s="6" t="inlineStr">
        <is>
          <t>BH</t>
        </is>
      </c>
      <c r="AO16" s="6" t="inlineStr">
        <is>
          <t>895</t>
        </is>
      </c>
    </row>
    <row r="17">
      <c r="A17" s="2" t="n"/>
      <c r="B17" s="3" t="n"/>
      <c r="C17" s="4" t="n"/>
      <c r="D17" s="5" t="n">
        <v>562603267</v>
      </c>
      <c r="E17" s="6" t="inlineStr">
        <is>
          <t>HF499452983</t>
        </is>
      </c>
      <c r="F17" s="7" t="n">
        <v>46190</v>
      </c>
      <c r="G17" s="6" t="inlineStr">
        <is>
          <t>UnitedHealthcare Community Plan / Arizona Long Term Care</t>
        </is>
      </c>
      <c r="H17" s="6" t="inlineStr">
        <is>
          <t>UnitedHealthcare Community Plan / Arizona Long Term Care</t>
        </is>
      </c>
      <c r="I17" s="6" t="inlineStr">
        <is>
          <t>No Payer</t>
        </is>
      </c>
      <c r="J17" s="8" t="inlineStr">
        <is>
          <t>99494 x2; 99493 x1</t>
        </is>
      </c>
      <c r="K17" s="4" t="n"/>
      <c r="L17" s="5">
        <f>IF($O17="","",$O17-TODAY())</f>
        <v/>
      </c>
      <c r="M17" s="5">
        <f>IF($C17="","",$C17+180-TODAY())</f>
        <v/>
      </c>
      <c r="N17" s="5">
        <f>IF($C17="","",$C17+365-TODAY())</f>
        <v/>
      </c>
      <c r="O17" s="7" t="n">
        <v>46280</v>
      </c>
      <c r="P17" s="6" t="inlineStr">
        <is>
          <t>90 days</t>
        </is>
      </c>
      <c r="Q17" s="6" t="inlineStr">
        <is>
          <t>UHC COMMUNITY</t>
        </is>
      </c>
      <c r="R17" s="6" t="inlineStr">
        <is>
          <t>180 days</t>
        </is>
      </c>
      <c r="S17" s="6" t="inlineStr">
        <is>
          <t>Processed date</t>
        </is>
      </c>
      <c r="T17" s="6" t="inlineStr">
        <is>
          <t>365 days</t>
        </is>
      </c>
      <c r="U17" s="6" t="inlineStr">
        <is>
          <t>Processed date</t>
        </is>
      </c>
      <c r="V17" s="6" t="n"/>
      <c r="W17" s="6" t="n"/>
      <c r="X17" s="6" t="n"/>
      <c r="Y17" s="6" t="inlineStr">
        <is>
          <t>2, 1</t>
        </is>
      </c>
      <c r="Z17" s="9" t="n">
        <v>1769.18</v>
      </c>
      <c r="AA17" s="9" t="n">
        <v>0</v>
      </c>
      <c r="AB17" s="9" t="n">
        <v>0</v>
      </c>
      <c r="AC17" s="7" t="n"/>
      <c r="AD17" s="9" t="n">
        <v>1769.18</v>
      </c>
      <c r="AE17" s="5" t="n">
        <v>52</v>
      </c>
      <c r="AF17" s="6" t="inlineStr">
        <is>
          <t>F39</t>
        </is>
      </c>
      <c r="AG17" s="6" t="n"/>
      <c r="AH17" s="6" t="n"/>
      <c r="AI17" s="6" t="n"/>
      <c r="AJ17" s="5" t="n"/>
      <c r="AK17" s="6" t="inlineStr">
        <is>
          <t>KALLGREN, MARK</t>
        </is>
      </c>
      <c r="AL17" s="6" t="inlineStr">
        <is>
          <t>ASAP - Gilbert</t>
        </is>
      </c>
      <c r="AM17" s="7" t="n">
        <v>46217</v>
      </c>
      <c r="AN17" s="6" t="inlineStr">
        <is>
          <t>BH</t>
        </is>
      </c>
      <c r="AO17" s="6" t="inlineStr">
        <is>
          <t>641, 642</t>
        </is>
      </c>
    </row>
    <row r="18">
      <c r="A18" s="2" t="n"/>
      <c r="B18" s="3" t="n"/>
      <c r="C18" s="4" t="n"/>
      <c r="D18" s="5" t="n">
        <v>562803289</v>
      </c>
      <c r="E18" s="6" t="inlineStr">
        <is>
          <t>HF441046082</t>
        </is>
      </c>
      <c r="F18" s="7" t="n">
        <v>46191</v>
      </c>
      <c r="G18" s="6" t="inlineStr">
        <is>
          <t>United Healthcare</t>
        </is>
      </c>
      <c r="H18" s="6" t="inlineStr">
        <is>
          <t>United Healthcare</t>
        </is>
      </c>
      <c r="I18" s="6" t="inlineStr">
        <is>
          <t>No Payer</t>
        </is>
      </c>
      <c r="J18" s="8" t="inlineStr">
        <is>
          <t>99494 x1; 99492 x1</t>
        </is>
      </c>
      <c r="K18" s="4" t="n"/>
      <c r="L18" s="5">
        <f>IF($O18="","",$O18-TODAY())</f>
        <v/>
      </c>
      <c r="M18" s="5">
        <f>IF($C18="","",$C18+180-TODAY())</f>
        <v/>
      </c>
      <c r="N18" s="5">
        <f>IF($C18="","",$C18+365-TODAY())</f>
        <v/>
      </c>
      <c r="O18" s="7" t="n">
        <v>46281</v>
      </c>
      <c r="P18" s="6" t="inlineStr">
        <is>
          <t>90 days</t>
        </is>
      </c>
      <c r="Q18" s="6" t="inlineStr">
        <is>
          <t>UHC COMMERCIAL</t>
        </is>
      </c>
      <c r="R18" s="6" t="inlineStr">
        <is>
          <t>180 days</t>
        </is>
      </c>
      <c r="S18" s="6" t="inlineStr">
        <is>
          <t>Processed date</t>
        </is>
      </c>
      <c r="T18" s="6" t="inlineStr">
        <is>
          <t>365 days</t>
        </is>
      </c>
      <c r="U18" s="6" t="inlineStr">
        <is>
          <t>Processed date</t>
        </is>
      </c>
      <c r="V18" s="6" t="n"/>
      <c r="W18" s="6" t="n"/>
      <c r="X18" s="6" t="n"/>
      <c r="Y18" s="6" t="inlineStr">
        <is>
          <t>1</t>
        </is>
      </c>
      <c r="Z18" s="9" t="n">
        <v>1426.25</v>
      </c>
      <c r="AA18" s="9" t="n">
        <v>0</v>
      </c>
      <c r="AB18" s="9" t="n">
        <v>0</v>
      </c>
      <c r="AC18" s="7" t="n"/>
      <c r="AD18" s="9" t="n">
        <v>1426.25</v>
      </c>
      <c r="AE18" s="5" t="n">
        <v>51</v>
      </c>
      <c r="AF18" s="6" t="inlineStr">
        <is>
          <t>F4320</t>
        </is>
      </c>
      <c r="AG18" s="6" t="n"/>
      <c r="AH18" s="6" t="n"/>
      <c r="AI18" s="6" t="n"/>
      <c r="AJ18" s="5" t="n"/>
      <c r="AK18" s="6" t="inlineStr">
        <is>
          <t>LUKE, TIMOTHY</t>
        </is>
      </c>
      <c r="AL18" s="6" t="inlineStr">
        <is>
          <t>ASAP - Avondale</t>
        </is>
      </c>
      <c r="AM18" s="7" t="n">
        <v>46217</v>
      </c>
      <c r="AN18" s="6" t="inlineStr">
        <is>
          <t>BH</t>
        </is>
      </c>
      <c r="AO18" s="6" t="inlineStr">
        <is>
          <t>1000, 1001</t>
        </is>
      </c>
    </row>
    <row r="19">
      <c r="A19" s="2" t="n"/>
      <c r="B19" s="3" t="n"/>
      <c r="C19" s="4" t="n"/>
      <c r="D19" s="5" t="n">
        <v>563023433</v>
      </c>
      <c r="E19" s="6" t="inlineStr">
        <is>
          <t>HF561451630</t>
        </is>
      </c>
      <c r="F19" s="7" t="n">
        <v>46195</v>
      </c>
      <c r="G19" s="6" t="inlineStr">
        <is>
          <t>Blue Cross Blue Shield of Arizona (BCBS AZ)</t>
        </is>
      </c>
      <c r="H19" s="6" t="inlineStr">
        <is>
          <t>Blue Cross Blue Shield of Arizona (BCBS AZ)</t>
        </is>
      </c>
      <c r="I19" s="6" t="inlineStr">
        <is>
          <t>No Payer</t>
        </is>
      </c>
      <c r="J19" s="8" t="inlineStr">
        <is>
          <t>99484 x1</t>
        </is>
      </c>
      <c r="K19" s="4" t="n"/>
      <c r="L19" s="5">
        <f>IF($O19="","",$O19-TODAY())</f>
        <v/>
      </c>
      <c r="M19" s="5">
        <f>IF($C19="","",$C19+365-TODAY())</f>
        <v/>
      </c>
      <c r="N19" s="5">
        <f>IF($C19="","",$C19+365-TODAY())</f>
        <v/>
      </c>
      <c r="O19" s="7" t="n">
        <v>46285</v>
      </c>
      <c r="P19" s="6" t="inlineStr">
        <is>
          <t>90 days</t>
        </is>
      </c>
      <c r="Q19" s="6" t="inlineStr">
        <is>
          <t>BCBS</t>
        </is>
      </c>
      <c r="R19" s="6" t="inlineStr">
        <is>
          <t>365 days</t>
        </is>
      </c>
      <c r="S19" s="6" t="inlineStr">
        <is>
          <t>Processed date</t>
        </is>
      </c>
      <c r="T19" s="6" t="inlineStr">
        <is>
          <t>365 days</t>
        </is>
      </c>
      <c r="U19" s="6" t="inlineStr">
        <is>
          <t>Processed date</t>
        </is>
      </c>
      <c r="V19" s="6" t="n"/>
      <c r="W19" s="6" t="n"/>
      <c r="X19" s="6" t="n"/>
      <c r="Y19" s="6" t="inlineStr">
        <is>
          <t>1</t>
        </is>
      </c>
      <c r="Z19" s="9" t="n">
        <v>294.42</v>
      </c>
      <c r="AA19" s="9" t="n">
        <v>0</v>
      </c>
      <c r="AB19" s="9" t="n">
        <v>0</v>
      </c>
      <c r="AC19" s="7" t="n"/>
      <c r="AD19" s="9" t="n">
        <v>294.42</v>
      </c>
      <c r="AE19" s="5" t="n">
        <v>47</v>
      </c>
      <c r="AF19" s="6" t="inlineStr">
        <is>
          <t>Z79891</t>
        </is>
      </c>
      <c r="AG19" s="6" t="inlineStr">
        <is>
          <t>Z1331</t>
        </is>
      </c>
      <c r="AH19" s="6" t="n"/>
      <c r="AI19" s="6" t="n"/>
      <c r="AJ19" s="5" t="n"/>
      <c r="AK19" s="6" t="inlineStr">
        <is>
          <t>WILSON, JARED</t>
        </is>
      </c>
      <c r="AL19" s="6" t="inlineStr">
        <is>
          <t>ASAP - Tucson</t>
        </is>
      </c>
      <c r="AM19" s="7" t="n">
        <v>46234</v>
      </c>
      <c r="AN19" s="6" t="inlineStr">
        <is>
          <t>BH</t>
        </is>
      </c>
      <c r="AO19" s="6" t="inlineStr">
        <is>
          <t>643</t>
        </is>
      </c>
    </row>
    <row r="20">
      <c r="A20" s="2" t="n"/>
      <c r="B20" s="3" t="n"/>
      <c r="C20" s="4" t="n"/>
      <c r="D20" s="5" t="n">
        <v>563287939</v>
      </c>
      <c r="E20" s="6" t="inlineStr">
        <is>
          <t>HF551927338</t>
        </is>
      </c>
      <c r="F20" s="7" t="n">
        <v>46195</v>
      </c>
      <c r="G20" s="6" t="inlineStr">
        <is>
          <t>UnitedHealthcare Community Plan / Arizona Long Term Care</t>
        </is>
      </c>
      <c r="H20" s="6" t="inlineStr">
        <is>
          <t>UnitedHealthcare Community Plan / Arizona Long Term Care</t>
        </is>
      </c>
      <c r="I20" s="6" t="inlineStr">
        <is>
          <t>No Payer</t>
        </is>
      </c>
      <c r="J20" s="8" t="inlineStr">
        <is>
          <t>99494 x1; 99492 x1</t>
        </is>
      </c>
      <c r="K20" s="4" t="n"/>
      <c r="L20" s="5">
        <f>IF($O20="","",$O20-TODAY())</f>
        <v/>
      </c>
      <c r="M20" s="5">
        <f>IF($C20="","",$C20+180-TODAY())</f>
        <v/>
      </c>
      <c r="N20" s="5">
        <f>IF($C20="","",$C20+365-TODAY())</f>
        <v/>
      </c>
      <c r="O20" s="7" t="n">
        <v>46285</v>
      </c>
      <c r="P20" s="6" t="inlineStr">
        <is>
          <t>90 days</t>
        </is>
      </c>
      <c r="Q20" s="6" t="inlineStr">
        <is>
          <t>UHC COMMUNITY</t>
        </is>
      </c>
      <c r="R20" s="6" t="inlineStr">
        <is>
          <t>180 days</t>
        </is>
      </c>
      <c r="S20" s="6" t="inlineStr">
        <is>
          <t>Processed date</t>
        </is>
      </c>
      <c r="T20" s="6" t="inlineStr">
        <is>
          <t>365 days</t>
        </is>
      </c>
      <c r="U20" s="6" t="inlineStr">
        <is>
          <t>Processed date</t>
        </is>
      </c>
      <c r="V20" s="6" t="n"/>
      <c r="W20" s="6" t="n"/>
      <c r="X20" s="6" t="n"/>
      <c r="Y20" s="6" t="inlineStr">
        <is>
          <t>1</t>
        </is>
      </c>
      <c r="Z20" s="9" t="n">
        <v>1426.25</v>
      </c>
      <c r="AA20" s="9" t="n">
        <v>0</v>
      </c>
      <c r="AB20" s="9" t="n">
        <v>0</v>
      </c>
      <c r="AC20" s="7" t="n"/>
      <c r="AD20" s="9" t="n">
        <v>1426.25</v>
      </c>
      <c r="AE20" s="5" t="n">
        <v>47</v>
      </c>
      <c r="AF20" s="6" t="inlineStr">
        <is>
          <t>F4323</t>
        </is>
      </c>
      <c r="AG20" s="6" t="n"/>
      <c r="AH20" s="6" t="n"/>
      <c r="AI20" s="6" t="n"/>
      <c r="AJ20" s="5" t="n"/>
      <c r="AK20" s="6" t="inlineStr">
        <is>
          <t>KRAUSE, JEFFREY</t>
        </is>
      </c>
      <c r="AL20" s="6" t="inlineStr">
        <is>
          <t>ASAP Peoria</t>
        </is>
      </c>
      <c r="AM20" s="7" t="n">
        <v>46217</v>
      </c>
      <c r="AN20" s="6" t="inlineStr">
        <is>
          <t>BH</t>
        </is>
      </c>
      <c r="AO20" s="6" t="inlineStr">
        <is>
          <t>225, 226</t>
        </is>
      </c>
    </row>
    <row r="21">
      <c r="A21" s="2" t="n"/>
      <c r="B21" s="3" t="n"/>
      <c r="C21" s="4" t="n"/>
      <c r="D21" s="5" t="n">
        <v>563304325</v>
      </c>
      <c r="E21" s="6" t="inlineStr">
        <is>
          <t>HF560594716</t>
        </is>
      </c>
      <c r="F21" s="7" t="n">
        <v>46197</v>
      </c>
      <c r="G21" s="6" t="inlineStr">
        <is>
          <t>United Healthcare</t>
        </is>
      </c>
      <c r="H21" s="6" t="inlineStr">
        <is>
          <t>United Healthcare</t>
        </is>
      </c>
      <c r="I21" s="6" t="inlineStr">
        <is>
          <t>No Payer</t>
        </is>
      </c>
      <c r="J21" s="8" t="inlineStr">
        <is>
          <t>99484 x1</t>
        </is>
      </c>
      <c r="K21" s="4" t="n"/>
      <c r="L21" s="5">
        <f>IF($O21="","",$O21-TODAY())</f>
        <v/>
      </c>
      <c r="M21" s="5">
        <f>IF($C21="","",$C21+180-TODAY())</f>
        <v/>
      </c>
      <c r="N21" s="5">
        <f>IF($C21="","",$C21+365-TODAY())</f>
        <v/>
      </c>
      <c r="O21" s="7" t="n">
        <v>46287</v>
      </c>
      <c r="P21" s="6" t="inlineStr">
        <is>
          <t>90 days</t>
        </is>
      </c>
      <c r="Q21" s="6" t="inlineStr">
        <is>
          <t>UHC COMMERCIAL</t>
        </is>
      </c>
      <c r="R21" s="6" t="inlineStr">
        <is>
          <t>180 days</t>
        </is>
      </c>
      <c r="S21" s="6" t="inlineStr">
        <is>
          <t>Processed date</t>
        </is>
      </c>
      <c r="T21" s="6" t="inlineStr">
        <is>
          <t>365 days</t>
        </is>
      </c>
      <c r="U21" s="6" t="inlineStr">
        <is>
          <t>Processed date</t>
        </is>
      </c>
      <c r="V21" s="6" t="n"/>
      <c r="W21" s="6" t="n"/>
      <c r="X21" s="6" t="n"/>
      <c r="Y21" s="6" t="inlineStr">
        <is>
          <t>1</t>
        </is>
      </c>
      <c r="Z21" s="9" t="n">
        <v>294.42</v>
      </c>
      <c r="AA21" s="9" t="n">
        <v>0</v>
      </c>
      <c r="AB21" s="9" t="n">
        <v>0</v>
      </c>
      <c r="AC21" s="7" t="n"/>
      <c r="AD21" s="9" t="n">
        <v>294.42</v>
      </c>
      <c r="AE21" s="5" t="n">
        <v>45</v>
      </c>
      <c r="AF21" s="6" t="inlineStr">
        <is>
          <t>Z79891</t>
        </is>
      </c>
      <c r="AG21" s="6" t="inlineStr">
        <is>
          <t>Z1331</t>
        </is>
      </c>
      <c r="AH21" s="6" t="n"/>
      <c r="AI21" s="6" t="n"/>
      <c r="AJ21" s="5" t="n"/>
      <c r="AK21" s="6" t="inlineStr">
        <is>
          <t>WILSON, JARED</t>
        </is>
      </c>
      <c r="AL21" s="6" t="inlineStr">
        <is>
          <t>ASAP - Tucson</t>
        </is>
      </c>
      <c r="AM21" s="7" t="n">
        <v>46233</v>
      </c>
      <c r="AN21" s="6" t="inlineStr">
        <is>
          <t>BH</t>
        </is>
      </c>
      <c r="AO21" s="6" t="inlineStr">
        <is>
          <t>970</t>
        </is>
      </c>
    </row>
    <row r="22">
      <c r="A22" s="2" t="n"/>
      <c r="B22" s="3" t="n"/>
      <c r="C22" s="4" t="n"/>
      <c r="D22" s="5" t="n">
        <v>563477944</v>
      </c>
      <c r="E22" s="6" t="inlineStr">
        <is>
          <t>HF560559288</t>
        </is>
      </c>
      <c r="F22" s="7" t="n">
        <v>46198</v>
      </c>
      <c r="G22" s="6" t="inlineStr">
        <is>
          <t>United Healthcare</t>
        </is>
      </c>
      <c r="H22" s="6" t="inlineStr">
        <is>
          <t>United Healthcare</t>
        </is>
      </c>
      <c r="I22" s="6" t="inlineStr">
        <is>
          <t>No Payer</t>
        </is>
      </c>
      <c r="J22" s="8" t="inlineStr">
        <is>
          <t>99494 x1; 99492 x1</t>
        </is>
      </c>
      <c r="K22" s="4" t="n"/>
      <c r="L22" s="5">
        <f>IF($O22="","",$O22-TODAY())</f>
        <v/>
      </c>
      <c r="M22" s="5">
        <f>IF($C22="","",$C22+180-TODAY())</f>
        <v/>
      </c>
      <c r="N22" s="5">
        <f>IF($C22="","",$C22+365-TODAY())</f>
        <v/>
      </c>
      <c r="O22" s="7" t="n">
        <v>46288</v>
      </c>
      <c r="P22" s="6" t="inlineStr">
        <is>
          <t>90 days</t>
        </is>
      </c>
      <c r="Q22" s="6" t="inlineStr">
        <is>
          <t>UHC COMMERCIAL</t>
        </is>
      </c>
      <c r="R22" s="6" t="inlineStr">
        <is>
          <t>180 days</t>
        </is>
      </c>
      <c r="S22" s="6" t="inlineStr">
        <is>
          <t>Processed date</t>
        </is>
      </c>
      <c r="T22" s="6" t="inlineStr">
        <is>
          <t>365 days</t>
        </is>
      </c>
      <c r="U22" s="6" t="inlineStr">
        <is>
          <t>Processed date</t>
        </is>
      </c>
      <c r="V22" s="6" t="n"/>
      <c r="W22" s="6" t="n"/>
      <c r="X22" s="6" t="n"/>
      <c r="Y22" s="6" t="inlineStr">
        <is>
          <t>1</t>
        </is>
      </c>
      <c r="Z22" s="9" t="n">
        <v>1426.25</v>
      </c>
      <c r="AA22" s="9" t="n">
        <v>0</v>
      </c>
      <c r="AB22" s="9" t="n">
        <v>0</v>
      </c>
      <c r="AC22" s="7" t="n"/>
      <c r="AD22" s="9" t="n">
        <v>1426.25</v>
      </c>
      <c r="AE22" s="5" t="n">
        <v>44</v>
      </c>
      <c r="AF22" s="6" t="inlineStr">
        <is>
          <t>F4320</t>
        </is>
      </c>
      <c r="AG22" s="6" t="n"/>
      <c r="AH22" s="6" t="n"/>
      <c r="AI22" s="6" t="n"/>
      <c r="AJ22" s="5" t="n"/>
      <c r="AK22" s="6" t="inlineStr">
        <is>
          <t>CURRIE, DAVID</t>
        </is>
      </c>
      <c r="AL22" s="6" t="inlineStr">
        <is>
          <t>ASAP - Avondale</t>
        </is>
      </c>
      <c r="AM22" s="7" t="n">
        <v>46217</v>
      </c>
      <c r="AN22" s="6" t="inlineStr">
        <is>
          <t>BH</t>
        </is>
      </c>
      <c r="AO22" s="6" t="inlineStr">
        <is>
          <t>302, 303</t>
        </is>
      </c>
    </row>
    <row r="23">
      <c r="A23" s="2" t="n"/>
      <c r="B23" s="3" t="n"/>
      <c r="C23" s="4" t="n"/>
      <c r="D23" s="5" t="n">
        <v>563587472</v>
      </c>
      <c r="E23" s="6" t="inlineStr">
        <is>
          <t>HF542993364</t>
        </is>
      </c>
      <c r="F23" s="7" t="n">
        <v>46198</v>
      </c>
      <c r="G23" s="6" t="inlineStr">
        <is>
          <t>United Healthcare</t>
        </is>
      </c>
      <c r="H23" s="6" t="inlineStr">
        <is>
          <t>United Healthcare</t>
        </is>
      </c>
      <c r="I23" s="6" t="inlineStr">
        <is>
          <t>No Payer</t>
        </is>
      </c>
      <c r="J23" s="8" t="inlineStr">
        <is>
          <t>99492 x1; 99494 x1</t>
        </is>
      </c>
      <c r="K23" s="4" t="n"/>
      <c r="L23" s="5">
        <f>IF($O23="","",$O23-TODAY())</f>
        <v/>
      </c>
      <c r="M23" s="5">
        <f>IF($C23="","",$C23+180-TODAY())</f>
        <v/>
      </c>
      <c r="N23" s="5">
        <f>IF($C23="","",$C23+365-TODAY())</f>
        <v/>
      </c>
      <c r="O23" s="7" t="n">
        <v>46288</v>
      </c>
      <c r="P23" s="6" t="inlineStr">
        <is>
          <t>90 days</t>
        </is>
      </c>
      <c r="Q23" s="6" t="inlineStr">
        <is>
          <t>UHC COMMERCIAL</t>
        </is>
      </c>
      <c r="R23" s="6" t="inlineStr">
        <is>
          <t>180 days</t>
        </is>
      </c>
      <c r="S23" s="6" t="inlineStr">
        <is>
          <t>Processed date</t>
        </is>
      </c>
      <c r="T23" s="6" t="inlineStr">
        <is>
          <t>365 days</t>
        </is>
      </c>
      <c r="U23" s="6" t="inlineStr">
        <is>
          <t>Processed date</t>
        </is>
      </c>
      <c r="V23" s="6" t="n"/>
      <c r="W23" s="6" t="n"/>
      <c r="X23" s="6" t="n"/>
      <c r="Y23" s="6" t="inlineStr">
        <is>
          <t>1</t>
        </is>
      </c>
      <c r="Z23" s="9" t="n">
        <v>1426.25</v>
      </c>
      <c r="AA23" s="9" t="n">
        <v>0</v>
      </c>
      <c r="AB23" s="9" t="n">
        <v>0</v>
      </c>
      <c r="AC23" s="7" t="n"/>
      <c r="AD23" s="9" t="n">
        <v>1426.25</v>
      </c>
      <c r="AE23" s="5" t="n">
        <v>44</v>
      </c>
      <c r="AF23" s="6" t="inlineStr">
        <is>
          <t>F4323</t>
        </is>
      </c>
      <c r="AG23" s="6" t="n"/>
      <c r="AH23" s="6" t="n"/>
      <c r="AI23" s="6" t="n"/>
      <c r="AJ23" s="5" t="n"/>
      <c r="AK23" s="6" t="inlineStr">
        <is>
          <t>SARKAR, AWNIK</t>
        </is>
      </c>
      <c r="AL23" s="6" t="inlineStr">
        <is>
          <t>ASAP - DEER VALLEY</t>
        </is>
      </c>
      <c r="AM23" s="7" t="n">
        <v>46217</v>
      </c>
      <c r="AN23" s="6" t="inlineStr">
        <is>
          <t>BH</t>
        </is>
      </c>
      <c r="AO23" s="6" t="inlineStr">
        <is>
          <t>310, 311</t>
        </is>
      </c>
    </row>
    <row r="24">
      <c r="A24" s="2" t="n"/>
      <c r="B24" s="3" t="n"/>
      <c r="C24" s="4" t="n"/>
      <c r="D24" s="5" t="n">
        <v>563573367</v>
      </c>
      <c r="E24" s="6" t="inlineStr">
        <is>
          <t>HF559534762</t>
        </is>
      </c>
      <c r="F24" s="7" t="n">
        <v>46199</v>
      </c>
      <c r="G24" s="6" t="inlineStr">
        <is>
          <t>Optum Care Medical Network of Arizona, Utah, &amp; Washington (LifePrint)</t>
        </is>
      </c>
      <c r="H24" s="6" t="inlineStr">
        <is>
          <t>Optum Care Medical Network of Arizona, Utah, &amp; Washington (LifePrint)</t>
        </is>
      </c>
      <c r="I24" s="6" t="inlineStr">
        <is>
          <t>No Payer</t>
        </is>
      </c>
      <c r="J24" s="8" t="inlineStr">
        <is>
          <t>99484 x1</t>
        </is>
      </c>
      <c r="K24" s="4" t="n"/>
      <c r="L24" s="5">
        <f>IF($O24="","",$O24-TODAY())</f>
        <v/>
      </c>
      <c r="M24" s="5">
        <f>IF($C24="","",$C24+365-TODAY())</f>
        <v/>
      </c>
      <c r="N24" s="5">
        <f>IF($C24="","",$C24+365-TODAY())</f>
        <v/>
      </c>
      <c r="O24" s="7" t="n">
        <v>46289</v>
      </c>
      <c r="P24" s="6" t="inlineStr">
        <is>
          <t>90 days</t>
        </is>
      </c>
      <c r="Q24" s="6" t="inlineStr">
        <is>
          <t>OPTUM</t>
        </is>
      </c>
      <c r="R24" s="6" t="inlineStr">
        <is>
          <t>365 days</t>
        </is>
      </c>
      <c r="S24" s="6" t="inlineStr">
        <is>
          <t>Processed date</t>
        </is>
      </c>
      <c r="T24" s="6" t="inlineStr">
        <is>
          <t>365 days</t>
        </is>
      </c>
      <c r="U24" s="6" t="inlineStr">
        <is>
          <t>Processed date</t>
        </is>
      </c>
      <c r="V24" s="6" t="n"/>
      <c r="W24" s="6" t="n"/>
      <c r="X24" s="6" t="n"/>
      <c r="Y24" s="6" t="inlineStr">
        <is>
          <t>1</t>
        </is>
      </c>
      <c r="Z24" s="9" t="n">
        <v>294.42</v>
      </c>
      <c r="AA24" s="9" t="n">
        <v>0</v>
      </c>
      <c r="AB24" s="9" t="n">
        <v>0</v>
      </c>
      <c r="AC24" s="7" t="n"/>
      <c r="AD24" s="9" t="n">
        <v>294.42</v>
      </c>
      <c r="AE24" s="5" t="n">
        <v>43</v>
      </c>
      <c r="AF24" s="6" t="inlineStr">
        <is>
          <t>G894</t>
        </is>
      </c>
      <c r="AG24" s="6" t="n"/>
      <c r="AH24" s="6" t="n"/>
      <c r="AI24" s="6" t="n"/>
      <c r="AJ24" s="5" t="n"/>
      <c r="AK24" s="6" t="inlineStr">
        <is>
          <t>WILSON, JARED</t>
        </is>
      </c>
      <c r="AL24" s="6" t="inlineStr">
        <is>
          <t>ASAP - Tucson</t>
        </is>
      </c>
      <c r="AM24" s="7" t="n">
        <v>46233</v>
      </c>
      <c r="AN24" s="6" t="inlineStr">
        <is>
          <t>BH</t>
        </is>
      </c>
      <c r="AO24" s="6" t="inlineStr">
        <is>
          <t>1074</t>
        </is>
      </c>
    </row>
    <row r="25">
      <c r="A25" s="2" t="n"/>
      <c r="B25" s="3" t="n"/>
      <c r="C25" s="4" t="n"/>
      <c r="D25" s="5" t="n">
        <v>563581475</v>
      </c>
      <c r="E25" s="6" t="inlineStr">
        <is>
          <t>HF563227502</t>
        </is>
      </c>
      <c r="F25" s="7" t="n">
        <v>46199</v>
      </c>
      <c r="G25" s="6" t="inlineStr">
        <is>
          <t>Blue Cross Blue Shield of Arizona (BCBS AZ)</t>
        </is>
      </c>
      <c r="H25" s="6" t="inlineStr">
        <is>
          <t>Blue Cross Blue Shield of Arizona (BCBS AZ)</t>
        </is>
      </c>
      <c r="I25" s="6" t="inlineStr">
        <is>
          <t>No Payer</t>
        </is>
      </c>
      <c r="J25" s="8" t="inlineStr">
        <is>
          <t>99484+95 x1</t>
        </is>
      </c>
      <c r="K25" s="4" t="n"/>
      <c r="L25" s="5">
        <f>IF($O25="","",$O25-TODAY())</f>
        <v/>
      </c>
      <c r="M25" s="5">
        <f>IF($C25="","",$C25+365-TODAY())</f>
        <v/>
      </c>
      <c r="N25" s="5">
        <f>IF($C25="","",$C25+365-TODAY())</f>
        <v/>
      </c>
      <c r="O25" s="7" t="n">
        <v>46289</v>
      </c>
      <c r="P25" s="6" t="inlineStr">
        <is>
          <t>90 days</t>
        </is>
      </c>
      <c r="Q25" s="6" t="inlineStr">
        <is>
          <t>BCBS</t>
        </is>
      </c>
      <c r="R25" s="6" t="inlineStr">
        <is>
          <t>365 days</t>
        </is>
      </c>
      <c r="S25" s="6" t="inlineStr">
        <is>
          <t>Processed date</t>
        </is>
      </c>
      <c r="T25" s="6" t="inlineStr">
        <is>
          <t>365 days</t>
        </is>
      </c>
      <c r="U25" s="6" t="inlineStr">
        <is>
          <t>Processed date</t>
        </is>
      </c>
      <c r="V25" s="6" t="inlineStr">
        <is>
          <t>95</t>
        </is>
      </c>
      <c r="W25" s="6" t="n"/>
      <c r="X25" s="6" t="n"/>
      <c r="Y25" s="6" t="inlineStr">
        <is>
          <t>1</t>
        </is>
      </c>
      <c r="Z25" s="9" t="n">
        <v>294.42</v>
      </c>
      <c r="AA25" s="9" t="n">
        <v>0</v>
      </c>
      <c r="AB25" s="9" t="n">
        <v>0</v>
      </c>
      <c r="AC25" s="7" t="n"/>
      <c r="AD25" s="9" t="n">
        <v>294.42</v>
      </c>
      <c r="AE25" s="5" t="n">
        <v>43</v>
      </c>
      <c r="AF25" s="6" t="inlineStr">
        <is>
          <t>G8921</t>
        </is>
      </c>
      <c r="AG25" s="6" t="inlineStr">
        <is>
          <t>M792</t>
        </is>
      </c>
      <c r="AH25" s="6" t="inlineStr">
        <is>
          <t>M79601</t>
        </is>
      </c>
      <c r="AI25" s="6" t="inlineStr">
        <is>
          <t>M25531</t>
        </is>
      </c>
      <c r="AJ25" s="5" t="n"/>
      <c r="AK25" s="6" t="inlineStr">
        <is>
          <t>WILSON, JARED</t>
        </is>
      </c>
      <c r="AL25" s="6" t="inlineStr">
        <is>
          <t>ASAP - Tucson</t>
        </is>
      </c>
      <c r="AM25" s="7" t="n">
        <v>46240</v>
      </c>
      <c r="AN25" s="6" t="inlineStr">
        <is>
          <t>BH</t>
        </is>
      </c>
      <c r="AO25" s="6" t="inlineStr">
        <is>
          <t>493</t>
        </is>
      </c>
    </row>
    <row r="26">
      <c r="A26" s="2" t="n"/>
      <c r="B26" s="3" t="n"/>
      <c r="C26" s="4" t="n"/>
      <c r="D26" s="5" t="n">
        <v>563651746</v>
      </c>
      <c r="E26" s="6" t="inlineStr">
        <is>
          <t>HF515993669</t>
        </is>
      </c>
      <c r="F26" s="7" t="n">
        <v>46199</v>
      </c>
      <c r="G26" s="6" t="inlineStr">
        <is>
          <t>UnitedHealthcare Community Plan / Arizona Long Term Care</t>
        </is>
      </c>
      <c r="H26" s="6" t="inlineStr">
        <is>
          <t>UnitedHealthcare Community Plan / Arizona Long Term Care</t>
        </is>
      </c>
      <c r="I26" s="6" t="inlineStr">
        <is>
          <t>No Payer</t>
        </is>
      </c>
      <c r="J26" s="8" t="inlineStr">
        <is>
          <t>99494 x1; 99492 x1</t>
        </is>
      </c>
      <c r="K26" s="4" t="n"/>
      <c r="L26" s="5">
        <f>IF($O26="","",$O26-TODAY())</f>
        <v/>
      </c>
      <c r="M26" s="5">
        <f>IF($C26="","",$C26+180-TODAY())</f>
        <v/>
      </c>
      <c r="N26" s="5">
        <f>IF($C26="","",$C26+365-TODAY())</f>
        <v/>
      </c>
      <c r="O26" s="7" t="n">
        <v>46289</v>
      </c>
      <c r="P26" s="6" t="inlineStr">
        <is>
          <t>90 days</t>
        </is>
      </c>
      <c r="Q26" s="6" t="inlineStr">
        <is>
          <t>UHC COMMUNITY</t>
        </is>
      </c>
      <c r="R26" s="6" t="inlineStr">
        <is>
          <t>180 days</t>
        </is>
      </c>
      <c r="S26" s="6" t="inlineStr">
        <is>
          <t>Processed date</t>
        </is>
      </c>
      <c r="T26" s="6" t="inlineStr">
        <is>
          <t>365 days</t>
        </is>
      </c>
      <c r="U26" s="6" t="inlineStr">
        <is>
          <t>Processed date</t>
        </is>
      </c>
      <c r="V26" s="6" t="n"/>
      <c r="W26" s="6" t="n"/>
      <c r="X26" s="6" t="n"/>
      <c r="Y26" s="6" t="inlineStr">
        <is>
          <t>1</t>
        </is>
      </c>
      <c r="Z26" s="9" t="n">
        <v>1426.25</v>
      </c>
      <c r="AA26" s="9" t="n">
        <v>0</v>
      </c>
      <c r="AB26" s="9" t="n">
        <v>0</v>
      </c>
      <c r="AC26" s="7" t="n"/>
      <c r="AD26" s="9" t="n">
        <v>1426.25</v>
      </c>
      <c r="AE26" s="5" t="n">
        <v>43</v>
      </c>
      <c r="AF26" s="6" t="inlineStr">
        <is>
          <t>F411</t>
        </is>
      </c>
      <c r="AG26" s="6" t="inlineStr">
        <is>
          <t>F32A</t>
        </is>
      </c>
      <c r="AH26" s="6" t="n"/>
      <c r="AI26" s="6" t="n"/>
      <c r="AJ26" s="5" t="n"/>
      <c r="AK26" s="6" t="inlineStr">
        <is>
          <t>BURGHER, ABRAM</t>
        </is>
      </c>
      <c r="AL26" s="6" t="inlineStr">
        <is>
          <t>ASAP - DEER VALLEY</t>
        </is>
      </c>
      <c r="AM26" s="7" t="n">
        <v>46217</v>
      </c>
      <c r="AN26" s="6" t="inlineStr">
        <is>
          <t>BH</t>
        </is>
      </c>
      <c r="AO26" s="6" t="inlineStr">
        <is>
          <t>617, 618</t>
        </is>
      </c>
    </row>
    <row r="27">
      <c r="A27" s="2" t="n"/>
      <c r="B27" s="3" t="n"/>
      <c r="C27" s="4" t="n"/>
      <c r="D27" s="5" t="n">
        <v>563878935</v>
      </c>
      <c r="E27" s="6" t="inlineStr">
        <is>
          <t>HF427642543</t>
        </is>
      </c>
      <c r="F27" s="7" t="n">
        <v>46203</v>
      </c>
      <c r="G27" s="6" t="inlineStr">
        <is>
          <t>UnitedHealthcare Community Plan / Arizona Long Term Care</t>
        </is>
      </c>
      <c r="H27" s="6" t="inlineStr">
        <is>
          <t>UnitedHealthcare Community Plan / Arizona Long Term Care</t>
        </is>
      </c>
      <c r="I27" s="6" t="inlineStr">
        <is>
          <t>No Payer</t>
        </is>
      </c>
      <c r="J27" s="8" t="inlineStr">
        <is>
          <t>99492 x1</t>
        </is>
      </c>
      <c r="K27" s="4" t="n"/>
      <c r="L27" s="5">
        <f>IF($O27="","",$O27-TODAY())</f>
        <v/>
      </c>
      <c r="M27" s="5">
        <f>IF($C27="","",$C27+180-TODAY())</f>
        <v/>
      </c>
      <c r="N27" s="5">
        <f>IF($C27="","",$C27+365-TODAY())</f>
        <v/>
      </c>
      <c r="O27" s="7" t="n">
        <v>46293</v>
      </c>
      <c r="P27" s="6" t="inlineStr">
        <is>
          <t>90 days</t>
        </is>
      </c>
      <c r="Q27" s="6" t="inlineStr">
        <is>
          <t>UHC COMMUNITY</t>
        </is>
      </c>
      <c r="R27" s="6" t="inlineStr">
        <is>
          <t>180 days</t>
        </is>
      </c>
      <c r="S27" s="6" t="inlineStr">
        <is>
          <t>Processed date</t>
        </is>
      </c>
      <c r="T27" s="6" t="inlineStr">
        <is>
          <t>365 days</t>
        </is>
      </c>
      <c r="U27" s="6" t="inlineStr">
        <is>
          <t>Processed date</t>
        </is>
      </c>
      <c r="V27" s="6" t="n"/>
      <c r="W27" s="6" t="n"/>
      <c r="X27" s="6" t="n"/>
      <c r="Y27" s="6" t="inlineStr">
        <is>
          <t>1</t>
        </is>
      </c>
      <c r="Z27" s="9" t="n">
        <v>1029.98</v>
      </c>
      <c r="AA27" s="9" t="n">
        <v>0</v>
      </c>
      <c r="AB27" s="9" t="n">
        <v>0</v>
      </c>
      <c r="AC27" s="7" t="n"/>
      <c r="AD27" s="9" t="n">
        <v>1029.98</v>
      </c>
      <c r="AE27" s="5" t="n">
        <v>39</v>
      </c>
      <c r="AF27" s="6" t="inlineStr">
        <is>
          <t>F4320</t>
        </is>
      </c>
      <c r="AG27" s="6" t="n"/>
      <c r="AH27" s="6" t="n"/>
      <c r="AI27" s="6" t="n"/>
      <c r="AJ27" s="5" t="n"/>
      <c r="AK27" s="6" t="inlineStr">
        <is>
          <t>O'NEIL, ROY</t>
        </is>
      </c>
      <c r="AL27" s="6" t="inlineStr">
        <is>
          <t>ASAP - Avondale</t>
        </is>
      </c>
      <c r="AM27" s="7" t="n">
        <v>46217</v>
      </c>
      <c r="AN27" s="6" t="inlineStr">
        <is>
          <t>BH</t>
        </is>
      </c>
      <c r="AO27" s="6" t="inlineStr">
        <is>
          <t>600</t>
        </is>
      </c>
    </row>
    <row r="28">
      <c r="A28" s="2" t="n"/>
      <c r="B28" s="3" t="n"/>
      <c r="C28" s="4" t="n"/>
      <c r="D28" s="5" t="n">
        <v>561405599</v>
      </c>
      <c r="E28" s="6" t="inlineStr">
        <is>
          <t>HF550023598</t>
        </is>
      </c>
      <c r="F28" s="7" t="n">
        <v>46175</v>
      </c>
      <c r="G28" s="6" t="inlineStr">
        <is>
          <t>Aetna Legacy</t>
        </is>
      </c>
      <c r="H28" s="6" t="inlineStr">
        <is>
          <t>Aetna Legacy</t>
        </is>
      </c>
      <c r="I28" s="6" t="inlineStr">
        <is>
          <t>No Payer</t>
        </is>
      </c>
      <c r="J28" s="8" t="inlineStr">
        <is>
          <t>99493 x1; 99494 x1</t>
        </is>
      </c>
      <c r="K28" s="4" t="n"/>
      <c r="L28" s="5">
        <f>IF($O28="","",$O28-TODAY())</f>
        <v/>
      </c>
      <c r="M28" s="5">
        <f>IF($C28="","",$C28+180-TODAY())</f>
        <v/>
      </c>
      <c r="N28" s="5">
        <f>IF($C28="","",$C28+180-TODAY())</f>
        <v/>
      </c>
      <c r="O28" s="7" t="n">
        <v>46295</v>
      </c>
      <c r="P28" s="6" t="inlineStr">
        <is>
          <t>120 days</t>
        </is>
      </c>
      <c r="Q28" s="6" t="inlineStr">
        <is>
          <t>AETNA</t>
        </is>
      </c>
      <c r="R28" s="6" t="inlineStr">
        <is>
          <t>180 days</t>
        </is>
      </c>
      <c r="S28" s="6" t="inlineStr">
        <is>
          <t>Processed date</t>
        </is>
      </c>
      <c r="T28" s="6" t="inlineStr">
        <is>
          <t>180 days</t>
        </is>
      </c>
      <c r="U28" s="6" t="inlineStr">
        <is>
          <t>Processed date</t>
        </is>
      </c>
      <c r="V28" s="6" t="n"/>
      <c r="W28" s="6" t="n"/>
      <c r="X28" s="6" t="n"/>
      <c r="Y28" s="6" t="inlineStr">
        <is>
          <t>1</t>
        </is>
      </c>
      <c r="Z28" s="9" t="n">
        <v>1372.91</v>
      </c>
      <c r="AA28" s="9" t="n">
        <v>0</v>
      </c>
      <c r="AB28" s="9" t="n">
        <v>0</v>
      </c>
      <c r="AC28" s="7" t="n"/>
      <c r="AD28" s="9" t="n">
        <v>1372.91</v>
      </c>
      <c r="AE28" s="5" t="n">
        <v>67</v>
      </c>
      <c r="AF28" s="6" t="inlineStr">
        <is>
          <t>F4323</t>
        </is>
      </c>
      <c r="AG28" s="6" t="n"/>
      <c r="AH28" s="6" t="n"/>
      <c r="AI28" s="6" t="n"/>
      <c r="AJ28" s="5" t="n"/>
      <c r="AK28" s="6" t="inlineStr">
        <is>
          <t>MORALES, DAVID</t>
        </is>
      </c>
      <c r="AL28" s="6" t="inlineStr">
        <is>
          <t>ASAP Peoria</t>
        </is>
      </c>
      <c r="AM28" s="7" t="n">
        <v>46217</v>
      </c>
      <c r="AN28" s="6" t="inlineStr">
        <is>
          <t>BH</t>
        </is>
      </c>
      <c r="AO28" s="6" t="inlineStr">
        <is>
          <t>602, 603</t>
        </is>
      </c>
    </row>
    <row r="29">
      <c r="A29" s="2" t="n"/>
      <c r="B29" s="3" t="n"/>
      <c r="C29" s="4" t="n"/>
      <c r="D29" s="5" t="n">
        <v>561204793</v>
      </c>
      <c r="E29" s="6" t="inlineStr">
        <is>
          <t>HF508997880</t>
        </is>
      </c>
      <c r="F29" s="7" t="n">
        <v>46176</v>
      </c>
      <c r="G29" s="6" t="inlineStr">
        <is>
          <t>TRIWEST VA CCN CLAIMS</t>
        </is>
      </c>
      <c r="H29" s="6" t="inlineStr">
        <is>
          <t>TRIWEST VA CCN CLAIMS</t>
        </is>
      </c>
      <c r="I29" s="6" t="inlineStr">
        <is>
          <t>No Payer</t>
        </is>
      </c>
      <c r="J29" s="8" t="inlineStr">
        <is>
          <t>99494 x1; 99492 x1</t>
        </is>
      </c>
      <c r="K29" s="4" t="n"/>
      <c r="L29" s="5">
        <f>IF($O29="","",$O29-TODAY())</f>
        <v/>
      </c>
      <c r="M29" s="5">
        <f>IF($C29="","",$C29+365-TODAY())</f>
        <v/>
      </c>
      <c r="N29" s="5">
        <f>IF($C29="","",$C29+90-TODAY())</f>
        <v/>
      </c>
      <c r="O29" s="7" t="n">
        <v>46296</v>
      </c>
      <c r="P29" s="6" t="inlineStr">
        <is>
          <t>120 days</t>
        </is>
      </c>
      <c r="Q29" s="6" t="inlineStr">
        <is>
          <t>TRIWEST</t>
        </is>
      </c>
      <c r="R29" s="6" t="inlineStr">
        <is>
          <t>365 days</t>
        </is>
      </c>
      <c r="S29" s="6" t="inlineStr">
        <is>
          <t>Processed date</t>
        </is>
      </c>
      <c r="T29" s="6" t="inlineStr">
        <is>
          <t>90 days</t>
        </is>
      </c>
      <c r="U29" s="6" t="inlineStr">
        <is>
          <t>Processed date</t>
        </is>
      </c>
      <c r="V29" s="6" t="n"/>
      <c r="W29" s="6" t="n"/>
      <c r="X29" s="6" t="n"/>
      <c r="Y29" s="6" t="inlineStr">
        <is>
          <t>1</t>
        </is>
      </c>
      <c r="Z29" s="9" t="n">
        <v>1426.25</v>
      </c>
      <c r="AA29" s="9" t="n">
        <v>0</v>
      </c>
      <c r="AB29" s="9" t="n">
        <v>0</v>
      </c>
      <c r="AC29" s="7" t="n"/>
      <c r="AD29" s="9" t="n">
        <v>1426.25</v>
      </c>
      <c r="AE29" s="5" t="n">
        <v>66</v>
      </c>
      <c r="AF29" s="6" t="inlineStr">
        <is>
          <t>F39</t>
        </is>
      </c>
      <c r="AG29" s="6" t="n"/>
      <c r="AH29" s="6" t="n"/>
      <c r="AI29" s="6" t="n"/>
      <c r="AJ29" s="5" t="n"/>
      <c r="AK29" s="6" t="inlineStr">
        <is>
          <t>LEATHEM, JARRETT</t>
        </is>
      </c>
      <c r="AL29" s="6" t="inlineStr">
        <is>
          <t>ASAP - Gilbert</t>
        </is>
      </c>
      <c r="AM29" s="7" t="n">
        <v>46217</v>
      </c>
      <c r="AN29" s="6" t="inlineStr">
        <is>
          <t>BH</t>
        </is>
      </c>
      <c r="AO29" s="6" t="inlineStr">
        <is>
          <t>810, 811</t>
        </is>
      </c>
    </row>
    <row r="30">
      <c r="A30" s="2" t="n"/>
      <c r="B30" s="3" t="n"/>
      <c r="C30" s="4" t="n"/>
      <c r="D30" s="5" t="n">
        <v>561419093</v>
      </c>
      <c r="E30" s="6" t="inlineStr">
        <is>
          <t>HF509339752</t>
        </is>
      </c>
      <c r="F30" s="7" t="n">
        <v>46176</v>
      </c>
      <c r="G30" s="6" t="inlineStr">
        <is>
          <t>Aetna Medicare PPO</t>
        </is>
      </c>
      <c r="H30" s="6" t="inlineStr">
        <is>
          <t>Aetna Medicare PPO</t>
        </is>
      </c>
      <c r="I30" s="6" t="inlineStr">
        <is>
          <t>No Payer</t>
        </is>
      </c>
      <c r="J30" s="8" t="inlineStr">
        <is>
          <t>99492 x1; 99494 x1</t>
        </is>
      </c>
      <c r="K30" s="4" t="n"/>
      <c r="L30" s="5">
        <f>IF($O30="","",$O30-TODAY())</f>
        <v/>
      </c>
      <c r="M30" s="5">
        <f>IF($C30="","",$C30+180-TODAY())</f>
        <v/>
      </c>
      <c r="N30" s="5">
        <f>IF($C30="","",$C30+180-TODAY())</f>
        <v/>
      </c>
      <c r="O30" s="7" t="n">
        <v>46296</v>
      </c>
      <c r="P30" s="6" t="inlineStr">
        <is>
          <t>120 days</t>
        </is>
      </c>
      <c r="Q30" s="6" t="inlineStr">
        <is>
          <t>AETNA</t>
        </is>
      </c>
      <c r="R30" s="6" t="inlineStr">
        <is>
          <t>180 days</t>
        </is>
      </c>
      <c r="S30" s="6" t="inlineStr">
        <is>
          <t>Processed date</t>
        </is>
      </c>
      <c r="T30" s="6" t="inlineStr">
        <is>
          <t>180 days</t>
        </is>
      </c>
      <c r="U30" s="6" t="inlineStr">
        <is>
          <t>Processed date</t>
        </is>
      </c>
      <c r="V30" s="6" t="n"/>
      <c r="W30" s="6" t="n"/>
      <c r="X30" s="6" t="n"/>
      <c r="Y30" s="6" t="inlineStr">
        <is>
          <t>1</t>
        </is>
      </c>
      <c r="Z30" s="9" t="n">
        <v>1426.25</v>
      </c>
      <c r="AA30" s="9" t="n">
        <v>0</v>
      </c>
      <c r="AB30" s="9" t="n">
        <v>0</v>
      </c>
      <c r="AC30" s="7" t="n"/>
      <c r="AD30" s="9" t="n">
        <v>1426.25</v>
      </c>
      <c r="AE30" s="5" t="n">
        <v>66</v>
      </c>
      <c r="AF30" s="6" t="inlineStr">
        <is>
          <t>F4320</t>
        </is>
      </c>
      <c r="AG30" s="6" t="n"/>
      <c r="AH30" s="6" t="n"/>
      <c r="AI30" s="6" t="n"/>
      <c r="AJ30" s="5" t="n"/>
      <c r="AK30" s="6" t="inlineStr">
        <is>
          <t>MEARS, CHAD</t>
        </is>
      </c>
      <c r="AL30" s="6" t="inlineStr">
        <is>
          <t>ASAP - DEER VALLEY</t>
        </is>
      </c>
      <c r="AM30" s="7" t="n">
        <v>46217</v>
      </c>
      <c r="AN30" s="6" t="inlineStr">
        <is>
          <t>BH</t>
        </is>
      </c>
      <c r="AO30" s="6" t="inlineStr">
        <is>
          <t>861, 862</t>
        </is>
      </c>
    </row>
    <row r="31">
      <c r="A31" s="2" t="n"/>
      <c r="B31" s="3" t="n"/>
      <c r="C31" s="4" t="n"/>
      <c r="D31" s="5" t="n">
        <v>561399071</v>
      </c>
      <c r="E31" s="6" t="inlineStr">
        <is>
          <t>HF462418285</t>
        </is>
      </c>
      <c r="F31" s="7" t="n">
        <v>46178</v>
      </c>
      <c r="G31" s="6" t="inlineStr">
        <is>
          <t>Aetna Legacy</t>
        </is>
      </c>
      <c r="H31" s="6" t="inlineStr">
        <is>
          <t>Aetna Legacy</t>
        </is>
      </c>
      <c r="I31" s="6" t="inlineStr">
        <is>
          <t>No Payer</t>
        </is>
      </c>
      <c r="J31" s="8" t="inlineStr">
        <is>
          <t>99494 x1; 99493 x1</t>
        </is>
      </c>
      <c r="K31" s="4" t="n"/>
      <c r="L31" s="5">
        <f>IF($O31="","",$O31-TODAY())</f>
        <v/>
      </c>
      <c r="M31" s="5">
        <f>IF($C31="","",$C31+180-TODAY())</f>
        <v/>
      </c>
      <c r="N31" s="5">
        <f>IF($C31="","",$C31+180-TODAY())</f>
        <v/>
      </c>
      <c r="O31" s="7" t="n">
        <v>46298</v>
      </c>
      <c r="P31" s="6" t="inlineStr">
        <is>
          <t>120 days</t>
        </is>
      </c>
      <c r="Q31" s="6" t="inlineStr">
        <is>
          <t>AETNA</t>
        </is>
      </c>
      <c r="R31" s="6" t="inlineStr">
        <is>
          <t>180 days</t>
        </is>
      </c>
      <c r="S31" s="6" t="inlineStr">
        <is>
          <t>Processed date</t>
        </is>
      </c>
      <c r="T31" s="6" t="inlineStr">
        <is>
          <t>180 days</t>
        </is>
      </c>
      <c r="U31" s="6" t="inlineStr">
        <is>
          <t>Processed date</t>
        </is>
      </c>
      <c r="V31" s="6" t="n"/>
      <c r="W31" s="6" t="n"/>
      <c r="X31" s="6" t="n"/>
      <c r="Y31" s="6" t="inlineStr">
        <is>
          <t>1</t>
        </is>
      </c>
      <c r="Z31" s="9" t="n">
        <v>1372.91</v>
      </c>
      <c r="AA31" s="9" t="n">
        <v>0</v>
      </c>
      <c r="AB31" s="9" t="n">
        <v>0</v>
      </c>
      <c r="AC31" s="7" t="n"/>
      <c r="AD31" s="9" t="n">
        <v>1372.91</v>
      </c>
      <c r="AE31" s="5" t="n">
        <v>64</v>
      </c>
      <c r="AF31" s="6" t="inlineStr">
        <is>
          <t>F4323</t>
        </is>
      </c>
      <c r="AG31" s="6" t="n"/>
      <c r="AH31" s="6" t="n"/>
      <c r="AI31" s="6" t="n"/>
      <c r="AJ31" s="5" t="n"/>
      <c r="AK31" s="6" t="inlineStr">
        <is>
          <t>O'NEIL, ROY</t>
        </is>
      </c>
      <c r="AL31" s="6" t="inlineStr">
        <is>
          <t>ASAP - Gilbert</t>
        </is>
      </c>
      <c r="AM31" s="7" t="n">
        <v>46217</v>
      </c>
      <c r="AN31" s="6" t="inlineStr">
        <is>
          <t>BH</t>
        </is>
      </c>
      <c r="AO31" s="6" t="inlineStr">
        <is>
          <t>1056, 1057</t>
        </is>
      </c>
    </row>
    <row r="32">
      <c r="A32" s="2" t="n"/>
      <c r="B32" s="3" t="n"/>
      <c r="C32" s="4" t="n"/>
      <c r="D32" s="5" t="n">
        <v>561595295</v>
      </c>
      <c r="E32" s="6" t="inlineStr">
        <is>
          <t>HF507546981</t>
        </is>
      </c>
      <c r="F32" s="7" t="n">
        <v>46181</v>
      </c>
      <c r="G32" s="6" t="inlineStr">
        <is>
          <t>Aetna Legacy</t>
        </is>
      </c>
      <c r="H32" s="6" t="inlineStr">
        <is>
          <t>Aetna Legacy</t>
        </is>
      </c>
      <c r="I32" s="6" t="inlineStr">
        <is>
          <t>No Payer</t>
        </is>
      </c>
      <c r="J32" s="8" t="inlineStr">
        <is>
          <t>99494 x1; 99492 x1</t>
        </is>
      </c>
      <c r="K32" s="4" t="n"/>
      <c r="L32" s="5">
        <f>IF($O32="","",$O32-TODAY())</f>
        <v/>
      </c>
      <c r="M32" s="5">
        <f>IF($C32="","",$C32+180-TODAY())</f>
        <v/>
      </c>
      <c r="N32" s="5">
        <f>IF($C32="","",$C32+180-TODAY())</f>
        <v/>
      </c>
      <c r="O32" s="7" t="n">
        <v>46301</v>
      </c>
      <c r="P32" s="6" t="inlineStr">
        <is>
          <t>120 days</t>
        </is>
      </c>
      <c r="Q32" s="6" t="inlineStr">
        <is>
          <t>AETNA</t>
        </is>
      </c>
      <c r="R32" s="6" t="inlineStr">
        <is>
          <t>180 days</t>
        </is>
      </c>
      <c r="S32" s="6" t="inlineStr">
        <is>
          <t>Processed date</t>
        </is>
      </c>
      <c r="T32" s="6" t="inlineStr">
        <is>
          <t>180 days</t>
        </is>
      </c>
      <c r="U32" s="6" t="inlineStr">
        <is>
          <t>Processed date</t>
        </is>
      </c>
      <c r="V32" s="6" t="n"/>
      <c r="W32" s="6" t="n"/>
      <c r="X32" s="6" t="n"/>
      <c r="Y32" s="6" t="inlineStr">
        <is>
          <t>1</t>
        </is>
      </c>
      <c r="Z32" s="9" t="n">
        <v>1426.25</v>
      </c>
      <c r="AA32" s="9" t="n">
        <v>0</v>
      </c>
      <c r="AB32" s="9" t="n">
        <v>0</v>
      </c>
      <c r="AC32" s="7" t="n"/>
      <c r="AD32" s="9" t="n">
        <v>1426.25</v>
      </c>
      <c r="AE32" s="5" t="n">
        <v>61</v>
      </c>
      <c r="AF32" s="6" t="inlineStr">
        <is>
          <t>F4320</t>
        </is>
      </c>
      <c r="AG32" s="6" t="n"/>
      <c r="AH32" s="6" t="n"/>
      <c r="AI32" s="6" t="n"/>
      <c r="AJ32" s="5" t="n"/>
      <c r="AK32" s="6" t="inlineStr">
        <is>
          <t>O'NEIL, ROY</t>
        </is>
      </c>
      <c r="AL32" s="6" t="inlineStr">
        <is>
          <t>ASAP Peoria</t>
        </is>
      </c>
      <c r="AM32" s="7" t="n">
        <v>46217</v>
      </c>
      <c r="AN32" s="6" t="inlineStr">
        <is>
          <t>BH</t>
        </is>
      </c>
      <c r="AO32" s="6" t="inlineStr">
        <is>
          <t>1027, 1049</t>
        </is>
      </c>
    </row>
    <row r="33">
      <c r="A33" s="2" t="n"/>
      <c r="B33" s="3" t="n"/>
      <c r="C33" s="4" t="n"/>
      <c r="D33" s="5" t="n">
        <v>562134294</v>
      </c>
      <c r="E33" s="6" t="inlineStr">
        <is>
          <t>HF529910506</t>
        </is>
      </c>
      <c r="F33" s="7" t="n">
        <v>46182</v>
      </c>
      <c r="G33" s="6" t="inlineStr">
        <is>
          <t>Banner Health &amp; Aetna Health Insurance Company</t>
        </is>
      </c>
      <c r="H33" s="6" t="inlineStr">
        <is>
          <t>Banner Health &amp; Aetna Health Insurance Company</t>
        </is>
      </c>
      <c r="I33" s="6" t="inlineStr">
        <is>
          <t>UnitedHealthcare Community Plan / Arizona Long Term Care</t>
        </is>
      </c>
      <c r="J33" s="8" t="inlineStr">
        <is>
          <t>99493 x1; 99494 x2</t>
        </is>
      </c>
      <c r="K33" s="4" t="n"/>
      <c r="L33" s="5">
        <f>IF($O33="","",$O33-TODAY())</f>
        <v/>
      </c>
      <c r="M33" s="5">
        <f>IF($C33="","",$C33+180-TODAY())</f>
        <v/>
      </c>
      <c r="N33" s="5">
        <f>IF($C33="","",$C33+180-TODAY())</f>
        <v/>
      </c>
      <c r="O33" s="7" t="n">
        <v>46302</v>
      </c>
      <c r="P33" s="6" t="inlineStr">
        <is>
          <t>120 days</t>
        </is>
      </c>
      <c r="Q33" s="6" t="inlineStr">
        <is>
          <t>BANNER HEALTH &amp; AETNA</t>
        </is>
      </c>
      <c r="R33" s="6" t="inlineStr">
        <is>
          <t>180 days</t>
        </is>
      </c>
      <c r="S33" s="6" t="inlineStr">
        <is>
          <t>Processed date</t>
        </is>
      </c>
      <c r="T33" s="6" t="inlineStr">
        <is>
          <t>180 days</t>
        </is>
      </c>
      <c r="U33" s="6" t="inlineStr">
        <is>
          <t>Processed date</t>
        </is>
      </c>
      <c r="V33" s="6" t="n"/>
      <c r="W33" s="6" t="n"/>
      <c r="X33" s="6" t="n"/>
      <c r="Y33" s="6" t="inlineStr">
        <is>
          <t>1, 2</t>
        </is>
      </c>
      <c r="Z33" s="9" t="n">
        <v>1769.18</v>
      </c>
      <c r="AA33" s="9" t="n">
        <v>0</v>
      </c>
      <c r="AB33" s="9" t="n">
        <v>0</v>
      </c>
      <c r="AC33" s="7" t="n"/>
      <c r="AD33" s="9" t="n">
        <v>1769.18</v>
      </c>
      <c r="AE33" s="5" t="n">
        <v>60</v>
      </c>
      <c r="AF33" s="6" t="inlineStr">
        <is>
          <t>F330</t>
        </is>
      </c>
      <c r="AG33" s="6" t="inlineStr">
        <is>
          <t>F411</t>
        </is>
      </c>
      <c r="AH33" s="6" t="n"/>
      <c r="AI33" s="6" t="n"/>
      <c r="AJ33" s="5" t="n"/>
      <c r="AK33" s="6" t="inlineStr">
        <is>
          <t>MEARS, CHAD</t>
        </is>
      </c>
      <c r="AL33" s="6" t="inlineStr">
        <is>
          <t>ASAP Peoria</t>
        </is>
      </c>
      <c r="AM33" s="7" t="n">
        <v>46217</v>
      </c>
      <c r="AN33" s="6" t="inlineStr">
        <is>
          <t>BH</t>
        </is>
      </c>
      <c r="AO33" s="6" t="inlineStr">
        <is>
          <t>238, 239</t>
        </is>
      </c>
    </row>
    <row r="34">
      <c r="A34" s="2" t="n"/>
      <c r="B34" s="3" t="n"/>
      <c r="C34" s="4" t="n"/>
      <c r="D34" s="5" t="n">
        <v>561951317</v>
      </c>
      <c r="E34" s="6" t="inlineStr">
        <is>
          <t>HF524119358</t>
        </is>
      </c>
      <c r="F34" s="7" t="n">
        <v>46183</v>
      </c>
      <c r="G34" s="6" t="inlineStr">
        <is>
          <t>AMBETTER</t>
        </is>
      </c>
      <c r="H34" s="6" t="inlineStr">
        <is>
          <t>AMBETTER</t>
        </is>
      </c>
      <c r="I34" s="6" t="inlineStr">
        <is>
          <t>No Payer</t>
        </is>
      </c>
      <c r="J34" s="8" t="inlineStr">
        <is>
          <t>99493 x1; 99494 x1</t>
        </is>
      </c>
      <c r="K34" s="4" t="n"/>
      <c r="L34" s="5">
        <f>IF($O34="","",$O34-TODAY())</f>
        <v/>
      </c>
      <c r="M34" s="5">
        <f>IF($F34="","",$F34+365-TODAY())</f>
        <v/>
      </c>
      <c r="N34" s="5">
        <f>IF($C34="","",$C34+180-TODAY())</f>
        <v/>
      </c>
      <c r="O34" s="7" t="n">
        <v>46303</v>
      </c>
      <c r="P34" s="6" t="inlineStr">
        <is>
          <t>120 days</t>
        </is>
      </c>
      <c r="Q34" s="6" t="inlineStr">
        <is>
          <t>AMBETTER</t>
        </is>
      </c>
      <c r="R34" s="6" t="inlineStr">
        <is>
          <t>365 days</t>
        </is>
      </c>
      <c r="S34" s="6" t="inlineStr">
        <is>
          <t>Date of service</t>
        </is>
      </c>
      <c r="T34" s="6" t="inlineStr">
        <is>
          <t>180 days</t>
        </is>
      </c>
      <c r="U34" s="6" t="inlineStr">
        <is>
          <t>Processed date</t>
        </is>
      </c>
      <c r="V34" s="6" t="n"/>
      <c r="W34" s="6" t="n"/>
      <c r="X34" s="6" t="n"/>
      <c r="Y34" s="6" t="inlineStr">
        <is>
          <t>1</t>
        </is>
      </c>
      <c r="Z34" s="9" t="n">
        <v>1372.91</v>
      </c>
      <c r="AA34" s="9" t="n">
        <v>0</v>
      </c>
      <c r="AB34" s="9" t="n">
        <v>0</v>
      </c>
      <c r="AC34" s="7" t="n"/>
      <c r="AD34" s="9" t="n">
        <v>1372.91</v>
      </c>
      <c r="AE34" s="5" t="n">
        <v>59</v>
      </c>
      <c r="AF34" s="6" t="inlineStr">
        <is>
          <t>F1190</t>
        </is>
      </c>
      <c r="AG34" s="6" t="n"/>
      <c r="AH34" s="6" t="n"/>
      <c r="AI34" s="6" t="n"/>
      <c r="AJ34" s="5" t="n"/>
      <c r="AK34" s="6" t="inlineStr">
        <is>
          <t>KALLGREN, MARK</t>
        </is>
      </c>
      <c r="AL34" s="6" t="inlineStr">
        <is>
          <t>ASAP - Gilbert</t>
        </is>
      </c>
      <c r="AM34" s="7" t="n">
        <v>46217</v>
      </c>
      <c r="AN34" s="6" t="inlineStr">
        <is>
          <t>BH</t>
        </is>
      </c>
      <c r="AO34" s="6" t="inlineStr">
        <is>
          <t>516, 517</t>
        </is>
      </c>
    </row>
    <row r="35">
      <c r="A35" s="2" t="n"/>
      <c r="B35" s="3" t="n"/>
      <c r="C35" s="4" t="n"/>
      <c r="D35" s="5" t="n">
        <v>561962926</v>
      </c>
      <c r="E35" s="6" t="inlineStr">
        <is>
          <t>HF545220191</t>
        </is>
      </c>
      <c r="F35" s="7" t="n">
        <v>46183</v>
      </c>
      <c r="G35" s="6" t="inlineStr">
        <is>
          <t>Banner Health &amp; Aetna Health Insurance Company</t>
        </is>
      </c>
      <c r="H35" s="6" t="inlineStr">
        <is>
          <t>Banner Health &amp; Aetna Health Insurance Company</t>
        </is>
      </c>
      <c r="I35" s="6" t="inlineStr">
        <is>
          <t>No Payer</t>
        </is>
      </c>
      <c r="J35" s="8" t="inlineStr">
        <is>
          <t>99492 x1; 99494 x1</t>
        </is>
      </c>
      <c r="K35" s="4" t="n"/>
      <c r="L35" s="5">
        <f>IF($O35="","",$O35-TODAY())</f>
        <v/>
      </c>
      <c r="M35" s="5">
        <f>IF($C35="","",$C35+180-TODAY())</f>
        <v/>
      </c>
      <c r="N35" s="5">
        <f>IF($C35="","",$C35+180-TODAY())</f>
        <v/>
      </c>
      <c r="O35" s="7" t="n">
        <v>46303</v>
      </c>
      <c r="P35" s="6" t="inlineStr">
        <is>
          <t>120 days</t>
        </is>
      </c>
      <c r="Q35" s="6" t="inlineStr">
        <is>
          <t>BANNER HEALTH &amp; AETNA</t>
        </is>
      </c>
      <c r="R35" s="6" t="inlineStr">
        <is>
          <t>180 days</t>
        </is>
      </c>
      <c r="S35" s="6" t="inlineStr">
        <is>
          <t>Processed date</t>
        </is>
      </c>
      <c r="T35" s="6" t="inlineStr">
        <is>
          <t>180 days</t>
        </is>
      </c>
      <c r="U35" s="6" t="inlineStr">
        <is>
          <t>Processed date</t>
        </is>
      </c>
      <c r="V35" s="6" t="n"/>
      <c r="W35" s="6" t="n"/>
      <c r="X35" s="6" t="n"/>
      <c r="Y35" s="6" t="inlineStr">
        <is>
          <t>1</t>
        </is>
      </c>
      <c r="Z35" s="9" t="n">
        <v>1426.25</v>
      </c>
      <c r="AA35" s="9" t="n">
        <v>0</v>
      </c>
      <c r="AB35" s="9" t="n">
        <v>0</v>
      </c>
      <c r="AC35" s="7" t="n"/>
      <c r="AD35" s="9" t="n">
        <v>1426.25</v>
      </c>
      <c r="AE35" s="5" t="n">
        <v>59</v>
      </c>
      <c r="AF35" s="6" t="inlineStr">
        <is>
          <t>F411</t>
        </is>
      </c>
      <c r="AG35" s="6" t="n"/>
      <c r="AH35" s="6" t="n"/>
      <c r="AI35" s="6" t="n"/>
      <c r="AJ35" s="5" t="n"/>
      <c r="AK35" s="6" t="inlineStr">
        <is>
          <t>LEATHEM, JARRETT</t>
        </is>
      </c>
      <c r="AL35" s="6" t="inlineStr">
        <is>
          <t>ASAP - Gilbert</t>
        </is>
      </c>
      <c r="AM35" s="7" t="n">
        <v>46217</v>
      </c>
      <c r="AN35" s="6" t="inlineStr">
        <is>
          <t>BH</t>
        </is>
      </c>
      <c r="AO35" s="6" t="inlineStr">
        <is>
          <t>998, 1002</t>
        </is>
      </c>
    </row>
    <row r="36">
      <c r="A36" s="2" t="n"/>
      <c r="B36" s="3" t="n"/>
      <c r="C36" s="4" t="n"/>
      <c r="D36" s="5" t="n">
        <v>562066397</v>
      </c>
      <c r="E36" s="6" t="inlineStr">
        <is>
          <t>HF534791010</t>
        </is>
      </c>
      <c r="F36" s="7" t="n">
        <v>46184</v>
      </c>
      <c r="G36" s="6" t="inlineStr">
        <is>
          <t>Banner Health &amp; Aetna Health Insurance Company</t>
        </is>
      </c>
      <c r="H36" s="6" t="inlineStr">
        <is>
          <t>Banner Health &amp; Aetna Health Insurance Company</t>
        </is>
      </c>
      <c r="I36" s="6" t="inlineStr">
        <is>
          <t>No Payer</t>
        </is>
      </c>
      <c r="J36" s="8" t="inlineStr">
        <is>
          <t>99492 x1; 99494 x1</t>
        </is>
      </c>
      <c r="K36" s="4" t="n"/>
      <c r="L36" s="5">
        <f>IF($O36="","",$O36-TODAY())</f>
        <v/>
      </c>
      <c r="M36" s="5">
        <f>IF($C36="","",$C36+180-TODAY())</f>
        <v/>
      </c>
      <c r="N36" s="5">
        <f>IF($C36="","",$C36+180-TODAY())</f>
        <v/>
      </c>
      <c r="O36" s="7" t="n">
        <v>46304</v>
      </c>
      <c r="P36" s="6" t="inlineStr">
        <is>
          <t>120 days</t>
        </is>
      </c>
      <c r="Q36" s="6" t="inlineStr">
        <is>
          <t>BANNER HEALTH &amp; AETNA</t>
        </is>
      </c>
      <c r="R36" s="6" t="inlineStr">
        <is>
          <t>180 days</t>
        </is>
      </c>
      <c r="S36" s="6" t="inlineStr">
        <is>
          <t>Processed date</t>
        </is>
      </c>
      <c r="T36" s="6" t="inlineStr">
        <is>
          <t>180 days</t>
        </is>
      </c>
      <c r="U36" s="6" t="inlineStr">
        <is>
          <t>Processed date</t>
        </is>
      </c>
      <c r="V36" s="6" t="n"/>
      <c r="W36" s="6" t="n"/>
      <c r="X36" s="6" t="n"/>
      <c r="Y36" s="6" t="inlineStr">
        <is>
          <t>1</t>
        </is>
      </c>
      <c r="Z36" s="9" t="n">
        <v>1426.25</v>
      </c>
      <c r="AA36" s="9" t="n">
        <v>0</v>
      </c>
      <c r="AB36" s="9" t="n">
        <v>0</v>
      </c>
      <c r="AC36" s="7" t="n"/>
      <c r="AD36" s="9" t="n">
        <v>1426.25</v>
      </c>
      <c r="AE36" s="5" t="n">
        <v>58</v>
      </c>
      <c r="AF36" s="6" t="inlineStr">
        <is>
          <t>F4320</t>
        </is>
      </c>
      <c r="AG36" s="6" t="n"/>
      <c r="AH36" s="6" t="n"/>
      <c r="AI36" s="6" t="n"/>
      <c r="AJ36" s="5" t="n"/>
      <c r="AK36" s="6" t="inlineStr">
        <is>
          <t>CURRIE, DAVID</t>
        </is>
      </c>
      <c r="AL36" s="6" t="inlineStr">
        <is>
          <t>ASAP - Avondale</t>
        </is>
      </c>
      <c r="AM36" s="7" t="n">
        <v>46217</v>
      </c>
      <c r="AN36" s="6" t="inlineStr">
        <is>
          <t>BH</t>
        </is>
      </c>
      <c r="AO36" s="6" t="inlineStr">
        <is>
          <t>847, 848</t>
        </is>
      </c>
    </row>
    <row r="37">
      <c r="A37" s="2" t="n"/>
      <c r="B37" s="3" t="n"/>
      <c r="C37" s="4" t="n"/>
      <c r="D37" s="5" t="n">
        <v>562674720</v>
      </c>
      <c r="E37" s="6" t="inlineStr">
        <is>
          <t>HF521915818</t>
        </is>
      </c>
      <c r="F37" s="7" t="n">
        <v>46190</v>
      </c>
      <c r="G37" s="6" t="inlineStr">
        <is>
          <t>Aetna Legacy</t>
        </is>
      </c>
      <c r="H37" s="6" t="inlineStr">
        <is>
          <t>Aetna Legacy</t>
        </is>
      </c>
      <c r="I37" s="6" t="inlineStr">
        <is>
          <t>No Payer</t>
        </is>
      </c>
      <c r="J37" s="8" t="inlineStr">
        <is>
          <t>99492 x1; 99494 x1</t>
        </is>
      </c>
      <c r="K37" s="4" t="n"/>
      <c r="L37" s="5">
        <f>IF($O37="","",$O37-TODAY())</f>
        <v/>
      </c>
      <c r="M37" s="5">
        <f>IF($C37="","",$C37+180-TODAY())</f>
        <v/>
      </c>
      <c r="N37" s="5">
        <f>IF($C37="","",$C37+180-TODAY())</f>
        <v/>
      </c>
      <c r="O37" s="7" t="n">
        <v>46310</v>
      </c>
      <c r="P37" s="6" t="inlineStr">
        <is>
          <t>120 days</t>
        </is>
      </c>
      <c r="Q37" s="6" t="inlineStr">
        <is>
          <t>AETNA</t>
        </is>
      </c>
      <c r="R37" s="6" t="inlineStr">
        <is>
          <t>180 days</t>
        </is>
      </c>
      <c r="S37" s="6" t="inlineStr">
        <is>
          <t>Processed date</t>
        </is>
      </c>
      <c r="T37" s="6" t="inlineStr">
        <is>
          <t>180 days</t>
        </is>
      </c>
      <c r="U37" s="6" t="inlineStr">
        <is>
          <t>Processed date</t>
        </is>
      </c>
      <c r="V37" s="6" t="n"/>
      <c r="W37" s="6" t="n"/>
      <c r="X37" s="6" t="n"/>
      <c r="Y37" s="6" t="inlineStr">
        <is>
          <t>1</t>
        </is>
      </c>
      <c r="Z37" s="9" t="n">
        <v>1426.25</v>
      </c>
      <c r="AA37" s="9" t="n">
        <v>0</v>
      </c>
      <c r="AB37" s="9" t="n">
        <v>0</v>
      </c>
      <c r="AC37" s="7" t="n"/>
      <c r="AD37" s="9" t="n">
        <v>1426.25</v>
      </c>
      <c r="AE37" s="5" t="n">
        <v>52</v>
      </c>
      <c r="AF37" s="6" t="inlineStr">
        <is>
          <t>F39</t>
        </is>
      </c>
      <c r="AG37" s="6" t="n"/>
      <c r="AH37" s="6" t="n"/>
      <c r="AI37" s="6" t="n"/>
      <c r="AJ37" s="5" t="n"/>
      <c r="AK37" s="6" t="inlineStr">
        <is>
          <t>BURGHER, ABRAM</t>
        </is>
      </c>
      <c r="AL37" s="6" t="inlineStr">
        <is>
          <t>ASAP - Gilbert</t>
        </is>
      </c>
      <c r="AM37" s="7" t="n">
        <v>46217</v>
      </c>
      <c r="AN37" s="6" t="inlineStr">
        <is>
          <t>BH</t>
        </is>
      </c>
      <c r="AO37" s="6" t="inlineStr">
        <is>
          <t>1041, 1042</t>
        </is>
      </c>
    </row>
    <row r="38">
      <c r="A38" s="2" t="n"/>
      <c r="B38" s="3" t="n"/>
      <c r="C38" s="4" t="n"/>
      <c r="D38" s="5" t="n">
        <v>562865132</v>
      </c>
      <c r="E38" s="6" t="inlineStr">
        <is>
          <t>HF332213773</t>
        </is>
      </c>
      <c r="F38" s="7" t="n">
        <v>46192</v>
      </c>
      <c r="G38" s="6" t="inlineStr">
        <is>
          <t>Aetna Legacy</t>
        </is>
      </c>
      <c r="H38" s="6" t="inlineStr">
        <is>
          <t>Aetna Legacy</t>
        </is>
      </c>
      <c r="I38" s="6" t="inlineStr">
        <is>
          <t>No Payer</t>
        </is>
      </c>
      <c r="J38" s="8" t="inlineStr">
        <is>
          <t>99492 x1; 99494 x1</t>
        </is>
      </c>
      <c r="K38" s="4" t="n"/>
      <c r="L38" s="5">
        <f>IF($O38="","",$O38-TODAY())</f>
        <v/>
      </c>
      <c r="M38" s="5">
        <f>IF($C38="","",$C38+180-TODAY())</f>
        <v/>
      </c>
      <c r="N38" s="5">
        <f>IF($C38="","",$C38+180-TODAY())</f>
        <v/>
      </c>
      <c r="O38" s="7" t="n">
        <v>46312</v>
      </c>
      <c r="P38" s="6" t="inlineStr">
        <is>
          <t>120 days</t>
        </is>
      </c>
      <c r="Q38" s="6" t="inlineStr">
        <is>
          <t>AETNA</t>
        </is>
      </c>
      <c r="R38" s="6" t="inlineStr">
        <is>
          <t>180 days</t>
        </is>
      </c>
      <c r="S38" s="6" t="inlineStr">
        <is>
          <t>Processed date</t>
        </is>
      </c>
      <c r="T38" s="6" t="inlineStr">
        <is>
          <t>180 days</t>
        </is>
      </c>
      <c r="U38" s="6" t="inlineStr">
        <is>
          <t>Processed date</t>
        </is>
      </c>
      <c r="V38" s="6" t="n"/>
      <c r="W38" s="6" t="n"/>
      <c r="X38" s="6" t="n"/>
      <c r="Y38" s="6" t="inlineStr">
        <is>
          <t>1</t>
        </is>
      </c>
      <c r="Z38" s="9" t="n">
        <v>1426.25</v>
      </c>
      <c r="AA38" s="9" t="n">
        <v>0</v>
      </c>
      <c r="AB38" s="9" t="n">
        <v>0</v>
      </c>
      <c r="AC38" s="7" t="n"/>
      <c r="AD38" s="9" t="n">
        <v>1426.25</v>
      </c>
      <c r="AE38" s="5" t="n">
        <v>50</v>
      </c>
      <c r="AF38" s="6" t="inlineStr">
        <is>
          <t>F4320</t>
        </is>
      </c>
      <c r="AG38" s="6" t="n"/>
      <c r="AH38" s="6" t="n"/>
      <c r="AI38" s="6" t="n"/>
      <c r="AJ38" s="5" t="n"/>
      <c r="AK38" s="6" t="inlineStr">
        <is>
          <t>MCMURDIE, TODD</t>
        </is>
      </c>
      <c r="AL38" s="6" t="inlineStr">
        <is>
          <t>ASAP - Surprise - Reems</t>
        </is>
      </c>
      <c r="AM38" s="7" t="n">
        <v>46217</v>
      </c>
      <c r="AN38" s="6" t="inlineStr">
        <is>
          <t>BH</t>
        </is>
      </c>
      <c r="AO38" s="6" t="inlineStr">
        <is>
          <t>823, 830</t>
        </is>
      </c>
    </row>
    <row r="39">
      <c r="A39" s="2" t="n"/>
      <c r="B39" s="3" t="n"/>
      <c r="C39" s="4" t="n"/>
      <c r="D39" s="5" t="n">
        <v>563308164</v>
      </c>
      <c r="E39" s="6" t="inlineStr">
        <is>
          <t>HF447955847</t>
        </is>
      </c>
      <c r="F39" s="7" t="n">
        <v>46195</v>
      </c>
      <c r="G39" s="6" t="inlineStr">
        <is>
          <t>Banner Health &amp; Aetna Health Insurance Company</t>
        </is>
      </c>
      <c r="H39" s="6" t="inlineStr">
        <is>
          <t>Banner Health &amp; Aetna Health Insurance Company</t>
        </is>
      </c>
      <c r="I39" s="6" t="inlineStr">
        <is>
          <t>No Payer</t>
        </is>
      </c>
      <c r="J39" s="8" t="inlineStr">
        <is>
          <t>99492 x1; 99494 x1</t>
        </is>
      </c>
      <c r="K39" s="4" t="n"/>
      <c r="L39" s="5">
        <f>IF($O39="","",$O39-TODAY())</f>
        <v/>
      </c>
      <c r="M39" s="5">
        <f>IF($C39="","",$C39+180-TODAY())</f>
        <v/>
      </c>
      <c r="N39" s="5">
        <f>IF($C39="","",$C39+180-TODAY())</f>
        <v/>
      </c>
      <c r="O39" s="7" t="n">
        <v>46315</v>
      </c>
      <c r="P39" s="6" t="inlineStr">
        <is>
          <t>120 days</t>
        </is>
      </c>
      <c r="Q39" s="6" t="inlineStr">
        <is>
          <t>BANNER HEALTH &amp; AETNA</t>
        </is>
      </c>
      <c r="R39" s="6" t="inlineStr">
        <is>
          <t>180 days</t>
        </is>
      </c>
      <c r="S39" s="6" t="inlineStr">
        <is>
          <t>Processed date</t>
        </is>
      </c>
      <c r="T39" s="6" t="inlineStr">
        <is>
          <t>180 days</t>
        </is>
      </c>
      <c r="U39" s="6" t="inlineStr">
        <is>
          <t>Processed date</t>
        </is>
      </c>
      <c r="V39" s="6" t="n"/>
      <c r="W39" s="6" t="n"/>
      <c r="X39" s="6" t="n"/>
      <c r="Y39" s="6" t="inlineStr">
        <is>
          <t>1</t>
        </is>
      </c>
      <c r="Z39" s="9" t="n">
        <v>1426.25</v>
      </c>
      <c r="AA39" s="9" t="n">
        <v>0</v>
      </c>
      <c r="AB39" s="9" t="n">
        <v>0</v>
      </c>
      <c r="AC39" s="7" t="n"/>
      <c r="AD39" s="9" t="n">
        <v>1426.25</v>
      </c>
      <c r="AE39" s="5" t="n">
        <v>47</v>
      </c>
      <c r="AF39" s="6" t="inlineStr">
        <is>
          <t>F1190</t>
        </is>
      </c>
      <c r="AG39" s="6" t="n"/>
      <c r="AH39" s="6" t="n"/>
      <c r="AI39" s="6" t="n"/>
      <c r="AJ39" s="5" t="n"/>
      <c r="AK39" s="6" t="inlineStr">
        <is>
          <t>TURLEY, TODD</t>
        </is>
      </c>
      <c r="AL39" s="6" t="inlineStr">
        <is>
          <t>ASAP Peoria</t>
        </is>
      </c>
      <c r="AM39" s="7" t="n">
        <v>46217</v>
      </c>
      <c r="AN39" s="6" t="inlineStr">
        <is>
          <t>BH</t>
        </is>
      </c>
      <c r="AO39" s="6" t="inlineStr">
        <is>
          <t>832, 833</t>
        </is>
      </c>
    </row>
    <row r="40">
      <c r="A40" s="2" t="n"/>
      <c r="B40" s="3" t="n"/>
      <c r="C40" s="4" t="n"/>
      <c r="D40" s="5" t="n">
        <v>561217884</v>
      </c>
      <c r="E40" s="6" t="inlineStr">
        <is>
          <t>HF541566740</t>
        </is>
      </c>
      <c r="F40" s="7" t="n">
        <v>46175</v>
      </c>
      <c r="G40" s="6" t="inlineStr">
        <is>
          <t>Health Choice Pathway (Health Choice Generations)</t>
        </is>
      </c>
      <c r="H40" s="6" t="inlineStr">
        <is>
          <t>Health Choice Pathway (Health Choice Generations)</t>
        </is>
      </c>
      <c r="I40" s="6" t="inlineStr">
        <is>
          <t>Health Choice Arizona</t>
        </is>
      </c>
      <c r="J40" s="8" t="inlineStr">
        <is>
          <t>99494 x1; 99493 x1</t>
        </is>
      </c>
      <c r="K40" s="4" t="n"/>
      <c r="L40" s="5">
        <f>IF($O40="","",$O40-TODAY())</f>
        <v/>
      </c>
      <c r="M40" s="5">
        <f>IF($F40="","",$F40+365-TODAY())</f>
        <v/>
      </c>
      <c r="N40" s="5">
        <f>IF($C40="","",$C40+60-TODAY())</f>
        <v/>
      </c>
      <c r="O40" s="7" t="n">
        <v>46355</v>
      </c>
      <c r="P40" s="6" t="inlineStr">
        <is>
          <t>180 days</t>
        </is>
      </c>
      <c r="Q40" s="6" t="inlineStr">
        <is>
          <t>HEALTH CHOICE PATHWAY (HEALTH CHOICE GENERATIONS)</t>
        </is>
      </c>
      <c r="R40" s="6" t="inlineStr">
        <is>
          <t>365 days</t>
        </is>
      </c>
      <c r="S40" s="6" t="inlineStr">
        <is>
          <t>Date of service</t>
        </is>
      </c>
      <c r="T40" s="6" t="inlineStr">
        <is>
          <t>60 days</t>
        </is>
      </c>
      <c r="U40" s="6" t="inlineStr">
        <is>
          <t>Processed date</t>
        </is>
      </c>
      <c r="V40" s="6" t="n"/>
      <c r="W40" s="6" t="n"/>
      <c r="X40" s="6" t="n"/>
      <c r="Y40" s="6" t="inlineStr">
        <is>
          <t>1</t>
        </is>
      </c>
      <c r="Z40" s="9" t="n">
        <v>1372.91</v>
      </c>
      <c r="AA40" s="9" t="n">
        <v>0</v>
      </c>
      <c r="AB40" s="9" t="n">
        <v>0</v>
      </c>
      <c r="AC40" s="7" t="n"/>
      <c r="AD40" s="9" t="n">
        <v>1372.91</v>
      </c>
      <c r="AE40" s="5" t="n">
        <v>67</v>
      </c>
      <c r="AF40" s="6" t="inlineStr">
        <is>
          <t>F330</t>
        </is>
      </c>
      <c r="AG40" s="6" t="inlineStr">
        <is>
          <t>F411</t>
        </is>
      </c>
      <c r="AH40" s="6" t="n"/>
      <c r="AI40" s="6" t="n"/>
      <c r="AJ40" s="5" t="n"/>
      <c r="AK40" s="6" t="inlineStr">
        <is>
          <t>TURLEY, TODD</t>
        </is>
      </c>
      <c r="AL40" s="6" t="inlineStr">
        <is>
          <t>ASAP Peoria</t>
        </is>
      </c>
      <c r="AM40" s="7" t="n">
        <v>46217</v>
      </c>
      <c r="AN40" s="6" t="inlineStr">
        <is>
          <t>BH</t>
        </is>
      </c>
      <c r="AO40" s="6" t="inlineStr">
        <is>
          <t>288, 289</t>
        </is>
      </c>
    </row>
    <row r="41">
      <c r="A41" s="2" t="n"/>
      <c r="B41" s="3" t="n"/>
      <c r="C41" s="4" t="n"/>
      <c r="D41" s="5" t="n">
        <v>561176209</v>
      </c>
      <c r="E41" s="6" t="inlineStr">
        <is>
          <t>HF548624574</t>
        </is>
      </c>
      <c r="F41" s="7" t="n">
        <v>46174</v>
      </c>
      <c r="G41" s="6" t="inlineStr">
        <is>
          <t>Medicare Part B Arizona *</t>
        </is>
      </c>
      <c r="H41" s="6" t="inlineStr">
        <is>
          <t>Medicare Part B Arizona *</t>
        </is>
      </c>
      <c r="I41" s="6" t="inlineStr">
        <is>
          <t>No Payer</t>
        </is>
      </c>
      <c r="J41" s="8" t="inlineStr">
        <is>
          <t>99493 x1; 99494 x1</t>
        </is>
      </c>
      <c r="K41" s="4" t="n"/>
      <c r="L41" s="5">
        <f>IF($O41="","",$O41-TODAY())</f>
        <v/>
      </c>
      <c r="M41" s="5">
        <f>IF($C41="","",$C41+365-TODAY())</f>
        <v/>
      </c>
      <c r="N41" s="5">
        <f>IF($C41="","",$C41+120-TODAY())</f>
        <v/>
      </c>
      <c r="O41" s="7" t="n">
        <v>46539</v>
      </c>
      <c r="P41" s="6" t="inlineStr">
        <is>
          <t>365 days</t>
        </is>
      </c>
      <c r="Q41" s="6" t="inlineStr">
        <is>
          <t>MEDICARE</t>
        </is>
      </c>
      <c r="R41" s="6" t="inlineStr">
        <is>
          <t>365 days</t>
        </is>
      </c>
      <c r="S41" s="6" t="inlineStr">
        <is>
          <t>Processed date</t>
        </is>
      </c>
      <c r="T41" s="6" t="inlineStr">
        <is>
          <t>120 days</t>
        </is>
      </c>
      <c r="U41" s="6" t="inlineStr">
        <is>
          <t>Processed date</t>
        </is>
      </c>
      <c r="V41" s="6" t="n"/>
      <c r="W41" s="6" t="n"/>
      <c r="X41" s="6" t="n"/>
      <c r="Y41" s="6" t="inlineStr">
        <is>
          <t>1</t>
        </is>
      </c>
      <c r="Z41" s="9" t="n">
        <v>1372.91</v>
      </c>
      <c r="AA41" s="9" t="n">
        <v>0</v>
      </c>
      <c r="AB41" s="9" t="n">
        <v>0</v>
      </c>
      <c r="AC41" s="7" t="n"/>
      <c r="AD41" s="9" t="n">
        <v>1372.91</v>
      </c>
      <c r="AE41" s="5" t="n">
        <v>68</v>
      </c>
      <c r="AF41" s="6" t="inlineStr">
        <is>
          <t>F330</t>
        </is>
      </c>
      <c r="AG41" s="6" t="n"/>
      <c r="AH41" s="6" t="n"/>
      <c r="AI41" s="6" t="n"/>
      <c r="AJ41" s="5" t="n"/>
      <c r="AK41" s="6" t="inlineStr">
        <is>
          <t>MORALES, DAVID</t>
        </is>
      </c>
      <c r="AL41" s="6" t="inlineStr">
        <is>
          <t>ASAP Peoria</t>
        </is>
      </c>
      <c r="AM41" s="7" t="n">
        <v>46217</v>
      </c>
      <c r="AN41" s="6" t="inlineStr">
        <is>
          <t>BH</t>
        </is>
      </c>
      <c r="AO41" s="6" t="inlineStr">
        <is>
          <t>944, 1066</t>
        </is>
      </c>
    </row>
    <row r="42">
      <c r="A42" s="2" t="n"/>
      <c r="B42" s="3" t="n"/>
      <c r="C42" s="4" t="n">
        <v>46225</v>
      </c>
      <c r="D42" s="5" t="n">
        <v>561218278</v>
      </c>
      <c r="E42" s="6" t="inlineStr">
        <is>
          <t>HF531871840</t>
        </is>
      </c>
      <c r="F42" s="7" t="n">
        <v>46175</v>
      </c>
      <c r="G42" s="6" t="inlineStr">
        <is>
          <t>Medicare Part B Arizona *</t>
        </is>
      </c>
      <c r="H42" s="6" t="inlineStr">
        <is>
          <t>Medicare Part B Arizona *</t>
        </is>
      </c>
      <c r="I42" s="6" t="inlineStr">
        <is>
          <t>Blue Cross Blue Shield of Arizona (BCBS AZ)</t>
        </is>
      </c>
      <c r="J42" s="8" t="inlineStr">
        <is>
          <t>99494 x1; 99492 x1</t>
        </is>
      </c>
      <c r="K42" s="4" t="n"/>
      <c r="L42" s="5">
        <f>IF($O42="","",$O42-TODAY())</f>
        <v/>
      </c>
      <c r="M42" s="5">
        <f>IF($C42="","",$C42+365-TODAY())</f>
        <v/>
      </c>
      <c r="N42" s="5">
        <f>IF($C42="","",$C42+120-TODAY())</f>
        <v/>
      </c>
      <c r="O42" s="7" t="n">
        <v>46540</v>
      </c>
      <c r="P42" s="6" t="inlineStr">
        <is>
          <t>365 days</t>
        </is>
      </c>
      <c r="Q42" s="6" t="inlineStr">
        <is>
          <t>MEDICARE</t>
        </is>
      </c>
      <c r="R42" s="6" t="inlineStr">
        <is>
          <t>365 days</t>
        </is>
      </c>
      <c r="S42" s="6" t="inlineStr">
        <is>
          <t>Processed date</t>
        </is>
      </c>
      <c r="T42" s="6" t="inlineStr">
        <is>
          <t>120 days</t>
        </is>
      </c>
      <c r="U42" s="6" t="inlineStr">
        <is>
          <t>Processed date</t>
        </is>
      </c>
      <c r="V42" s="6" t="n"/>
      <c r="W42" s="6" t="n"/>
      <c r="X42" s="6" t="n"/>
      <c r="Y42" s="6" t="inlineStr">
        <is>
          <t>1</t>
        </is>
      </c>
      <c r="Z42" s="9" t="n">
        <v>1426.25</v>
      </c>
      <c r="AA42" s="9" t="n">
        <v>0</v>
      </c>
      <c r="AB42" s="9" t="n">
        <v>0</v>
      </c>
      <c r="AC42" s="7" t="n">
        <v>46225</v>
      </c>
      <c r="AD42" s="9" t="n">
        <v>1426.25</v>
      </c>
      <c r="AE42" s="5" t="n">
        <v>67</v>
      </c>
      <c r="AF42" s="6" t="inlineStr">
        <is>
          <t>F4320</t>
        </is>
      </c>
      <c r="AG42" s="6" t="n"/>
      <c r="AH42" s="6" t="n"/>
      <c r="AI42" s="6" t="n"/>
      <c r="AJ42" s="5" t="n"/>
      <c r="AK42" s="6" t="inlineStr">
        <is>
          <t>SARKAR, AWNIK</t>
        </is>
      </c>
      <c r="AL42" s="6" t="inlineStr">
        <is>
          <t>ASAP Peoria</t>
        </is>
      </c>
      <c r="AM42" s="7" t="n">
        <v>46217</v>
      </c>
      <c r="AN42" s="6" t="inlineStr">
        <is>
          <t>BH</t>
        </is>
      </c>
      <c r="AO42" s="6" t="inlineStr">
        <is>
          <t>902, 903</t>
        </is>
      </c>
    </row>
    <row r="43">
      <c r="A43" s="2" t="n"/>
      <c r="B43" s="3" t="n"/>
      <c r="C43" s="4" t="n"/>
      <c r="D43" s="5" t="n">
        <v>561219432</v>
      </c>
      <c r="E43" s="6" t="inlineStr">
        <is>
          <t>HF467945918</t>
        </is>
      </c>
      <c r="F43" s="7" t="n">
        <v>46175</v>
      </c>
      <c r="G43" s="6" t="inlineStr">
        <is>
          <t>United HealthCare Dual Complete</t>
        </is>
      </c>
      <c r="H43" s="6" t="inlineStr">
        <is>
          <t>United HealthCare Dual Complete</t>
        </is>
      </c>
      <c r="I43" s="6" t="inlineStr">
        <is>
          <t>Banner University Family Care / ACC (AHCCS Complete Care)</t>
        </is>
      </c>
      <c r="J43" s="8" t="inlineStr">
        <is>
          <t>99492 x1; 99494 x1</t>
        </is>
      </c>
      <c r="K43" s="4" t="n"/>
      <c r="L43" s="5">
        <f>IF($O43="","",$O43-TODAY())</f>
        <v/>
      </c>
      <c r="M43" s="5">
        <f>IF($C43="","",$C43+180-TODAY())</f>
        <v/>
      </c>
      <c r="N43" s="5">
        <f>IF($C43="","",$C43+365-TODAY())</f>
        <v/>
      </c>
      <c r="O43" s="7" t="n">
        <v>46540</v>
      </c>
      <c r="P43" s="6" t="inlineStr">
        <is>
          <t>365 days</t>
        </is>
      </c>
      <c r="Q43" s="6" t="inlineStr">
        <is>
          <t>UHC DUAL COMPLETE</t>
        </is>
      </c>
      <c r="R43" s="6" t="inlineStr">
        <is>
          <t>180 days</t>
        </is>
      </c>
      <c r="S43" s="6" t="inlineStr">
        <is>
          <t>Processed date</t>
        </is>
      </c>
      <c r="T43" s="6" t="inlineStr">
        <is>
          <t>365 days</t>
        </is>
      </c>
      <c r="U43" s="6" t="inlineStr">
        <is>
          <t>Processed date</t>
        </is>
      </c>
      <c r="V43" s="6" t="n"/>
      <c r="W43" s="6" t="n"/>
      <c r="X43" s="6" t="n"/>
      <c r="Y43" s="6" t="inlineStr">
        <is>
          <t>1</t>
        </is>
      </c>
      <c r="Z43" s="9" t="n">
        <v>1426.25</v>
      </c>
      <c r="AA43" s="9" t="n">
        <v>0</v>
      </c>
      <c r="AB43" s="9" t="n">
        <v>0</v>
      </c>
      <c r="AC43" s="7" t="n"/>
      <c r="AD43" s="9" t="n">
        <v>1426.25</v>
      </c>
      <c r="AE43" s="5" t="n">
        <v>67</v>
      </c>
      <c r="AF43" s="6" t="inlineStr">
        <is>
          <t>F4323</t>
        </is>
      </c>
      <c r="AG43" s="6" t="n"/>
      <c r="AH43" s="6" t="n"/>
      <c r="AI43" s="6" t="n"/>
      <c r="AJ43" s="5" t="n"/>
      <c r="AK43" s="6" t="inlineStr">
        <is>
          <t>O'NEIL, ROY</t>
        </is>
      </c>
      <c r="AL43" s="6" t="inlineStr">
        <is>
          <t>ASAP Peoria</t>
        </is>
      </c>
      <c r="AM43" s="7" t="n">
        <v>46217</v>
      </c>
      <c r="AN43" s="6" t="inlineStr">
        <is>
          <t>BH</t>
        </is>
      </c>
      <c r="AO43" s="6" t="inlineStr">
        <is>
          <t>1014, 1015</t>
        </is>
      </c>
    </row>
    <row r="44">
      <c r="A44" s="2" t="n"/>
      <c r="B44" s="3" t="n"/>
      <c r="C44" s="4" t="n"/>
      <c r="D44" s="5" t="n">
        <v>561404012</v>
      </c>
      <c r="E44" s="6" t="inlineStr">
        <is>
          <t>HF447635685</t>
        </is>
      </c>
      <c r="F44" s="7" t="n">
        <v>46175</v>
      </c>
      <c r="G44" s="6" t="inlineStr">
        <is>
          <t>United HealthCare Dual Complete</t>
        </is>
      </c>
      <c r="H44" s="6" t="inlineStr">
        <is>
          <t>United HealthCare Dual Complete</t>
        </is>
      </c>
      <c r="I44" s="6" t="inlineStr">
        <is>
          <t>UnitedHealthcare Community Plan / Arizona Long Term Care</t>
        </is>
      </c>
      <c r="J44" s="8" t="inlineStr">
        <is>
          <t>99493 x1; 99494 x1</t>
        </is>
      </c>
      <c r="K44" s="4" t="n"/>
      <c r="L44" s="5">
        <f>IF($O44="","",$O44-TODAY())</f>
        <v/>
      </c>
      <c r="M44" s="5">
        <f>IF($C44="","",$C44+180-TODAY())</f>
        <v/>
      </c>
      <c r="N44" s="5">
        <f>IF($C44="","",$C44+365-TODAY())</f>
        <v/>
      </c>
      <c r="O44" s="7" t="n">
        <v>46540</v>
      </c>
      <c r="P44" s="6" t="inlineStr">
        <is>
          <t>365 days</t>
        </is>
      </c>
      <c r="Q44" s="6" t="inlineStr">
        <is>
          <t>UHC DUAL COMPLETE</t>
        </is>
      </c>
      <c r="R44" s="6" t="inlineStr">
        <is>
          <t>180 days</t>
        </is>
      </c>
      <c r="S44" s="6" t="inlineStr">
        <is>
          <t>Processed date</t>
        </is>
      </c>
      <c r="T44" s="6" t="inlineStr">
        <is>
          <t>365 days</t>
        </is>
      </c>
      <c r="U44" s="6" t="inlineStr">
        <is>
          <t>Processed date</t>
        </is>
      </c>
      <c r="V44" s="6" t="n"/>
      <c r="W44" s="6" t="n"/>
      <c r="X44" s="6" t="n"/>
      <c r="Y44" s="6" t="inlineStr">
        <is>
          <t>1</t>
        </is>
      </c>
      <c r="Z44" s="9" t="n">
        <v>1372.91</v>
      </c>
      <c r="AA44" s="9" t="n">
        <v>0</v>
      </c>
      <c r="AB44" s="9" t="n">
        <v>0</v>
      </c>
      <c r="AC44" s="7" t="n"/>
      <c r="AD44" s="9" t="n">
        <v>1372.91</v>
      </c>
      <c r="AE44" s="5" t="n">
        <v>67</v>
      </c>
      <c r="AF44" s="6" t="inlineStr">
        <is>
          <t>F331</t>
        </is>
      </c>
      <c r="AG44" s="6" t="inlineStr">
        <is>
          <t>F411</t>
        </is>
      </c>
      <c r="AH44" s="6" t="n"/>
      <c r="AI44" s="6" t="n"/>
      <c r="AJ44" s="5" t="n"/>
      <c r="AK44" s="6" t="inlineStr">
        <is>
          <t>O'NEIL, ROY</t>
        </is>
      </c>
      <c r="AL44" s="6" t="inlineStr">
        <is>
          <t>ASAP Peoria</t>
        </is>
      </c>
      <c r="AM44" s="7" t="n">
        <v>46217</v>
      </c>
      <c r="AN44" s="6" t="inlineStr">
        <is>
          <t>BH</t>
        </is>
      </c>
      <c r="AO44" s="6" t="inlineStr">
        <is>
          <t>1061, 1063</t>
        </is>
      </c>
    </row>
    <row r="45">
      <c r="A45" s="2" t="n"/>
      <c r="B45" s="3" t="n"/>
      <c r="C45" s="4" t="n"/>
      <c r="D45" s="5" t="n">
        <v>561203871</v>
      </c>
      <c r="E45" s="6" t="inlineStr">
        <is>
          <t>HF507014455</t>
        </is>
      </c>
      <c r="F45" s="7" t="n">
        <v>46176</v>
      </c>
      <c r="G45" s="6" t="inlineStr">
        <is>
          <t>Medicare Part B Arizona *</t>
        </is>
      </c>
      <c r="H45" s="6" t="inlineStr">
        <is>
          <t>Medicare Part B Arizona *</t>
        </is>
      </c>
      <c r="I45" s="6" t="inlineStr">
        <is>
          <t>MediCo Insurance Company</t>
        </is>
      </c>
      <c r="J45" s="8" t="inlineStr">
        <is>
          <t>99492 x1; 99494 x1</t>
        </is>
      </c>
      <c r="K45" s="4" t="n"/>
      <c r="L45" s="5">
        <f>IF($O45="","",$O45-TODAY())</f>
        <v/>
      </c>
      <c r="M45" s="5">
        <f>IF($C45="","",$C45+365-TODAY())</f>
        <v/>
      </c>
      <c r="N45" s="5">
        <f>IF($C45="","",$C45+120-TODAY())</f>
        <v/>
      </c>
      <c r="O45" s="7" t="n">
        <v>46541</v>
      </c>
      <c r="P45" s="6" t="inlineStr">
        <is>
          <t>365 days</t>
        </is>
      </c>
      <c r="Q45" s="6" t="inlineStr">
        <is>
          <t>MEDICARE</t>
        </is>
      </c>
      <c r="R45" s="6" t="inlineStr">
        <is>
          <t>365 days</t>
        </is>
      </c>
      <c r="S45" s="6" t="inlineStr">
        <is>
          <t>Processed date</t>
        </is>
      </c>
      <c r="T45" s="6" t="inlineStr">
        <is>
          <t>120 days</t>
        </is>
      </c>
      <c r="U45" s="6" t="inlineStr">
        <is>
          <t>Processed date</t>
        </is>
      </c>
      <c r="V45" s="6" t="n"/>
      <c r="W45" s="6" t="n"/>
      <c r="X45" s="6" t="n"/>
      <c r="Y45" s="6" t="inlineStr">
        <is>
          <t>1</t>
        </is>
      </c>
      <c r="Z45" s="9" t="n">
        <v>1426.25</v>
      </c>
      <c r="AA45" s="9" t="n">
        <v>0</v>
      </c>
      <c r="AB45" s="9" t="n">
        <v>0</v>
      </c>
      <c r="AC45" s="7" t="n"/>
      <c r="AD45" s="9" t="n">
        <v>1426.25</v>
      </c>
      <c r="AE45" s="5" t="n">
        <v>66</v>
      </c>
      <c r="AF45" s="6" t="inlineStr">
        <is>
          <t>F39</t>
        </is>
      </c>
      <c r="AG45" s="6" t="n"/>
      <c r="AH45" s="6" t="n"/>
      <c r="AI45" s="6" t="n"/>
      <c r="AJ45" s="5" t="n"/>
      <c r="AK45" s="6" t="inlineStr">
        <is>
          <t>LEATHEM, JARRETT</t>
        </is>
      </c>
      <c r="AL45" s="6" t="inlineStr">
        <is>
          <t>ASAP - Gilbert</t>
        </is>
      </c>
      <c r="AM45" s="7" t="n">
        <v>46217</v>
      </c>
      <c r="AN45" s="6" t="inlineStr">
        <is>
          <t>BH</t>
        </is>
      </c>
      <c r="AO45" s="6" t="inlineStr">
        <is>
          <t>597, 599</t>
        </is>
      </c>
    </row>
    <row r="46">
      <c r="A46" s="2" t="n"/>
      <c r="B46" s="3" t="n"/>
      <c r="C46" s="4" t="n"/>
      <c r="D46" s="5" t="n">
        <v>561644841</v>
      </c>
      <c r="E46" s="6" t="inlineStr">
        <is>
          <t>HF557143389</t>
        </is>
      </c>
      <c r="F46" s="7" t="n">
        <v>46177</v>
      </c>
      <c r="G46" s="6" t="inlineStr">
        <is>
          <t>Medicare Part B Arizona *</t>
        </is>
      </c>
      <c r="H46" s="6" t="inlineStr">
        <is>
          <t>Medicare Part B Arizona *</t>
        </is>
      </c>
      <c r="I46" s="6" t="inlineStr">
        <is>
          <t>Blue Cross Blue Shield of Arizona (BCBS AZ)</t>
        </is>
      </c>
      <c r="J46" s="8" t="inlineStr">
        <is>
          <t>99492 x1</t>
        </is>
      </c>
      <c r="K46" s="4" t="n"/>
      <c r="L46" s="5">
        <f>IF($O46="","",$O46-TODAY())</f>
        <v/>
      </c>
      <c r="M46" s="5">
        <f>IF($C46="","",$C46+365-TODAY())</f>
        <v/>
      </c>
      <c r="N46" s="5">
        <f>IF($C46="","",$C46+120-TODAY())</f>
        <v/>
      </c>
      <c r="O46" s="7" t="n">
        <v>46542</v>
      </c>
      <c r="P46" s="6" t="inlineStr">
        <is>
          <t>365 days</t>
        </is>
      </c>
      <c r="Q46" s="6" t="inlineStr">
        <is>
          <t>MEDICARE</t>
        </is>
      </c>
      <c r="R46" s="6" t="inlineStr">
        <is>
          <t>365 days</t>
        </is>
      </c>
      <c r="S46" s="6" t="inlineStr">
        <is>
          <t>Processed date</t>
        </is>
      </c>
      <c r="T46" s="6" t="inlineStr">
        <is>
          <t>120 days</t>
        </is>
      </c>
      <c r="U46" s="6" t="inlineStr">
        <is>
          <t>Processed date</t>
        </is>
      </c>
      <c r="V46" s="6" t="n"/>
      <c r="W46" s="6" t="n"/>
      <c r="X46" s="6" t="n"/>
      <c r="Y46" s="6" t="inlineStr">
        <is>
          <t>1</t>
        </is>
      </c>
      <c r="Z46" s="9" t="n">
        <v>1029.98</v>
      </c>
      <c r="AA46" s="9" t="n">
        <v>0</v>
      </c>
      <c r="AB46" s="9" t="n">
        <v>0</v>
      </c>
      <c r="AC46" s="7" t="n"/>
      <c r="AD46" s="9" t="n">
        <v>1029.98</v>
      </c>
      <c r="AE46" s="5" t="n">
        <v>65</v>
      </c>
      <c r="AF46" s="6" t="inlineStr">
        <is>
          <t>F4320</t>
        </is>
      </c>
      <c r="AG46" s="6" t="n"/>
      <c r="AH46" s="6" t="n"/>
      <c r="AI46" s="6" t="n"/>
      <c r="AJ46" s="5" t="n"/>
      <c r="AK46" s="6" t="inlineStr">
        <is>
          <t>MEARS, CHAD</t>
        </is>
      </c>
      <c r="AL46" s="6" t="inlineStr">
        <is>
          <t>ASAP - DEER VALLEY</t>
        </is>
      </c>
      <c r="AM46" s="7" t="n">
        <v>46217</v>
      </c>
      <c r="AN46" s="6" t="inlineStr">
        <is>
          <t>BH</t>
        </is>
      </c>
      <c r="AO46" s="6" t="inlineStr">
        <is>
          <t>254</t>
        </is>
      </c>
    </row>
    <row r="47">
      <c r="A47" s="2" t="n"/>
      <c r="B47" s="3" t="n"/>
      <c r="C47" s="4" t="n"/>
      <c r="D47" s="5" t="n">
        <v>561645041</v>
      </c>
      <c r="E47" s="6" t="inlineStr">
        <is>
          <t>HF346503488</t>
        </is>
      </c>
      <c r="F47" s="7" t="n">
        <v>46177</v>
      </c>
      <c r="G47" s="6" t="inlineStr">
        <is>
          <t>Medicare Part B Arizona *</t>
        </is>
      </c>
      <c r="H47" s="6" t="inlineStr">
        <is>
          <t>Medicare Part B Arizona *</t>
        </is>
      </c>
      <c r="I47" s="6" t="inlineStr">
        <is>
          <t>Mutual of Omaha Insurance Company</t>
        </is>
      </c>
      <c r="J47" s="8" t="inlineStr">
        <is>
          <t>99494 x2; 99493 x1</t>
        </is>
      </c>
      <c r="K47" s="4" t="n"/>
      <c r="L47" s="5">
        <f>IF($O47="","",$O47-TODAY())</f>
        <v/>
      </c>
      <c r="M47" s="5">
        <f>IF($C47="","",$C47+365-TODAY())</f>
        <v/>
      </c>
      <c r="N47" s="5">
        <f>IF($C47="","",$C47+120-TODAY())</f>
        <v/>
      </c>
      <c r="O47" s="7" t="n">
        <v>46542</v>
      </c>
      <c r="P47" s="6" t="inlineStr">
        <is>
          <t>365 days</t>
        </is>
      </c>
      <c r="Q47" s="6" t="inlineStr">
        <is>
          <t>MEDICARE</t>
        </is>
      </c>
      <c r="R47" s="6" t="inlineStr">
        <is>
          <t>365 days</t>
        </is>
      </c>
      <c r="S47" s="6" t="inlineStr">
        <is>
          <t>Processed date</t>
        </is>
      </c>
      <c r="T47" s="6" t="inlineStr">
        <is>
          <t>120 days</t>
        </is>
      </c>
      <c r="U47" s="6" t="inlineStr">
        <is>
          <t>Processed date</t>
        </is>
      </c>
      <c r="V47" s="6" t="n"/>
      <c r="W47" s="6" t="n"/>
      <c r="X47" s="6" t="n"/>
      <c r="Y47" s="6" t="inlineStr">
        <is>
          <t>2, 1</t>
        </is>
      </c>
      <c r="Z47" s="9" t="n">
        <v>1769.18</v>
      </c>
      <c r="AA47" s="9" t="n">
        <v>0</v>
      </c>
      <c r="AB47" s="9" t="n">
        <v>0</v>
      </c>
      <c r="AC47" s="7" t="n"/>
      <c r="AD47" s="9" t="n">
        <v>1769.18</v>
      </c>
      <c r="AE47" s="5" t="n">
        <v>65</v>
      </c>
      <c r="AF47" s="6" t="inlineStr">
        <is>
          <t>F330</t>
        </is>
      </c>
      <c r="AG47" s="6" t="n"/>
      <c r="AH47" s="6" t="n"/>
      <c r="AI47" s="6" t="n"/>
      <c r="AJ47" s="5" t="n"/>
      <c r="AK47" s="6" t="inlineStr">
        <is>
          <t>TURLEY, TODD</t>
        </is>
      </c>
      <c r="AL47" s="6" t="inlineStr">
        <is>
          <t>ASAP - DEER VALLEY</t>
        </is>
      </c>
      <c r="AM47" s="7" t="n">
        <v>46217</v>
      </c>
      <c r="AN47" s="6" t="inlineStr">
        <is>
          <t>BH</t>
        </is>
      </c>
      <c r="AO47" s="6" t="inlineStr">
        <is>
          <t>955, 958</t>
        </is>
      </c>
    </row>
    <row r="48">
      <c r="A48" s="2" t="n"/>
      <c r="B48" s="3" t="n"/>
      <c r="C48" s="4" t="n"/>
      <c r="D48" s="5" t="n">
        <v>561646382</v>
      </c>
      <c r="E48" s="6" t="inlineStr">
        <is>
          <t>HF438354537</t>
        </is>
      </c>
      <c r="F48" s="7" t="n">
        <v>46178</v>
      </c>
      <c r="G48" s="6" t="inlineStr">
        <is>
          <t>Medicare Part B Arizona *</t>
        </is>
      </c>
      <c r="H48" s="6" t="inlineStr">
        <is>
          <t>Medicare Part B Arizona *</t>
        </is>
      </c>
      <c r="I48" s="6" t="inlineStr">
        <is>
          <t>AARP United Healthcare</t>
        </is>
      </c>
      <c r="J48" s="8" t="inlineStr">
        <is>
          <t>99494 x1; 99492 x1</t>
        </is>
      </c>
      <c r="K48" s="4" t="n"/>
      <c r="L48" s="5">
        <f>IF($O48="","",$O48-TODAY())</f>
        <v/>
      </c>
      <c r="M48" s="5">
        <f>IF($C48="","",$C48+365-TODAY())</f>
        <v/>
      </c>
      <c r="N48" s="5">
        <f>IF($C48="","",$C48+120-TODAY())</f>
        <v/>
      </c>
      <c r="O48" s="7" t="n">
        <v>46543</v>
      </c>
      <c r="P48" s="6" t="inlineStr">
        <is>
          <t>365 days</t>
        </is>
      </c>
      <c r="Q48" s="6" t="inlineStr">
        <is>
          <t>MEDICARE</t>
        </is>
      </c>
      <c r="R48" s="6" t="inlineStr">
        <is>
          <t>365 days</t>
        </is>
      </c>
      <c r="S48" s="6" t="inlineStr">
        <is>
          <t>Processed date</t>
        </is>
      </c>
      <c r="T48" s="6" t="inlineStr">
        <is>
          <t>120 days</t>
        </is>
      </c>
      <c r="U48" s="6" t="inlineStr">
        <is>
          <t>Processed date</t>
        </is>
      </c>
      <c r="V48" s="6" t="n"/>
      <c r="W48" s="6" t="n"/>
      <c r="X48" s="6" t="n"/>
      <c r="Y48" s="6" t="inlineStr">
        <is>
          <t>1</t>
        </is>
      </c>
      <c r="Z48" s="9" t="n">
        <v>1426.25</v>
      </c>
      <c r="AA48" s="9" t="n">
        <v>0</v>
      </c>
      <c r="AB48" s="9" t="n">
        <v>0</v>
      </c>
      <c r="AC48" s="7" t="n"/>
      <c r="AD48" s="9" t="n">
        <v>1426.25</v>
      </c>
      <c r="AE48" s="5" t="n">
        <v>64</v>
      </c>
      <c r="AF48" s="6" t="inlineStr">
        <is>
          <t>F1190</t>
        </is>
      </c>
      <c r="AG48" s="6" t="n"/>
      <c r="AH48" s="6" t="n"/>
      <c r="AI48" s="6" t="n"/>
      <c r="AJ48" s="5" t="n"/>
      <c r="AK48" s="6" t="inlineStr">
        <is>
          <t>TURLEY, TODD</t>
        </is>
      </c>
      <c r="AL48" s="6" t="inlineStr">
        <is>
          <t>ASAP - DEER VALLEY</t>
        </is>
      </c>
      <c r="AM48" s="7" t="n">
        <v>46217</v>
      </c>
      <c r="AN48" s="6" t="inlineStr">
        <is>
          <t>BH</t>
        </is>
      </c>
      <c r="AO48" s="6" t="inlineStr">
        <is>
          <t>843, 844</t>
        </is>
      </c>
    </row>
    <row r="49">
      <c r="A49" s="2" t="n"/>
      <c r="B49" s="3" t="n"/>
      <c r="C49" s="4" t="n">
        <v>46226</v>
      </c>
      <c r="D49" s="5" t="n">
        <v>561886342</v>
      </c>
      <c r="E49" s="6" t="inlineStr">
        <is>
          <t>HF479558457</t>
        </is>
      </c>
      <c r="F49" s="7" t="n">
        <v>46182</v>
      </c>
      <c r="G49" s="6" t="inlineStr">
        <is>
          <t>Medicare Part B Arizona *</t>
        </is>
      </c>
      <c r="H49" s="6" t="inlineStr">
        <is>
          <t>Medicare Part B Arizona *</t>
        </is>
      </c>
      <c r="I49" s="6" t="inlineStr">
        <is>
          <t>CSI Life Medicare Supplement</t>
        </is>
      </c>
      <c r="J49" s="8" t="inlineStr">
        <is>
          <t>99492 x1; 99494 x1</t>
        </is>
      </c>
      <c r="K49" s="4" t="n"/>
      <c r="L49" s="5">
        <f>IF($O49="","",$O49-TODAY())</f>
        <v/>
      </c>
      <c r="M49" s="5">
        <f>IF($C49="","",$C49+365-TODAY())</f>
        <v/>
      </c>
      <c r="N49" s="5">
        <f>IF($C49="","",$C49+120-TODAY())</f>
        <v/>
      </c>
      <c r="O49" s="7" t="n">
        <v>46547</v>
      </c>
      <c r="P49" s="6" t="inlineStr">
        <is>
          <t>365 days</t>
        </is>
      </c>
      <c r="Q49" s="6" t="inlineStr">
        <is>
          <t>MEDICARE</t>
        </is>
      </c>
      <c r="R49" s="6" t="inlineStr">
        <is>
          <t>365 days</t>
        </is>
      </c>
      <c r="S49" s="6" t="inlineStr">
        <is>
          <t>Processed date</t>
        </is>
      </c>
      <c r="T49" s="6" t="inlineStr">
        <is>
          <t>120 days</t>
        </is>
      </c>
      <c r="U49" s="6" t="inlineStr">
        <is>
          <t>Processed date</t>
        </is>
      </c>
      <c r="V49" s="6" t="n"/>
      <c r="W49" s="6" t="n"/>
      <c r="X49" s="6" t="n"/>
      <c r="Y49" s="6" t="inlineStr">
        <is>
          <t>1</t>
        </is>
      </c>
      <c r="Z49" s="9" t="n">
        <v>1426.25</v>
      </c>
      <c r="AA49" s="9" t="n">
        <v>0</v>
      </c>
      <c r="AB49" s="9" t="n">
        <v>0</v>
      </c>
      <c r="AC49" s="7" t="n">
        <v>46226</v>
      </c>
      <c r="AD49" s="9" t="n">
        <v>1426.25</v>
      </c>
      <c r="AE49" s="5" t="n">
        <v>60</v>
      </c>
      <c r="AF49" s="6" t="inlineStr">
        <is>
          <t>F4320</t>
        </is>
      </c>
      <c r="AG49" s="6" t="n"/>
      <c r="AH49" s="6" t="n"/>
      <c r="AI49" s="6" t="n"/>
      <c r="AJ49" s="5" t="n"/>
      <c r="AK49" s="6" t="inlineStr">
        <is>
          <t>O'NEIL, ROY</t>
        </is>
      </c>
      <c r="AL49" s="6" t="inlineStr">
        <is>
          <t>ASAP Peoria</t>
        </is>
      </c>
      <c r="AM49" s="7" t="n">
        <v>46217</v>
      </c>
      <c r="AN49" s="6" t="inlineStr">
        <is>
          <t>BH</t>
        </is>
      </c>
      <c r="AO49" s="6" t="inlineStr">
        <is>
          <t>814, 815</t>
        </is>
      </c>
    </row>
    <row r="50">
      <c r="A50" s="2" t="n"/>
      <c r="B50" s="3" t="n"/>
      <c r="C50" s="4" t="n"/>
      <c r="D50" s="5" t="n">
        <v>561894045</v>
      </c>
      <c r="E50" s="6" t="inlineStr">
        <is>
          <t>HF541827163</t>
        </is>
      </c>
      <c r="F50" s="7" t="n">
        <v>46183</v>
      </c>
      <c r="G50" s="6" t="inlineStr">
        <is>
          <t>Medicare Part B Arizona *</t>
        </is>
      </c>
      <c r="H50" s="6" t="inlineStr">
        <is>
          <t>Medicare Part B Arizona *</t>
        </is>
      </c>
      <c r="I50" s="6" t="inlineStr">
        <is>
          <t>Medicaid Arizona</t>
        </is>
      </c>
      <c r="J50" s="8" t="inlineStr">
        <is>
          <t>99494 x1; 99492 x1</t>
        </is>
      </c>
      <c r="K50" s="4" t="n"/>
      <c r="L50" s="5">
        <f>IF($O50="","",$O50-TODAY())</f>
        <v/>
      </c>
      <c r="M50" s="5">
        <f>IF($C50="","",$C50+365-TODAY())</f>
        <v/>
      </c>
      <c r="N50" s="5">
        <f>IF($C50="","",$C50+120-TODAY())</f>
        <v/>
      </c>
      <c r="O50" s="7" t="n">
        <v>46548</v>
      </c>
      <c r="P50" s="6" t="inlineStr">
        <is>
          <t>365 days</t>
        </is>
      </c>
      <c r="Q50" s="6" t="inlineStr">
        <is>
          <t>MEDICARE</t>
        </is>
      </c>
      <c r="R50" s="6" t="inlineStr">
        <is>
          <t>365 days</t>
        </is>
      </c>
      <c r="S50" s="6" t="inlineStr">
        <is>
          <t>Processed date</t>
        </is>
      </c>
      <c r="T50" s="6" t="inlineStr">
        <is>
          <t>120 days</t>
        </is>
      </c>
      <c r="U50" s="6" t="inlineStr">
        <is>
          <t>Processed date</t>
        </is>
      </c>
      <c r="V50" s="6" t="n"/>
      <c r="W50" s="6" t="n"/>
      <c r="X50" s="6" t="n"/>
      <c r="Y50" s="6" t="inlineStr">
        <is>
          <t>1</t>
        </is>
      </c>
      <c r="Z50" s="9" t="n">
        <v>1426.25</v>
      </c>
      <c r="AA50" s="9" t="n">
        <v>0</v>
      </c>
      <c r="AB50" s="9" t="n">
        <v>0</v>
      </c>
      <c r="AC50" s="7" t="n"/>
      <c r="AD50" s="9" t="n">
        <v>1426.25</v>
      </c>
      <c r="AE50" s="5" t="n">
        <v>59</v>
      </c>
      <c r="AF50" s="6" t="inlineStr">
        <is>
          <t>F4320</t>
        </is>
      </c>
      <c r="AG50" s="6" t="n"/>
      <c r="AH50" s="6" t="n"/>
      <c r="AI50" s="6" t="n"/>
      <c r="AJ50" s="5" t="n"/>
      <c r="AK50" s="6" t="inlineStr">
        <is>
          <t>SARKAR, AWNIK</t>
        </is>
      </c>
      <c r="AL50" s="6" t="inlineStr">
        <is>
          <t>ASAP - DEER VALLEY</t>
        </is>
      </c>
      <c r="AM50" s="7" t="n">
        <v>46217</v>
      </c>
      <c r="AN50" s="6" t="inlineStr">
        <is>
          <t>BH</t>
        </is>
      </c>
      <c r="AO50" s="6" t="inlineStr">
        <is>
          <t>380, 381</t>
        </is>
      </c>
    </row>
    <row r="51">
      <c r="A51" s="2" t="n"/>
      <c r="B51" s="3" t="n"/>
      <c r="C51" s="4" t="n">
        <v>46226</v>
      </c>
      <c r="D51" s="5" t="n">
        <v>561898000</v>
      </c>
      <c r="E51" s="6" t="inlineStr">
        <is>
          <t>HF329358524</t>
        </is>
      </c>
      <c r="F51" s="7" t="n">
        <v>46183</v>
      </c>
      <c r="G51" s="6" t="inlineStr">
        <is>
          <t>Medicare Part B Arizona *</t>
        </is>
      </c>
      <c r="H51" s="6" t="inlineStr">
        <is>
          <t>Medicare Part B Arizona *</t>
        </is>
      </c>
      <c r="I51" s="6" t="inlineStr">
        <is>
          <t>Blue Cross Blue Shield of Arizona (BCBS AZ)</t>
        </is>
      </c>
      <c r="J51" s="8" t="inlineStr">
        <is>
          <t>99494 x1; 99493 x1</t>
        </is>
      </c>
      <c r="K51" s="4" t="n"/>
      <c r="L51" s="5">
        <f>IF($O51="","",$O51-TODAY())</f>
        <v/>
      </c>
      <c r="M51" s="5">
        <f>IF($C51="","",$C51+365-TODAY())</f>
        <v/>
      </c>
      <c r="N51" s="5">
        <f>IF($C51="","",$C51+120-TODAY())</f>
        <v/>
      </c>
      <c r="O51" s="7" t="n">
        <v>46548</v>
      </c>
      <c r="P51" s="6" t="inlineStr">
        <is>
          <t>365 days</t>
        </is>
      </c>
      <c r="Q51" s="6" t="inlineStr">
        <is>
          <t>MEDICARE</t>
        </is>
      </c>
      <c r="R51" s="6" t="inlineStr">
        <is>
          <t>365 days</t>
        </is>
      </c>
      <c r="S51" s="6" t="inlineStr">
        <is>
          <t>Processed date</t>
        </is>
      </c>
      <c r="T51" s="6" t="inlineStr">
        <is>
          <t>120 days</t>
        </is>
      </c>
      <c r="U51" s="6" t="inlineStr">
        <is>
          <t>Processed date</t>
        </is>
      </c>
      <c r="V51" s="6" t="n"/>
      <c r="W51" s="6" t="n"/>
      <c r="X51" s="6" t="n"/>
      <c r="Y51" s="6" t="inlineStr">
        <is>
          <t>1</t>
        </is>
      </c>
      <c r="Z51" s="9" t="n">
        <v>1372.91</v>
      </c>
      <c r="AA51" s="9" t="n">
        <v>0</v>
      </c>
      <c r="AB51" s="9" t="n">
        <v>0</v>
      </c>
      <c r="AC51" s="7" t="n">
        <v>46226</v>
      </c>
      <c r="AD51" s="9" t="n">
        <v>1372.91</v>
      </c>
      <c r="AE51" s="5" t="n">
        <v>59</v>
      </c>
      <c r="AF51" s="6" t="inlineStr">
        <is>
          <t>F330</t>
        </is>
      </c>
      <c r="AG51" s="6" t="n"/>
      <c r="AH51" s="6" t="n"/>
      <c r="AI51" s="6" t="n"/>
      <c r="AJ51" s="5" t="n"/>
      <c r="AK51" s="6" t="inlineStr">
        <is>
          <t>LEATHEM, JARRETT</t>
        </is>
      </c>
      <c r="AL51" s="6" t="inlineStr">
        <is>
          <t>ASAP - Gilbert</t>
        </is>
      </c>
      <c r="AM51" s="7" t="n">
        <v>46217</v>
      </c>
      <c r="AN51" s="6" t="inlineStr">
        <is>
          <t>BH</t>
        </is>
      </c>
      <c r="AO51" s="6" t="inlineStr">
        <is>
          <t>751, 752</t>
        </is>
      </c>
    </row>
    <row r="52">
      <c r="A52" s="2" t="n"/>
      <c r="B52" s="3" t="n"/>
      <c r="C52" s="4" t="n"/>
      <c r="D52" s="5" t="n">
        <v>562153908</v>
      </c>
      <c r="E52" s="6" t="inlineStr">
        <is>
          <t>HF491787199</t>
        </is>
      </c>
      <c r="F52" s="7" t="n">
        <v>46183</v>
      </c>
      <c r="G52" s="6" t="inlineStr">
        <is>
          <t>Medicare Part B Arizona *</t>
        </is>
      </c>
      <c r="H52" s="6" t="inlineStr">
        <is>
          <t>Medicare Part B Arizona *</t>
        </is>
      </c>
      <c r="I52" s="6" t="inlineStr">
        <is>
          <t>AARP United Healthcare</t>
        </is>
      </c>
      <c r="J52" s="8" t="inlineStr">
        <is>
          <t>99492 x1; 99494 x1</t>
        </is>
      </c>
      <c r="K52" s="4" t="n"/>
      <c r="L52" s="5">
        <f>IF($O52="","",$O52-TODAY())</f>
        <v/>
      </c>
      <c r="M52" s="5">
        <f>IF($C52="","",$C52+365-TODAY())</f>
        <v/>
      </c>
      <c r="N52" s="5">
        <f>IF($C52="","",$C52+120-TODAY())</f>
        <v/>
      </c>
      <c r="O52" s="7" t="n">
        <v>46548</v>
      </c>
      <c r="P52" s="6" t="inlineStr">
        <is>
          <t>365 days</t>
        </is>
      </c>
      <c r="Q52" s="6" t="inlineStr">
        <is>
          <t>MEDICARE</t>
        </is>
      </c>
      <c r="R52" s="6" t="inlineStr">
        <is>
          <t>365 days</t>
        </is>
      </c>
      <c r="S52" s="6" t="inlineStr">
        <is>
          <t>Processed date</t>
        </is>
      </c>
      <c r="T52" s="6" t="inlineStr">
        <is>
          <t>120 days</t>
        </is>
      </c>
      <c r="U52" s="6" t="inlineStr">
        <is>
          <t>Processed date</t>
        </is>
      </c>
      <c r="V52" s="6" t="n"/>
      <c r="W52" s="6" t="n"/>
      <c r="X52" s="6" t="n"/>
      <c r="Y52" s="6" t="inlineStr">
        <is>
          <t>1</t>
        </is>
      </c>
      <c r="Z52" s="9" t="n">
        <v>1426.25</v>
      </c>
      <c r="AA52" s="9" t="n">
        <v>0</v>
      </c>
      <c r="AB52" s="9" t="n">
        <v>0</v>
      </c>
      <c r="AC52" s="7" t="n"/>
      <c r="AD52" s="9" t="n">
        <v>1426.25</v>
      </c>
      <c r="AE52" s="5" t="n">
        <v>59</v>
      </c>
      <c r="AF52" s="6" t="inlineStr">
        <is>
          <t>F4320</t>
        </is>
      </c>
      <c r="AG52" s="6" t="n"/>
      <c r="AH52" s="6" t="n"/>
      <c r="AI52" s="6" t="n"/>
      <c r="AJ52" s="5" t="n"/>
      <c r="AK52" s="6" t="inlineStr">
        <is>
          <t>SARKAR, AWNIK</t>
        </is>
      </c>
      <c r="AL52" s="6" t="inlineStr">
        <is>
          <t>ASAP - DEER VALLEY</t>
        </is>
      </c>
      <c r="AM52" s="7" t="n">
        <v>46217</v>
      </c>
      <c r="AN52" s="6" t="inlineStr">
        <is>
          <t>BH</t>
        </is>
      </c>
      <c r="AO52" s="6" t="inlineStr">
        <is>
          <t>1052, 1053</t>
        </is>
      </c>
    </row>
    <row r="53">
      <c r="A53" s="2" t="n"/>
      <c r="B53" s="3" t="n"/>
      <c r="C53" s="4" t="n"/>
      <c r="D53" s="5" t="n">
        <v>562170426</v>
      </c>
      <c r="E53" s="6" t="inlineStr">
        <is>
          <t>HF466876535</t>
        </is>
      </c>
      <c r="F53" s="7" t="n">
        <v>46183</v>
      </c>
      <c r="G53" s="6" t="inlineStr">
        <is>
          <t>Medicare Part B Arizona *</t>
        </is>
      </c>
      <c r="H53" s="6" t="inlineStr">
        <is>
          <t>Medicare Part B Arizona *</t>
        </is>
      </c>
      <c r="I53" s="6" t="inlineStr">
        <is>
          <t>AARP United Healthcare</t>
        </is>
      </c>
      <c r="J53" s="8" t="inlineStr">
        <is>
          <t>99493 x1; 99494 x1</t>
        </is>
      </c>
      <c r="K53" s="4" t="n"/>
      <c r="L53" s="5">
        <f>IF($O53="","",$O53-TODAY())</f>
        <v/>
      </c>
      <c r="M53" s="5">
        <f>IF($C53="","",$C53+365-TODAY())</f>
        <v/>
      </c>
      <c r="N53" s="5">
        <f>IF($C53="","",$C53+120-TODAY())</f>
        <v/>
      </c>
      <c r="O53" s="7" t="n">
        <v>46548</v>
      </c>
      <c r="P53" s="6" t="inlineStr">
        <is>
          <t>365 days</t>
        </is>
      </c>
      <c r="Q53" s="6" t="inlineStr">
        <is>
          <t>MEDICARE</t>
        </is>
      </c>
      <c r="R53" s="6" t="inlineStr">
        <is>
          <t>365 days</t>
        </is>
      </c>
      <c r="S53" s="6" t="inlineStr">
        <is>
          <t>Processed date</t>
        </is>
      </c>
      <c r="T53" s="6" t="inlineStr">
        <is>
          <t>120 days</t>
        </is>
      </c>
      <c r="U53" s="6" t="inlineStr">
        <is>
          <t>Processed date</t>
        </is>
      </c>
      <c r="V53" s="6" t="n"/>
      <c r="W53" s="6" t="n"/>
      <c r="X53" s="6" t="n"/>
      <c r="Y53" s="6" t="inlineStr">
        <is>
          <t>1</t>
        </is>
      </c>
      <c r="Z53" s="9" t="n">
        <v>1372.91</v>
      </c>
      <c r="AA53" s="9" t="n">
        <v>0</v>
      </c>
      <c r="AB53" s="9" t="n">
        <v>0</v>
      </c>
      <c r="AC53" s="7" t="n"/>
      <c r="AD53" s="9" t="n">
        <v>1372.91</v>
      </c>
      <c r="AE53" s="5" t="n">
        <v>59</v>
      </c>
      <c r="AF53" s="6" t="inlineStr">
        <is>
          <t>F4320</t>
        </is>
      </c>
      <c r="AG53" s="6" t="n"/>
      <c r="AH53" s="6" t="n"/>
      <c r="AI53" s="6" t="n"/>
      <c r="AJ53" s="5" t="n"/>
      <c r="AK53" s="6" t="inlineStr">
        <is>
          <t>LEATHEM, JARRETT</t>
        </is>
      </c>
      <c r="AL53" s="6" t="inlineStr">
        <is>
          <t>ASAP - DEER VALLEY</t>
        </is>
      </c>
      <c r="AM53" s="7" t="n">
        <v>46217</v>
      </c>
      <c r="AN53" s="6" t="inlineStr">
        <is>
          <t>BH</t>
        </is>
      </c>
      <c r="AO53" s="6" t="inlineStr">
        <is>
          <t>413, 414</t>
        </is>
      </c>
    </row>
    <row r="54">
      <c r="A54" s="2" t="n"/>
      <c r="B54" s="3" t="n"/>
      <c r="C54" s="4" t="n"/>
      <c r="D54" s="5" t="n">
        <v>562154385</v>
      </c>
      <c r="E54" s="6" t="inlineStr">
        <is>
          <t>HF497761457</t>
        </is>
      </c>
      <c r="F54" s="7" t="n">
        <v>46184</v>
      </c>
      <c r="G54" s="6" t="inlineStr">
        <is>
          <t>Medicare Part B Arizona *</t>
        </is>
      </c>
      <c r="H54" s="6" t="inlineStr">
        <is>
          <t>Medicare Part B Arizona *</t>
        </is>
      </c>
      <c r="I54" s="6" t="inlineStr">
        <is>
          <t>AARP United Healthcare</t>
        </is>
      </c>
      <c r="J54" s="8" t="inlineStr">
        <is>
          <t>99492 x1; 99494 x1</t>
        </is>
      </c>
      <c r="K54" s="4" t="n"/>
      <c r="L54" s="5">
        <f>IF($O54="","",$O54-TODAY())</f>
        <v/>
      </c>
      <c r="M54" s="5">
        <f>IF($C54="","",$C54+365-TODAY())</f>
        <v/>
      </c>
      <c r="N54" s="5">
        <f>IF($C54="","",$C54+120-TODAY())</f>
        <v/>
      </c>
      <c r="O54" s="7" t="n">
        <v>46549</v>
      </c>
      <c r="P54" s="6" t="inlineStr">
        <is>
          <t>365 days</t>
        </is>
      </c>
      <c r="Q54" s="6" t="inlineStr">
        <is>
          <t>MEDICARE</t>
        </is>
      </c>
      <c r="R54" s="6" t="inlineStr">
        <is>
          <t>365 days</t>
        </is>
      </c>
      <c r="S54" s="6" t="inlineStr">
        <is>
          <t>Processed date</t>
        </is>
      </c>
      <c r="T54" s="6" t="inlineStr">
        <is>
          <t>120 days</t>
        </is>
      </c>
      <c r="U54" s="6" t="inlineStr">
        <is>
          <t>Processed date</t>
        </is>
      </c>
      <c r="V54" s="6" t="n"/>
      <c r="W54" s="6" t="n"/>
      <c r="X54" s="6" t="n"/>
      <c r="Y54" s="6" t="inlineStr">
        <is>
          <t>1</t>
        </is>
      </c>
      <c r="Z54" s="9" t="n">
        <v>1426.25</v>
      </c>
      <c r="AA54" s="9" t="n">
        <v>0</v>
      </c>
      <c r="AB54" s="9" t="n">
        <v>0</v>
      </c>
      <c r="AC54" s="7" t="n"/>
      <c r="AD54" s="9" t="n">
        <v>1426.25</v>
      </c>
      <c r="AE54" s="5" t="n">
        <v>58</v>
      </c>
      <c r="AF54" s="6" t="inlineStr">
        <is>
          <t>F4320</t>
        </is>
      </c>
      <c r="AG54" s="6" t="n"/>
      <c r="AH54" s="6" t="n"/>
      <c r="AI54" s="6" t="n"/>
      <c r="AJ54" s="5" t="n"/>
      <c r="AK54" s="6" t="inlineStr">
        <is>
          <t>LEATHEM, JARRETT</t>
        </is>
      </c>
      <c r="AL54" s="6" t="inlineStr">
        <is>
          <t>ASAP - DEER VALLEY</t>
        </is>
      </c>
      <c r="AM54" s="7" t="n">
        <v>46217</v>
      </c>
      <c r="AN54" s="6" t="inlineStr">
        <is>
          <t>BH</t>
        </is>
      </c>
      <c r="AO54" s="6" t="inlineStr">
        <is>
          <t>1079, 1080</t>
        </is>
      </c>
    </row>
    <row r="55">
      <c r="A55" s="2" t="n"/>
      <c r="B55" s="3" t="n"/>
      <c r="C55" s="4" t="n"/>
      <c r="D55" s="5" t="n">
        <v>562638258</v>
      </c>
      <c r="E55" s="6" t="inlineStr">
        <is>
          <t>HF331215534</t>
        </is>
      </c>
      <c r="F55" s="7" t="n">
        <v>46190</v>
      </c>
      <c r="G55" s="6" t="inlineStr">
        <is>
          <t>Medicare Part B Arizona *</t>
        </is>
      </c>
      <c r="H55" s="6" t="inlineStr">
        <is>
          <t>Medicare Part B Arizona *</t>
        </is>
      </c>
      <c r="I55" s="6" t="inlineStr">
        <is>
          <t>Aetna Senior Supplemental (AESSI) - Secondary Only 62118</t>
        </is>
      </c>
      <c r="J55" s="8" t="inlineStr">
        <is>
          <t>99492 x1; 99494 x1</t>
        </is>
      </c>
      <c r="K55" s="4" t="n"/>
      <c r="L55" s="5">
        <f>IF($O55="","",$O55-TODAY())</f>
        <v/>
      </c>
      <c r="M55" s="5">
        <f>IF($C55="","",$C55+365-TODAY())</f>
        <v/>
      </c>
      <c r="N55" s="5">
        <f>IF($C55="","",$C55+120-TODAY())</f>
        <v/>
      </c>
      <c r="O55" s="7" t="n">
        <v>46555</v>
      </c>
      <c r="P55" s="6" t="inlineStr">
        <is>
          <t>365 days</t>
        </is>
      </c>
      <c r="Q55" s="6" t="inlineStr">
        <is>
          <t>MEDICARE</t>
        </is>
      </c>
      <c r="R55" s="6" t="inlineStr">
        <is>
          <t>365 days</t>
        </is>
      </c>
      <c r="S55" s="6" t="inlineStr">
        <is>
          <t>Processed date</t>
        </is>
      </c>
      <c r="T55" s="6" t="inlineStr">
        <is>
          <t>120 days</t>
        </is>
      </c>
      <c r="U55" s="6" t="inlineStr">
        <is>
          <t>Processed date</t>
        </is>
      </c>
      <c r="V55" s="6" t="n"/>
      <c r="W55" s="6" t="n"/>
      <c r="X55" s="6" t="n"/>
      <c r="Y55" s="6" t="inlineStr">
        <is>
          <t>1</t>
        </is>
      </c>
      <c r="Z55" s="9" t="n">
        <v>1426.25</v>
      </c>
      <c r="AA55" s="9" t="n">
        <v>0</v>
      </c>
      <c r="AB55" s="9" t="n">
        <v>0</v>
      </c>
      <c r="AC55" s="7" t="n"/>
      <c r="AD55" s="9" t="n">
        <v>1426.25</v>
      </c>
      <c r="AE55" s="5" t="n">
        <v>52</v>
      </c>
      <c r="AF55" s="6" t="inlineStr">
        <is>
          <t>F1190</t>
        </is>
      </c>
      <c r="AG55" s="6" t="n"/>
      <c r="AH55" s="6" t="n"/>
      <c r="AI55" s="6" t="n"/>
      <c r="AJ55" s="5" t="n"/>
      <c r="AK55" s="6" t="inlineStr">
        <is>
          <t>LEATHEM, JARRETT</t>
        </is>
      </c>
      <c r="AL55" s="6" t="inlineStr">
        <is>
          <t>ASAP - Gilbert</t>
        </is>
      </c>
      <c r="AM55" s="7" t="n">
        <v>46217</v>
      </c>
      <c r="AN55" s="6" t="inlineStr">
        <is>
          <t>BH</t>
        </is>
      </c>
      <c r="AO55" s="6" t="inlineStr">
        <is>
          <t>240, 241</t>
        </is>
      </c>
    </row>
    <row r="56">
      <c r="A56" s="2" t="n"/>
      <c r="B56" s="3" t="n"/>
      <c r="C56" s="4" t="n"/>
      <c r="D56" s="5" t="n">
        <v>562876619</v>
      </c>
      <c r="E56" s="6" t="inlineStr">
        <is>
          <t>HF390397148</t>
        </is>
      </c>
      <c r="F56" s="7" t="n">
        <v>46191</v>
      </c>
      <c r="G56" s="6" t="inlineStr">
        <is>
          <t>Medicare Part B Arizona *</t>
        </is>
      </c>
      <c r="H56" s="6" t="inlineStr">
        <is>
          <t>Medicare Part B Arizona *</t>
        </is>
      </c>
      <c r="I56" s="6" t="inlineStr">
        <is>
          <t>No Payer</t>
        </is>
      </c>
      <c r="J56" s="8" t="inlineStr">
        <is>
          <t>99494 x1; 99493 x1</t>
        </is>
      </c>
      <c r="K56" s="4" t="n"/>
      <c r="L56" s="5">
        <f>IF($O56="","",$O56-TODAY())</f>
        <v/>
      </c>
      <c r="M56" s="5">
        <f>IF($C56="","",$C56+365-TODAY())</f>
        <v/>
      </c>
      <c r="N56" s="5">
        <f>IF($C56="","",$C56+120-TODAY())</f>
        <v/>
      </c>
      <c r="O56" s="7" t="n">
        <v>46556</v>
      </c>
      <c r="P56" s="6" t="inlineStr">
        <is>
          <t>365 days</t>
        </is>
      </c>
      <c r="Q56" s="6" t="inlineStr">
        <is>
          <t>MEDICARE</t>
        </is>
      </c>
      <c r="R56" s="6" t="inlineStr">
        <is>
          <t>365 days</t>
        </is>
      </c>
      <c r="S56" s="6" t="inlineStr">
        <is>
          <t>Processed date</t>
        </is>
      </c>
      <c r="T56" s="6" t="inlineStr">
        <is>
          <t>120 days</t>
        </is>
      </c>
      <c r="U56" s="6" t="inlineStr">
        <is>
          <t>Processed date</t>
        </is>
      </c>
      <c r="V56" s="6" t="n"/>
      <c r="W56" s="6" t="n"/>
      <c r="X56" s="6" t="n"/>
      <c r="Y56" s="6" t="inlineStr">
        <is>
          <t>1</t>
        </is>
      </c>
      <c r="Z56" s="9" t="n">
        <v>1372.91</v>
      </c>
      <c r="AA56" s="9" t="n">
        <v>0</v>
      </c>
      <c r="AB56" s="9" t="n">
        <v>0</v>
      </c>
      <c r="AC56" s="7" t="n"/>
      <c r="AD56" s="9" t="n">
        <v>1372.91</v>
      </c>
      <c r="AE56" s="5" t="n">
        <v>51</v>
      </c>
      <c r="AF56" s="6" t="inlineStr">
        <is>
          <t>F419</t>
        </is>
      </c>
      <c r="AG56" s="6" t="n"/>
      <c r="AH56" s="6" t="n"/>
      <c r="AI56" s="6" t="n"/>
      <c r="AJ56" s="5" t="n"/>
      <c r="AK56" s="6" t="inlineStr">
        <is>
          <t>TURLEY, TODD</t>
        </is>
      </c>
      <c r="AL56" s="6" t="inlineStr">
        <is>
          <t>ASAP - DEER VALLEY</t>
        </is>
      </c>
      <c r="AM56" s="7" t="n">
        <v>46217</v>
      </c>
      <c r="AN56" s="6" t="inlineStr">
        <is>
          <t>BH</t>
        </is>
      </c>
      <c r="AO56" s="6" t="inlineStr">
        <is>
          <t>221, 222</t>
        </is>
      </c>
    </row>
    <row r="57">
      <c r="A57" s="2" t="n"/>
      <c r="B57" s="3" t="n"/>
      <c r="C57" s="4" t="n">
        <v>46225</v>
      </c>
      <c r="D57" s="5" t="n">
        <v>562843131</v>
      </c>
      <c r="E57" s="6" t="inlineStr">
        <is>
          <t>HF331440491</t>
        </is>
      </c>
      <c r="F57" s="7" t="n">
        <v>46192</v>
      </c>
      <c r="G57" s="6" t="inlineStr">
        <is>
          <t>Medicare Part B Arizona *</t>
        </is>
      </c>
      <c r="H57" s="6" t="inlineStr">
        <is>
          <t>Medicare Part B Arizona *</t>
        </is>
      </c>
      <c r="I57" s="6" t="inlineStr">
        <is>
          <t>Physicians Mutual Insurance Company - ENS</t>
        </is>
      </c>
      <c r="J57" s="8" t="inlineStr">
        <is>
          <t>99494 x1; 99493 x1</t>
        </is>
      </c>
      <c r="K57" s="4" t="n"/>
      <c r="L57" s="5">
        <f>IF($O57="","",$O57-TODAY())</f>
        <v/>
      </c>
      <c r="M57" s="5">
        <f>IF($C57="","",$C57+365-TODAY())</f>
        <v/>
      </c>
      <c r="N57" s="5">
        <f>IF($C57="","",$C57+120-TODAY())</f>
        <v/>
      </c>
      <c r="O57" s="7" t="n">
        <v>46557</v>
      </c>
      <c r="P57" s="6" t="inlineStr">
        <is>
          <t>365 days</t>
        </is>
      </c>
      <c r="Q57" s="6" t="inlineStr">
        <is>
          <t>MEDICARE</t>
        </is>
      </c>
      <c r="R57" s="6" t="inlineStr">
        <is>
          <t>365 days</t>
        </is>
      </c>
      <c r="S57" s="6" t="inlineStr">
        <is>
          <t>Processed date</t>
        </is>
      </c>
      <c r="T57" s="6" t="inlineStr">
        <is>
          <t>120 days</t>
        </is>
      </c>
      <c r="U57" s="6" t="inlineStr">
        <is>
          <t>Processed date</t>
        </is>
      </c>
      <c r="V57" s="6" t="n"/>
      <c r="W57" s="6" t="n"/>
      <c r="X57" s="6" t="n"/>
      <c r="Y57" s="6" t="inlineStr">
        <is>
          <t>1</t>
        </is>
      </c>
      <c r="Z57" s="9" t="n">
        <v>1372.91</v>
      </c>
      <c r="AA57" s="9" t="n">
        <v>0</v>
      </c>
      <c r="AB57" s="9" t="n">
        <v>0</v>
      </c>
      <c r="AC57" s="7" t="n">
        <v>46225</v>
      </c>
      <c r="AD57" s="9" t="n">
        <v>1372.91</v>
      </c>
      <c r="AE57" s="5" t="n">
        <v>50</v>
      </c>
      <c r="AF57" s="6" t="inlineStr">
        <is>
          <t>F1190</t>
        </is>
      </c>
      <c r="AG57" s="6" t="n"/>
      <c r="AH57" s="6" t="n"/>
      <c r="AI57" s="6" t="n"/>
      <c r="AJ57" s="5" t="n"/>
      <c r="AK57" s="6" t="inlineStr">
        <is>
          <t>BURGHER, ABRAM</t>
        </is>
      </c>
      <c r="AL57" s="6" t="inlineStr">
        <is>
          <t>ASAP - Gilbert</t>
        </is>
      </c>
      <c r="AM57" s="7" t="n">
        <v>46217</v>
      </c>
      <c r="AN57" s="6" t="inlineStr">
        <is>
          <t>BH</t>
        </is>
      </c>
      <c r="AO57" s="6" t="inlineStr">
        <is>
          <t>474, 475</t>
        </is>
      </c>
    </row>
    <row r="58">
      <c r="A58" s="2" t="n"/>
      <c r="B58" s="3" t="n"/>
      <c r="C58" s="4" t="n">
        <v>46225</v>
      </c>
      <c r="D58" s="5" t="n">
        <v>562855744</v>
      </c>
      <c r="E58" s="6" t="inlineStr">
        <is>
          <t>HF514978991</t>
        </is>
      </c>
      <c r="F58" s="7" t="n">
        <v>46192</v>
      </c>
      <c r="G58" s="6" t="inlineStr">
        <is>
          <t>Medicare Part B Arizona *</t>
        </is>
      </c>
      <c r="H58" s="6" t="inlineStr">
        <is>
          <t>Medicare Part B Arizona *</t>
        </is>
      </c>
      <c r="I58" s="6" t="inlineStr">
        <is>
          <t>Bankers Life Colonial Penn Life</t>
        </is>
      </c>
      <c r="J58" s="8" t="inlineStr">
        <is>
          <t>99493 x1; 99494 x1</t>
        </is>
      </c>
      <c r="K58" s="4" t="n"/>
      <c r="L58" s="5">
        <f>IF($O58="","",$O58-TODAY())</f>
        <v/>
      </c>
      <c r="M58" s="5">
        <f>IF($C58="","",$C58+365-TODAY())</f>
        <v/>
      </c>
      <c r="N58" s="5">
        <f>IF($C58="","",$C58+120-TODAY())</f>
        <v/>
      </c>
      <c r="O58" s="7" t="n">
        <v>46557</v>
      </c>
      <c r="P58" s="6" t="inlineStr">
        <is>
          <t>365 days</t>
        </is>
      </c>
      <c r="Q58" s="6" t="inlineStr">
        <is>
          <t>MEDICARE</t>
        </is>
      </c>
      <c r="R58" s="6" t="inlineStr">
        <is>
          <t>365 days</t>
        </is>
      </c>
      <c r="S58" s="6" t="inlineStr">
        <is>
          <t>Processed date</t>
        </is>
      </c>
      <c r="T58" s="6" t="inlineStr">
        <is>
          <t>120 days</t>
        </is>
      </c>
      <c r="U58" s="6" t="inlineStr">
        <is>
          <t>Processed date</t>
        </is>
      </c>
      <c r="V58" s="6" t="n"/>
      <c r="W58" s="6" t="n"/>
      <c r="X58" s="6" t="n"/>
      <c r="Y58" s="6" t="inlineStr">
        <is>
          <t>1</t>
        </is>
      </c>
      <c r="Z58" s="9" t="n">
        <v>1372.91</v>
      </c>
      <c r="AA58" s="9" t="n">
        <v>0</v>
      </c>
      <c r="AB58" s="9" t="n">
        <v>0</v>
      </c>
      <c r="AC58" s="7" t="n">
        <v>46225</v>
      </c>
      <c r="AD58" s="9" t="n">
        <v>1372.91</v>
      </c>
      <c r="AE58" s="5" t="n">
        <v>50</v>
      </c>
      <c r="AF58" s="6" t="inlineStr">
        <is>
          <t>F330</t>
        </is>
      </c>
      <c r="AG58" s="6" t="n"/>
      <c r="AH58" s="6" t="n"/>
      <c r="AI58" s="6" t="n"/>
      <c r="AJ58" s="5" t="n"/>
      <c r="AK58" s="6" t="inlineStr">
        <is>
          <t>LEATHEM, JARRETT</t>
        </is>
      </c>
      <c r="AL58" s="6" t="inlineStr">
        <is>
          <t>ASAP - Gilbert</t>
        </is>
      </c>
      <c r="AM58" s="7" t="n">
        <v>46217</v>
      </c>
      <c r="AN58" s="6" t="inlineStr">
        <is>
          <t>BH</t>
        </is>
      </c>
      <c r="AO58" s="6" t="inlineStr">
        <is>
          <t>476, 477</t>
        </is>
      </c>
    </row>
    <row r="59">
      <c r="A59" s="2" t="n"/>
      <c r="B59" s="3" t="n"/>
      <c r="C59" s="4" t="n"/>
      <c r="D59" s="5" t="n">
        <v>562899634</v>
      </c>
      <c r="E59" s="6" t="inlineStr">
        <is>
          <t>HF528650589</t>
        </is>
      </c>
      <c r="F59" s="7" t="n">
        <v>46192</v>
      </c>
      <c r="G59" s="6" t="inlineStr">
        <is>
          <t>Medicare Part B Arizona *</t>
        </is>
      </c>
      <c r="H59" s="6" t="inlineStr">
        <is>
          <t>Medicare Part B Arizona *</t>
        </is>
      </c>
      <c r="I59" s="6" t="inlineStr">
        <is>
          <t>Blue Cross Blue Shield of Arizona (BCBS AZ)</t>
        </is>
      </c>
      <c r="J59" s="8" t="inlineStr">
        <is>
          <t>99492 x1</t>
        </is>
      </c>
      <c r="K59" s="4" t="n"/>
      <c r="L59" s="5">
        <f>IF($O59="","",$O59-TODAY())</f>
        <v/>
      </c>
      <c r="M59" s="5">
        <f>IF($C59="","",$C59+365-TODAY())</f>
        <v/>
      </c>
      <c r="N59" s="5">
        <f>IF($C59="","",$C59+120-TODAY())</f>
        <v/>
      </c>
      <c r="O59" s="7" t="n">
        <v>46557</v>
      </c>
      <c r="P59" s="6" t="inlineStr">
        <is>
          <t>365 days</t>
        </is>
      </c>
      <c r="Q59" s="6" t="inlineStr">
        <is>
          <t>MEDICARE</t>
        </is>
      </c>
      <c r="R59" s="6" t="inlineStr">
        <is>
          <t>365 days</t>
        </is>
      </c>
      <c r="S59" s="6" t="inlineStr">
        <is>
          <t>Processed date</t>
        </is>
      </c>
      <c r="T59" s="6" t="inlineStr">
        <is>
          <t>120 days</t>
        </is>
      </c>
      <c r="U59" s="6" t="inlineStr">
        <is>
          <t>Processed date</t>
        </is>
      </c>
      <c r="V59" s="6" t="n"/>
      <c r="W59" s="6" t="n"/>
      <c r="X59" s="6" t="n"/>
      <c r="Y59" s="6" t="inlineStr">
        <is>
          <t>1</t>
        </is>
      </c>
      <c r="Z59" s="9" t="n">
        <v>1029.98</v>
      </c>
      <c r="AA59" s="9" t="n">
        <v>0</v>
      </c>
      <c r="AB59" s="9" t="n">
        <v>0</v>
      </c>
      <c r="AC59" s="7" t="n"/>
      <c r="AD59" s="9" t="n">
        <v>1029.98</v>
      </c>
      <c r="AE59" s="5" t="n">
        <v>50</v>
      </c>
      <c r="AF59" s="6" t="inlineStr">
        <is>
          <t>F39</t>
        </is>
      </c>
      <c r="AG59" s="6" t="n"/>
      <c r="AH59" s="6" t="n"/>
      <c r="AI59" s="6" t="n"/>
      <c r="AJ59" s="5" t="n"/>
      <c r="AK59" s="6" t="inlineStr">
        <is>
          <t>LEATHEM, JARRETT</t>
        </is>
      </c>
      <c r="AL59" s="6" t="inlineStr">
        <is>
          <t>ASAP - Gilbert</t>
        </is>
      </c>
      <c r="AM59" s="7" t="n">
        <v>46217</v>
      </c>
      <c r="AN59" s="6" t="inlineStr">
        <is>
          <t>BH</t>
        </is>
      </c>
      <c r="AO59" s="6" t="inlineStr">
        <is>
          <t>425</t>
        </is>
      </c>
    </row>
    <row r="60">
      <c r="A60" s="2" t="n"/>
      <c r="B60" s="3" t="n"/>
      <c r="C60" s="4" t="n"/>
      <c r="D60" s="5" t="n">
        <v>563575549</v>
      </c>
      <c r="E60" s="6" t="inlineStr">
        <is>
          <t>HF491042482</t>
        </is>
      </c>
      <c r="F60" s="7" t="n">
        <v>46192</v>
      </c>
      <c r="G60" s="6" t="inlineStr">
        <is>
          <t>Medicare Part B Arizona *</t>
        </is>
      </c>
      <c r="H60" s="6" t="inlineStr">
        <is>
          <t>Medicare Part B Arizona *</t>
        </is>
      </c>
      <c r="I60" s="6" t="inlineStr">
        <is>
          <t>Blue Cross Blue Shield of Arizona (BCBS AZ)</t>
        </is>
      </c>
      <c r="J60" s="8" t="inlineStr">
        <is>
          <t>99494 x1; 99493 x1</t>
        </is>
      </c>
      <c r="K60" s="4" t="n"/>
      <c r="L60" s="5">
        <f>IF($O60="","",$O60-TODAY())</f>
        <v/>
      </c>
      <c r="M60" s="5">
        <f>IF($C60="","",$C60+365-TODAY())</f>
        <v/>
      </c>
      <c r="N60" s="5">
        <f>IF($C60="","",$C60+120-TODAY())</f>
        <v/>
      </c>
      <c r="O60" s="7" t="n">
        <v>46557</v>
      </c>
      <c r="P60" s="6" t="inlineStr">
        <is>
          <t>365 days</t>
        </is>
      </c>
      <c r="Q60" s="6" t="inlineStr">
        <is>
          <t>MEDICARE</t>
        </is>
      </c>
      <c r="R60" s="6" t="inlineStr">
        <is>
          <t>365 days</t>
        </is>
      </c>
      <c r="S60" s="6" t="inlineStr">
        <is>
          <t>Processed date</t>
        </is>
      </c>
      <c r="T60" s="6" t="inlineStr">
        <is>
          <t>120 days</t>
        </is>
      </c>
      <c r="U60" s="6" t="inlineStr">
        <is>
          <t>Processed date</t>
        </is>
      </c>
      <c r="V60" s="6" t="n"/>
      <c r="W60" s="6" t="n"/>
      <c r="X60" s="6" t="n"/>
      <c r="Y60" s="6" t="inlineStr">
        <is>
          <t>1</t>
        </is>
      </c>
      <c r="Z60" s="9" t="n">
        <v>1372.91</v>
      </c>
      <c r="AA60" s="9" t="n">
        <v>0</v>
      </c>
      <c r="AB60" s="9" t="n">
        <v>0</v>
      </c>
      <c r="AC60" s="7" t="n"/>
      <c r="AD60" s="9" t="n">
        <v>1372.91</v>
      </c>
      <c r="AE60" s="5" t="n">
        <v>50</v>
      </c>
      <c r="AF60" s="6" t="inlineStr">
        <is>
          <t>F1190</t>
        </is>
      </c>
      <c r="AG60" s="6" t="n"/>
      <c r="AH60" s="6" t="n"/>
      <c r="AI60" s="6" t="n"/>
      <c r="AJ60" s="5" t="n"/>
      <c r="AK60" s="6" t="inlineStr">
        <is>
          <t>LEATHEM, JARRETT</t>
        </is>
      </c>
      <c r="AL60" s="6" t="inlineStr">
        <is>
          <t>ASAP - Gilbert</t>
        </is>
      </c>
      <c r="AM60" s="7" t="n">
        <v>46217</v>
      </c>
      <c r="AN60" s="6" t="inlineStr">
        <is>
          <t>BH</t>
        </is>
      </c>
      <c r="AO60" s="6" t="inlineStr">
        <is>
          <t>605, 606</t>
        </is>
      </c>
    </row>
    <row r="61">
      <c r="A61" s="2" t="n"/>
      <c r="B61" s="3" t="n"/>
      <c r="C61" s="4" t="n"/>
      <c r="D61" s="5" t="n">
        <v>563156240</v>
      </c>
      <c r="E61" s="6" t="inlineStr">
        <is>
          <t>HF538325410</t>
        </is>
      </c>
      <c r="F61" s="7" t="n">
        <v>46196</v>
      </c>
      <c r="G61" s="6" t="inlineStr">
        <is>
          <t>Medicare Part B Arizona *</t>
        </is>
      </c>
      <c r="H61" s="6" t="inlineStr">
        <is>
          <t>Medicare Part B Arizona *</t>
        </is>
      </c>
      <c r="I61" s="6" t="inlineStr">
        <is>
          <t>Banner University Family Care / ACC (AHCCS Complete Care)</t>
        </is>
      </c>
      <c r="J61" s="8" t="inlineStr">
        <is>
          <t>99494 x1; 99492 x1</t>
        </is>
      </c>
      <c r="K61" s="4" t="n"/>
      <c r="L61" s="5">
        <f>IF($O61="","",$O61-TODAY())</f>
        <v/>
      </c>
      <c r="M61" s="5">
        <f>IF($C61="","",$C61+365-TODAY())</f>
        <v/>
      </c>
      <c r="N61" s="5">
        <f>IF($C61="","",$C61+120-TODAY())</f>
        <v/>
      </c>
      <c r="O61" s="7" t="n">
        <v>46561</v>
      </c>
      <c r="P61" s="6" t="inlineStr">
        <is>
          <t>365 days</t>
        </is>
      </c>
      <c r="Q61" s="6" t="inlineStr">
        <is>
          <t>MEDICARE</t>
        </is>
      </c>
      <c r="R61" s="6" t="inlineStr">
        <is>
          <t>365 days</t>
        </is>
      </c>
      <c r="S61" s="6" t="inlineStr">
        <is>
          <t>Processed date</t>
        </is>
      </c>
      <c r="T61" s="6" t="inlineStr">
        <is>
          <t>120 days</t>
        </is>
      </c>
      <c r="U61" s="6" t="inlineStr">
        <is>
          <t>Processed date</t>
        </is>
      </c>
      <c r="V61" s="6" t="n"/>
      <c r="W61" s="6" t="n"/>
      <c r="X61" s="6" t="n"/>
      <c r="Y61" s="6" t="inlineStr">
        <is>
          <t>1</t>
        </is>
      </c>
      <c r="Z61" s="9" t="n">
        <v>1426.25</v>
      </c>
      <c r="AA61" s="9" t="n">
        <v>0</v>
      </c>
      <c r="AB61" s="9" t="n">
        <v>0</v>
      </c>
      <c r="AC61" s="7" t="n"/>
      <c r="AD61" s="9" t="n">
        <v>1426.25</v>
      </c>
      <c r="AE61" s="5" t="n">
        <v>46</v>
      </c>
      <c r="AF61" s="6" t="inlineStr">
        <is>
          <t>F4320</t>
        </is>
      </c>
      <c r="AG61" s="6" t="n"/>
      <c r="AH61" s="6" t="n"/>
      <c r="AI61" s="6" t="n"/>
      <c r="AJ61" s="5" t="n"/>
      <c r="AK61" s="6" t="inlineStr">
        <is>
          <t>CURRIE, DAVID</t>
        </is>
      </c>
      <c r="AL61" s="6" t="inlineStr">
        <is>
          <t>ASAP - Avondale</t>
        </is>
      </c>
      <c r="AM61" s="7" t="n">
        <v>46219</v>
      </c>
      <c r="AN61" s="6" t="inlineStr">
        <is>
          <t>BH</t>
        </is>
      </c>
      <c r="AO61" s="6" t="inlineStr">
        <is>
          <t>409, 410</t>
        </is>
      </c>
    </row>
    <row r="62">
      <c r="A62" s="2" t="n"/>
      <c r="B62" s="3" t="n"/>
      <c r="C62" s="4" t="n"/>
      <c r="D62" s="5" t="n">
        <v>563596979</v>
      </c>
      <c r="E62" s="6" t="inlineStr">
        <is>
          <t>HF550003369</t>
        </is>
      </c>
      <c r="F62" s="7" t="n">
        <v>46197</v>
      </c>
      <c r="G62" s="6" t="inlineStr">
        <is>
          <t>United HealthCare Dual Complete</t>
        </is>
      </c>
      <c r="H62" s="6" t="inlineStr">
        <is>
          <t>United HealthCare Dual Complete</t>
        </is>
      </c>
      <c r="I62" s="6" t="inlineStr">
        <is>
          <t>Mercy Care Plan (AHCCCS) - Complete Care &amp; Long Term Care (LTC)</t>
        </is>
      </c>
      <c r="J62" s="8" t="inlineStr">
        <is>
          <t>99492 x1; 99494 x1</t>
        </is>
      </c>
      <c r="K62" s="4" t="n"/>
      <c r="L62" s="5">
        <f>IF($O62="","",$O62-TODAY())</f>
        <v/>
      </c>
      <c r="M62" s="5">
        <f>IF($C62="","",$C62+180-TODAY())</f>
        <v/>
      </c>
      <c r="N62" s="5">
        <f>IF($C62="","",$C62+365-TODAY())</f>
        <v/>
      </c>
      <c r="O62" s="7" t="n">
        <v>46562</v>
      </c>
      <c r="P62" s="6" t="inlineStr">
        <is>
          <t>365 days</t>
        </is>
      </c>
      <c r="Q62" s="6" t="inlineStr">
        <is>
          <t>UHC DUAL COMPLETE</t>
        </is>
      </c>
      <c r="R62" s="6" t="inlineStr">
        <is>
          <t>180 days</t>
        </is>
      </c>
      <c r="S62" s="6" t="inlineStr">
        <is>
          <t>Processed date</t>
        </is>
      </c>
      <c r="T62" s="6" t="inlineStr">
        <is>
          <t>365 days</t>
        </is>
      </c>
      <c r="U62" s="6" t="inlineStr">
        <is>
          <t>Processed date</t>
        </is>
      </c>
      <c r="V62" s="6" t="n"/>
      <c r="W62" s="6" t="n"/>
      <c r="X62" s="6" t="n"/>
      <c r="Y62" s="6" t="inlineStr">
        <is>
          <t>1</t>
        </is>
      </c>
      <c r="Z62" s="9" t="n">
        <v>1426.25</v>
      </c>
      <c r="AA62" s="9" t="n">
        <v>0</v>
      </c>
      <c r="AB62" s="9" t="n">
        <v>0</v>
      </c>
      <c r="AC62" s="7" t="n"/>
      <c r="AD62" s="9" t="n">
        <v>1426.25</v>
      </c>
      <c r="AE62" s="5" t="n">
        <v>45</v>
      </c>
      <c r="AF62" s="6" t="inlineStr">
        <is>
          <t>F411</t>
        </is>
      </c>
      <c r="AG62" s="6" t="inlineStr">
        <is>
          <t>F32A</t>
        </is>
      </c>
      <c r="AH62" s="6" t="n"/>
      <c r="AI62" s="6" t="n"/>
      <c r="AJ62" s="5" t="n"/>
      <c r="AK62" s="6" t="inlineStr">
        <is>
          <t>MORALES, DAVID</t>
        </is>
      </c>
      <c r="AL62" s="6" t="inlineStr">
        <is>
          <t>ASAP - DEER VALLEY</t>
        </is>
      </c>
      <c r="AM62" s="7" t="n">
        <v>46217</v>
      </c>
      <c r="AN62" s="6" t="inlineStr">
        <is>
          <t>BH</t>
        </is>
      </c>
      <c r="AO62" s="6" t="inlineStr">
        <is>
          <t>1081, 1082</t>
        </is>
      </c>
    </row>
    <row r="63">
      <c r="A63" s="2" t="n"/>
      <c r="B63" s="3" t="n"/>
      <c r="C63" s="4" t="n"/>
      <c r="D63" s="5" t="n">
        <v>563440016</v>
      </c>
      <c r="E63" s="6" t="inlineStr">
        <is>
          <t>HF548654337</t>
        </is>
      </c>
      <c r="F63" s="7" t="n">
        <v>46198</v>
      </c>
      <c r="G63" s="6" t="inlineStr">
        <is>
          <t>Medicare Part B Arizona *</t>
        </is>
      </c>
      <c r="H63" s="6" t="inlineStr">
        <is>
          <t>Medicare Part B Arizona *</t>
        </is>
      </c>
      <c r="I63" s="6" t="inlineStr">
        <is>
          <t>No Payer</t>
        </is>
      </c>
      <c r="J63" s="8" t="inlineStr">
        <is>
          <t>99492 x1; 99494 x1</t>
        </is>
      </c>
      <c r="K63" s="4" t="n"/>
      <c r="L63" s="5">
        <f>IF($O63="","",$O63-TODAY())</f>
        <v/>
      </c>
      <c r="M63" s="5">
        <f>IF($C63="","",$C63+365-TODAY())</f>
        <v/>
      </c>
      <c r="N63" s="5">
        <f>IF($C63="","",$C63+120-TODAY())</f>
        <v/>
      </c>
      <c r="O63" s="7" t="n">
        <v>46563</v>
      </c>
      <c r="P63" s="6" t="inlineStr">
        <is>
          <t>365 days</t>
        </is>
      </c>
      <c r="Q63" s="6" t="inlineStr">
        <is>
          <t>MEDICARE</t>
        </is>
      </c>
      <c r="R63" s="6" t="inlineStr">
        <is>
          <t>365 days</t>
        </is>
      </c>
      <c r="S63" s="6" t="inlineStr">
        <is>
          <t>Processed date</t>
        </is>
      </c>
      <c r="T63" s="6" t="inlineStr">
        <is>
          <t>120 days</t>
        </is>
      </c>
      <c r="U63" s="6" t="inlineStr">
        <is>
          <t>Processed date</t>
        </is>
      </c>
      <c r="V63" s="6" t="n"/>
      <c r="W63" s="6" t="n"/>
      <c r="X63" s="6" t="n"/>
      <c r="Y63" s="6" t="inlineStr">
        <is>
          <t>1</t>
        </is>
      </c>
      <c r="Z63" s="9" t="n">
        <v>1426.25</v>
      </c>
      <c r="AA63" s="9" t="n">
        <v>0</v>
      </c>
      <c r="AB63" s="9" t="n">
        <v>0</v>
      </c>
      <c r="AC63" s="7" t="n"/>
      <c r="AD63" s="9" t="n">
        <v>1426.25</v>
      </c>
      <c r="AE63" s="5" t="n">
        <v>44</v>
      </c>
      <c r="AF63" s="6" t="inlineStr">
        <is>
          <t>F4320</t>
        </is>
      </c>
      <c r="AG63" s="6" t="n"/>
      <c r="AH63" s="6" t="n"/>
      <c r="AI63" s="6" t="n"/>
      <c r="AJ63" s="5" t="n"/>
      <c r="AK63" s="6" t="inlineStr">
        <is>
          <t>O'NEIL, ROY</t>
        </is>
      </c>
      <c r="AL63" s="6" t="inlineStr">
        <is>
          <t>ASAP - Avondale</t>
        </is>
      </c>
      <c r="AM63" s="7" t="n">
        <v>46217</v>
      </c>
      <c r="AN63" s="6" t="inlineStr">
        <is>
          <t>BH</t>
        </is>
      </c>
      <c r="AO63" s="6" t="inlineStr">
        <is>
          <t>926, 927</t>
        </is>
      </c>
    </row>
    <row r="64">
      <c r="A64" s="2" t="n"/>
      <c r="B64" s="3" t="n"/>
      <c r="C64" s="4" t="n"/>
      <c r="D64" s="5" t="n">
        <v>563554436</v>
      </c>
      <c r="E64" s="6" t="inlineStr">
        <is>
          <t>HF541437694</t>
        </is>
      </c>
      <c r="F64" s="7" t="n">
        <v>46199</v>
      </c>
      <c r="G64" s="6" t="inlineStr">
        <is>
          <t>Medicare Part B Arizona *</t>
        </is>
      </c>
      <c r="H64" s="6" t="inlineStr">
        <is>
          <t>Medicare Part B Arizona *</t>
        </is>
      </c>
      <c r="I64" s="6" t="inlineStr">
        <is>
          <t>No Payer</t>
        </is>
      </c>
      <c r="J64" s="8" t="inlineStr">
        <is>
          <t>99494 x1; 99492 x1</t>
        </is>
      </c>
      <c r="K64" s="4" t="n"/>
      <c r="L64" s="5">
        <f>IF($O64="","",$O64-TODAY())</f>
        <v/>
      </c>
      <c r="M64" s="5">
        <f>IF($C64="","",$C64+365-TODAY())</f>
        <v/>
      </c>
      <c r="N64" s="5">
        <f>IF($C64="","",$C64+120-TODAY())</f>
        <v/>
      </c>
      <c r="O64" s="7" t="n">
        <v>46564</v>
      </c>
      <c r="P64" s="6" t="inlineStr">
        <is>
          <t>365 days</t>
        </is>
      </c>
      <c r="Q64" s="6" t="inlineStr">
        <is>
          <t>MEDICARE</t>
        </is>
      </c>
      <c r="R64" s="6" t="inlineStr">
        <is>
          <t>365 days</t>
        </is>
      </c>
      <c r="S64" s="6" t="inlineStr">
        <is>
          <t>Processed date</t>
        </is>
      </c>
      <c r="T64" s="6" t="inlineStr">
        <is>
          <t>120 days</t>
        </is>
      </c>
      <c r="U64" s="6" t="inlineStr">
        <is>
          <t>Processed date</t>
        </is>
      </c>
      <c r="V64" s="6" t="n"/>
      <c r="W64" s="6" t="n"/>
      <c r="X64" s="6" t="n"/>
      <c r="Y64" s="6" t="inlineStr">
        <is>
          <t>1</t>
        </is>
      </c>
      <c r="Z64" s="9" t="n">
        <v>1426.25</v>
      </c>
      <c r="AA64" s="9" t="n">
        <v>0</v>
      </c>
      <c r="AB64" s="9" t="n">
        <v>0</v>
      </c>
      <c r="AC64" s="7" t="n"/>
      <c r="AD64" s="9" t="n">
        <v>1426.25</v>
      </c>
      <c r="AE64" s="5" t="n">
        <v>43</v>
      </c>
      <c r="AF64" s="6" t="inlineStr">
        <is>
          <t>F4320</t>
        </is>
      </c>
      <c r="AG64" s="6" t="n"/>
      <c r="AH64" s="6" t="n"/>
      <c r="AI64" s="6" t="n"/>
      <c r="AJ64" s="5" t="n"/>
      <c r="AK64" s="6" t="inlineStr">
        <is>
          <t>CURRIE, DAVID</t>
        </is>
      </c>
      <c r="AL64" s="6" t="inlineStr">
        <is>
          <t>ASAP - Surprise - Reems</t>
        </is>
      </c>
      <c r="AM64" s="7" t="n">
        <v>46217</v>
      </c>
      <c r="AN64" s="6" t="inlineStr">
        <is>
          <t>BH</t>
        </is>
      </c>
      <c r="AO64" s="6" t="inlineStr">
        <is>
          <t>596, 598</t>
        </is>
      </c>
    </row>
    <row r="65">
      <c r="A65" s="2" t="n"/>
      <c r="B65" s="3" t="n"/>
      <c r="C65" s="4" t="n"/>
      <c r="D65" s="5" t="n">
        <v>563651212</v>
      </c>
      <c r="E65" s="6" t="inlineStr">
        <is>
          <t>HF470696196</t>
        </is>
      </c>
      <c r="F65" s="7" t="n">
        <v>46199</v>
      </c>
      <c r="G65" s="6" t="inlineStr">
        <is>
          <t>Medicare Part B Arizona *</t>
        </is>
      </c>
      <c r="H65" s="6" t="inlineStr">
        <is>
          <t>Medicare Part B Arizona *</t>
        </is>
      </c>
      <c r="I65" s="6" t="inlineStr">
        <is>
          <t>Blue Cross Blue Shield of Arizona (BCBS AZ)</t>
        </is>
      </c>
      <c r="J65" s="8" t="inlineStr">
        <is>
          <t>99494 x1; 99493 x1</t>
        </is>
      </c>
      <c r="K65" s="4" t="n"/>
      <c r="L65" s="5">
        <f>IF($O65="","",$O65-TODAY())</f>
        <v/>
      </c>
      <c r="M65" s="5">
        <f>IF($C65="","",$C65+365-TODAY())</f>
        <v/>
      </c>
      <c r="N65" s="5">
        <f>IF($C65="","",$C65+120-TODAY())</f>
        <v/>
      </c>
      <c r="O65" s="7" t="n">
        <v>46564</v>
      </c>
      <c r="P65" s="6" t="inlineStr">
        <is>
          <t>365 days</t>
        </is>
      </c>
      <c r="Q65" s="6" t="inlineStr">
        <is>
          <t>MEDICARE</t>
        </is>
      </c>
      <c r="R65" s="6" t="inlineStr">
        <is>
          <t>365 days</t>
        </is>
      </c>
      <c r="S65" s="6" t="inlineStr">
        <is>
          <t>Processed date</t>
        </is>
      </c>
      <c r="T65" s="6" t="inlineStr">
        <is>
          <t>120 days</t>
        </is>
      </c>
      <c r="U65" s="6" t="inlineStr">
        <is>
          <t>Processed date</t>
        </is>
      </c>
      <c r="V65" s="6" t="n"/>
      <c r="W65" s="6" t="n"/>
      <c r="X65" s="6" t="n"/>
      <c r="Y65" s="6" t="inlineStr">
        <is>
          <t>1</t>
        </is>
      </c>
      <c r="Z65" s="9" t="n">
        <v>1372.91</v>
      </c>
      <c r="AA65" s="9" t="n">
        <v>0</v>
      </c>
      <c r="AB65" s="9" t="n">
        <v>0</v>
      </c>
      <c r="AC65" s="7" t="n"/>
      <c r="AD65" s="9" t="n">
        <v>1372.91</v>
      </c>
      <c r="AE65" s="5" t="n">
        <v>43</v>
      </c>
      <c r="AF65" s="6" t="inlineStr">
        <is>
          <t>F4321</t>
        </is>
      </c>
      <c r="AG65" s="6" t="n"/>
      <c r="AH65" s="6" t="n"/>
      <c r="AI65" s="6" t="n"/>
      <c r="AJ65" s="5" t="n"/>
      <c r="AK65" s="6" t="inlineStr">
        <is>
          <t>SARKAR, AWNIK</t>
        </is>
      </c>
      <c r="AL65" s="6" t="inlineStr">
        <is>
          <t>ASAP - DEER VALLEY</t>
        </is>
      </c>
      <c r="AM65" s="7" t="n">
        <v>46217</v>
      </c>
      <c r="AN65" s="6" t="inlineStr">
        <is>
          <t>BH</t>
        </is>
      </c>
      <c r="AO65" s="6" t="inlineStr">
        <is>
          <t>244, 245</t>
        </is>
      </c>
    </row>
    <row r="66">
      <c r="A66" s="2" t="n"/>
      <c r="B66" s="3" t="n"/>
      <c r="C66" s="4" t="n"/>
      <c r="D66" s="5" t="n">
        <v>563730488</v>
      </c>
      <c r="E66" s="6" t="inlineStr">
        <is>
          <t>HF534611051</t>
        </is>
      </c>
      <c r="F66" s="7" t="n">
        <v>46202</v>
      </c>
      <c r="G66" s="6" t="inlineStr">
        <is>
          <t>Medicare Part B Arizona *</t>
        </is>
      </c>
      <c r="H66" s="6" t="inlineStr">
        <is>
          <t>Medicare Part B Arizona *</t>
        </is>
      </c>
      <c r="I66" s="6" t="inlineStr">
        <is>
          <t>Aetna Senior Supplemental (AESSI) - Secondary Only 62118</t>
        </is>
      </c>
      <c r="J66" s="8" t="inlineStr">
        <is>
          <t>99494 x1; 99492 x1</t>
        </is>
      </c>
      <c r="K66" s="4" t="n"/>
      <c r="L66" s="5">
        <f>IF($O66="","",$O66-TODAY())</f>
        <v/>
      </c>
      <c r="M66" s="5">
        <f>IF($C66="","",$C66+365-TODAY())</f>
        <v/>
      </c>
      <c r="N66" s="5">
        <f>IF($C66="","",$C66+120-TODAY())</f>
        <v/>
      </c>
      <c r="O66" s="7" t="n">
        <v>46567</v>
      </c>
      <c r="P66" s="6" t="inlineStr">
        <is>
          <t>365 days</t>
        </is>
      </c>
      <c r="Q66" s="6" t="inlineStr">
        <is>
          <t>MEDICARE</t>
        </is>
      </c>
      <c r="R66" s="6" t="inlineStr">
        <is>
          <t>365 days</t>
        </is>
      </c>
      <c r="S66" s="6" t="inlineStr">
        <is>
          <t>Processed date</t>
        </is>
      </c>
      <c r="T66" s="6" t="inlineStr">
        <is>
          <t>120 days</t>
        </is>
      </c>
      <c r="U66" s="6" t="inlineStr">
        <is>
          <t>Processed date</t>
        </is>
      </c>
      <c r="V66" s="6" t="n"/>
      <c r="W66" s="6" t="n"/>
      <c r="X66" s="6" t="n"/>
      <c r="Y66" s="6" t="inlineStr">
        <is>
          <t>1</t>
        </is>
      </c>
      <c r="Z66" s="9" t="n">
        <v>1426.25</v>
      </c>
      <c r="AA66" s="9" t="n">
        <v>0</v>
      </c>
      <c r="AB66" s="9" t="n">
        <v>0</v>
      </c>
      <c r="AC66" s="7" t="n"/>
      <c r="AD66" s="9" t="n">
        <v>1426.25</v>
      </c>
      <c r="AE66" s="5" t="n">
        <v>40</v>
      </c>
      <c r="AF66" s="6" t="inlineStr">
        <is>
          <t>F4320</t>
        </is>
      </c>
      <c r="AG66" s="6" t="n"/>
      <c r="AH66" s="6" t="n"/>
      <c r="AI66" s="6" t="n"/>
      <c r="AJ66" s="5" t="n"/>
      <c r="AK66" s="6" t="inlineStr">
        <is>
          <t>O'NEIL, ROY</t>
        </is>
      </c>
      <c r="AL66" s="6" t="inlineStr">
        <is>
          <t>ASAP - Surprise - Reems</t>
        </is>
      </c>
      <c r="AM66" s="7" t="n">
        <v>46217</v>
      </c>
      <c r="AN66" s="6" t="inlineStr">
        <is>
          <t>BH</t>
        </is>
      </c>
      <c r="AO66" s="6" t="inlineStr">
        <is>
          <t>242, 243</t>
        </is>
      </c>
    </row>
    <row r="67">
      <c r="A67" s="2" t="n"/>
      <c r="B67" s="3" t="n"/>
      <c r="C67" s="4" t="n">
        <v>46225</v>
      </c>
      <c r="D67" s="5" t="n">
        <v>563782794</v>
      </c>
      <c r="E67" s="6" t="inlineStr">
        <is>
          <t>HF334376585</t>
        </is>
      </c>
      <c r="F67" s="7" t="n">
        <v>46202</v>
      </c>
      <c r="G67" s="6" t="inlineStr">
        <is>
          <t>Medicare Part B Arizona *</t>
        </is>
      </c>
      <c r="H67" s="6" t="inlineStr">
        <is>
          <t>Medicare Part B Arizona *</t>
        </is>
      </c>
      <c r="I67" s="6" t="inlineStr">
        <is>
          <t>Health Net of Arizona, California, Oregon &amp; Washington - All Plans</t>
        </is>
      </c>
      <c r="J67" s="8" t="inlineStr">
        <is>
          <t>99494 x1; 99492 x1</t>
        </is>
      </c>
      <c r="K67" s="4" t="n"/>
      <c r="L67" s="5">
        <f>IF($O67="","",$O67-TODAY())</f>
        <v/>
      </c>
      <c r="M67" s="5">
        <f>IF($C67="","",$C67+365-TODAY())</f>
        <v/>
      </c>
      <c r="N67" s="5">
        <f>IF($C67="","",$C67+120-TODAY())</f>
        <v/>
      </c>
      <c r="O67" s="7" t="n">
        <v>46567</v>
      </c>
      <c r="P67" s="6" t="inlineStr">
        <is>
          <t>365 days</t>
        </is>
      </c>
      <c r="Q67" s="6" t="inlineStr">
        <is>
          <t>MEDICARE</t>
        </is>
      </c>
      <c r="R67" s="6" t="inlineStr">
        <is>
          <t>365 days</t>
        </is>
      </c>
      <c r="S67" s="6" t="inlineStr">
        <is>
          <t>Processed date</t>
        </is>
      </c>
      <c r="T67" s="6" t="inlineStr">
        <is>
          <t>120 days</t>
        </is>
      </c>
      <c r="U67" s="6" t="inlineStr">
        <is>
          <t>Processed date</t>
        </is>
      </c>
      <c r="V67" s="6" t="n"/>
      <c r="W67" s="6" t="n"/>
      <c r="X67" s="6" t="n"/>
      <c r="Y67" s="6" t="inlineStr">
        <is>
          <t>1</t>
        </is>
      </c>
      <c r="Z67" s="9" t="n">
        <v>1426.25</v>
      </c>
      <c r="AA67" s="9" t="n">
        <v>0</v>
      </c>
      <c r="AB67" s="9" t="n">
        <v>0</v>
      </c>
      <c r="AC67" s="7" t="n">
        <v>46225</v>
      </c>
      <c r="AD67" s="9" t="n">
        <v>1426.25</v>
      </c>
      <c r="AE67" s="5" t="n">
        <v>40</v>
      </c>
      <c r="AF67" s="6" t="inlineStr">
        <is>
          <t>F32A</t>
        </is>
      </c>
      <c r="AG67" s="6" t="n"/>
      <c r="AH67" s="6" t="n"/>
      <c r="AI67" s="6" t="n"/>
      <c r="AJ67" s="5" t="n"/>
      <c r="AK67" s="6" t="inlineStr">
        <is>
          <t>BURGHER, ABRAM</t>
        </is>
      </c>
      <c r="AL67" s="6" t="inlineStr">
        <is>
          <t>ASAP Peoria</t>
        </is>
      </c>
      <c r="AM67" s="7" t="n">
        <v>46217</v>
      </c>
      <c r="AN67" s="6" t="inlineStr">
        <is>
          <t>BH</t>
        </is>
      </c>
      <c r="AO67" s="6" t="inlineStr">
        <is>
          <t>827, 828</t>
        </is>
      </c>
    </row>
    <row r="68">
      <c r="A68" s="2" t="n"/>
      <c r="B68" s="3" t="n"/>
      <c r="C68" s="4" t="n"/>
      <c r="D68" s="5" t="n">
        <v>563785068</v>
      </c>
      <c r="E68" s="6" t="inlineStr">
        <is>
          <t>HF460186731</t>
        </is>
      </c>
      <c r="F68" s="7" t="n">
        <v>46202</v>
      </c>
      <c r="G68" s="6" t="inlineStr">
        <is>
          <t>United HealthCare Dual Complete</t>
        </is>
      </c>
      <c r="H68" s="6" t="inlineStr">
        <is>
          <t>United HealthCare Dual Complete</t>
        </is>
      </c>
      <c r="I68" s="6" t="inlineStr">
        <is>
          <t>Mercy Care Plan (AHCCCS) - Complete Care &amp; Long Term Care (LTC)</t>
        </is>
      </c>
      <c r="J68" s="8" t="inlineStr">
        <is>
          <t>99494 x1; 99493 x1</t>
        </is>
      </c>
      <c r="K68" s="4" t="n"/>
      <c r="L68" s="5">
        <f>IF($O68="","",$O68-TODAY())</f>
        <v/>
      </c>
      <c r="M68" s="5">
        <f>IF($C68="","",$C68+180-TODAY())</f>
        <v/>
      </c>
      <c r="N68" s="5">
        <f>IF($C68="","",$C68+365-TODAY())</f>
        <v/>
      </c>
      <c r="O68" s="7" t="n">
        <v>46567</v>
      </c>
      <c r="P68" s="6" t="inlineStr">
        <is>
          <t>365 days</t>
        </is>
      </c>
      <c r="Q68" s="6" t="inlineStr">
        <is>
          <t>UHC DUAL COMPLETE</t>
        </is>
      </c>
      <c r="R68" s="6" t="inlineStr">
        <is>
          <t>180 days</t>
        </is>
      </c>
      <c r="S68" s="6" t="inlineStr">
        <is>
          <t>Processed date</t>
        </is>
      </c>
      <c r="T68" s="6" t="inlineStr">
        <is>
          <t>365 days</t>
        </is>
      </c>
      <c r="U68" s="6" t="inlineStr">
        <is>
          <t>Processed date</t>
        </is>
      </c>
      <c r="V68" s="6" t="n"/>
      <c r="W68" s="6" t="n"/>
      <c r="X68" s="6" t="n"/>
      <c r="Y68" s="6" t="inlineStr">
        <is>
          <t>1</t>
        </is>
      </c>
      <c r="Z68" s="9" t="n">
        <v>1372.91</v>
      </c>
      <c r="AA68" s="9" t="n">
        <v>0</v>
      </c>
      <c r="AB68" s="9" t="n">
        <v>0</v>
      </c>
      <c r="AC68" s="7" t="n"/>
      <c r="AD68" s="9" t="n">
        <v>1372.91</v>
      </c>
      <c r="AE68" s="5" t="n">
        <v>40</v>
      </c>
      <c r="AF68" s="6" t="inlineStr">
        <is>
          <t>F1190</t>
        </is>
      </c>
      <c r="AG68" s="6" t="n"/>
      <c r="AH68" s="6" t="n"/>
      <c r="AI68" s="6" t="n"/>
      <c r="AJ68" s="5" t="n"/>
      <c r="AK68" s="6" t="inlineStr">
        <is>
          <t>O'NEIL, ROY</t>
        </is>
      </c>
      <c r="AL68" s="6" t="inlineStr">
        <is>
          <t>ASAP Peoria</t>
        </is>
      </c>
      <c r="AM68" s="7" t="n">
        <v>46217</v>
      </c>
      <c r="AN68" s="6" t="inlineStr">
        <is>
          <t>BH</t>
        </is>
      </c>
      <c r="AO68" s="6" t="inlineStr">
        <is>
          <t>880, 882</t>
        </is>
      </c>
    </row>
    <row r="69">
      <c r="A69" s="2" t="n"/>
      <c r="B69" s="3" t="n"/>
      <c r="C69" s="4" t="n"/>
      <c r="D69" s="5" t="n">
        <v>561206929</v>
      </c>
      <c r="E69" s="6" t="inlineStr">
        <is>
          <t>HF538932939</t>
        </is>
      </c>
      <c r="F69" s="7" t="n">
        <v>46174</v>
      </c>
      <c r="G69" s="6" t="inlineStr">
        <is>
          <t>AARP MedicareComplete (SecureHorizons &amp; Oxford Network)</t>
        </is>
      </c>
      <c r="H69" s="6" t="inlineStr">
        <is>
          <t>AARP MedicareComplete (SecureHorizons &amp; Oxford Network)</t>
        </is>
      </c>
      <c r="I69" s="6" t="inlineStr">
        <is>
          <t>No Payer</t>
        </is>
      </c>
      <c r="J69" s="8" t="inlineStr">
        <is>
          <t>99493 x1; 99494 x1</t>
        </is>
      </c>
      <c r="K69" s="4" t="n"/>
      <c r="L69" s="5">
        <f>IF($O69="","",$O69-TODAY())</f>
        <v/>
      </c>
      <c r="M69" s="5">
        <f>IF($C69="","",$C69+180-TODAY())</f>
        <v/>
      </c>
      <c r="N69" s="5">
        <f>IF($C69="","",$C69+365-TODAY())</f>
        <v/>
      </c>
      <c r="O69" s="7" t="n"/>
      <c r="P69" s="6" t="n"/>
      <c r="Q69" s="6" t="inlineStr">
        <is>
          <t>AARP MA CHOICE / MEDICARE COMPLETE</t>
        </is>
      </c>
      <c r="R69" s="6" t="inlineStr">
        <is>
          <t>180 days</t>
        </is>
      </c>
      <c r="S69" s="6" t="inlineStr">
        <is>
          <t>Processed date</t>
        </is>
      </c>
      <c r="T69" s="6" t="inlineStr">
        <is>
          <t>365 days</t>
        </is>
      </c>
      <c r="U69" s="6" t="inlineStr">
        <is>
          <t>Processed date</t>
        </is>
      </c>
      <c r="V69" s="6" t="n"/>
      <c r="W69" s="6" t="n"/>
      <c r="X69" s="6" t="n"/>
      <c r="Y69" s="6" t="inlineStr">
        <is>
          <t>1</t>
        </is>
      </c>
      <c r="Z69" s="9" t="n">
        <v>1372.91</v>
      </c>
      <c r="AA69" s="9" t="n">
        <v>0</v>
      </c>
      <c r="AB69" s="9" t="n">
        <v>0</v>
      </c>
      <c r="AC69" s="7" t="n"/>
      <c r="AD69" s="9" t="n">
        <v>1372.91</v>
      </c>
      <c r="AE69" s="5" t="n">
        <v>68</v>
      </c>
      <c r="AF69" s="6" t="inlineStr">
        <is>
          <t>F4320</t>
        </is>
      </c>
      <c r="AG69" s="6" t="n"/>
      <c r="AH69" s="6" t="n"/>
      <c r="AI69" s="6" t="n"/>
      <c r="AJ69" s="5" t="n"/>
      <c r="AK69" s="6" t="inlineStr">
        <is>
          <t>LEATHEM, JARRETT</t>
        </is>
      </c>
      <c r="AL69" s="6" t="inlineStr">
        <is>
          <t>ASAP Peoria</t>
        </is>
      </c>
      <c r="AM69" s="7" t="n">
        <v>46217</v>
      </c>
      <c r="AN69" s="6" t="inlineStr">
        <is>
          <t>BH</t>
        </is>
      </c>
      <c r="AO69" s="6" t="inlineStr">
        <is>
          <t>607, 608</t>
        </is>
      </c>
    </row>
    <row r="70">
      <c r="A70" s="2" t="n"/>
      <c r="B70" s="3" t="n"/>
      <c r="C70" s="4" t="n"/>
      <c r="D70" s="5" t="n">
        <v>561024208</v>
      </c>
      <c r="E70" s="6" t="inlineStr">
        <is>
          <t>HF542472046</t>
        </is>
      </c>
      <c r="F70" s="7" t="n">
        <v>46175</v>
      </c>
      <c r="G70" s="6" t="inlineStr">
        <is>
          <t>Tricare West</t>
        </is>
      </c>
      <c r="H70" s="6" t="inlineStr">
        <is>
          <t>Tricare West</t>
        </is>
      </c>
      <c r="I70" s="6" t="inlineStr">
        <is>
          <t>No Payer</t>
        </is>
      </c>
      <c r="J70" s="8" t="inlineStr">
        <is>
          <t>99484+25 x1</t>
        </is>
      </c>
      <c r="K70" s="4" t="n"/>
      <c r="L70" s="5">
        <f>IF($O70="","",$O70-TODAY())</f>
        <v/>
      </c>
      <c r="M70" s="5" t="n"/>
      <c r="N70" s="5" t="n"/>
      <c r="O70" s="7" t="n"/>
      <c r="P70" s="6" t="n"/>
      <c r="Q70" s="6" t="inlineStr">
        <is>
          <t>Not on reference list</t>
        </is>
      </c>
      <c r="R70" s="6" t="n"/>
      <c r="S70" s="6" t="n"/>
      <c r="T70" s="6" t="n"/>
      <c r="U70" s="6" t="n"/>
      <c r="V70" s="6" t="inlineStr">
        <is>
          <t>25</t>
        </is>
      </c>
      <c r="W70" s="6" t="n"/>
      <c r="X70" s="6" t="n"/>
      <c r="Y70" s="6" t="inlineStr">
        <is>
          <t>1</t>
        </is>
      </c>
      <c r="Z70" s="9" t="n">
        <v>294.42</v>
      </c>
      <c r="AA70" s="9" t="n">
        <v>0</v>
      </c>
      <c r="AB70" s="9" t="n">
        <v>0</v>
      </c>
      <c r="AC70" s="7" t="n"/>
      <c r="AD70" s="9" t="n">
        <v>294.42</v>
      </c>
      <c r="AE70" s="5" t="n">
        <v>67</v>
      </c>
      <c r="AF70" s="6" t="inlineStr">
        <is>
          <t>R6884</t>
        </is>
      </c>
      <c r="AG70" s="6" t="inlineStr">
        <is>
          <t>M25551</t>
        </is>
      </c>
      <c r="AH70" s="6" t="inlineStr">
        <is>
          <t>M25552</t>
        </is>
      </c>
      <c r="AI70" s="6" t="inlineStr">
        <is>
          <t>G5771</t>
        </is>
      </c>
      <c r="AJ70" s="5" t="n"/>
      <c r="AK70" s="6" t="inlineStr">
        <is>
          <t>LEATHEM, JARRETT</t>
        </is>
      </c>
      <c r="AL70" s="6" t="inlineStr">
        <is>
          <t>ASAP - Gilbert</t>
        </is>
      </c>
      <c r="AM70" s="7" t="n">
        <v>46191</v>
      </c>
      <c r="AN70" s="6" t="inlineStr">
        <is>
          <t>BH</t>
        </is>
      </c>
      <c r="AO70" s="6" t="inlineStr">
        <is>
          <t>1051</t>
        </is>
      </c>
    </row>
    <row r="71">
      <c r="A71" s="2" t="n"/>
      <c r="B71" s="3" t="n"/>
      <c r="C71" s="4" t="n">
        <v>46218</v>
      </c>
      <c r="D71" s="5" t="n">
        <v>561219063</v>
      </c>
      <c r="E71" s="6" t="inlineStr">
        <is>
          <t>HF557340272</t>
        </is>
      </c>
      <c r="F71" s="7" t="n">
        <v>46175</v>
      </c>
      <c r="G71" s="6" t="inlineStr">
        <is>
          <t>Tricare for Life (All Regions)</t>
        </is>
      </c>
      <c r="H71" s="6" t="inlineStr">
        <is>
          <t>Tricare for Life (All Regions)</t>
        </is>
      </c>
      <c r="I71" s="6" t="inlineStr">
        <is>
          <t>No Payer</t>
        </is>
      </c>
      <c r="J71" s="8" t="inlineStr">
        <is>
          <t>99494 x1; 99492 x1</t>
        </is>
      </c>
      <c r="K71" s="4" t="n"/>
      <c r="L71" s="5">
        <f>IF($O71="","",$O71-TODAY())</f>
        <v/>
      </c>
      <c r="M71" s="5" t="n"/>
      <c r="N71" s="5" t="n"/>
      <c r="O71" s="7" t="n"/>
      <c r="P71" s="6" t="n"/>
      <c r="Q71" s="6" t="inlineStr">
        <is>
          <t>Not on reference list</t>
        </is>
      </c>
      <c r="R71" s="6" t="n"/>
      <c r="S71" s="6" t="n"/>
      <c r="T71" s="6" t="n"/>
      <c r="U71" s="6" t="n"/>
      <c r="V71" s="6" t="n"/>
      <c r="W71" s="6" t="n"/>
      <c r="X71" s="6" t="n"/>
      <c r="Y71" s="6" t="inlineStr">
        <is>
          <t>1</t>
        </is>
      </c>
      <c r="Z71" s="9" t="n">
        <v>1426.25</v>
      </c>
      <c r="AA71" s="9" t="n">
        <v>0</v>
      </c>
      <c r="AB71" s="9" t="n">
        <v>0</v>
      </c>
      <c r="AC71" s="7" t="n">
        <v>46218</v>
      </c>
      <c r="AD71" s="9" t="n">
        <v>1426.25</v>
      </c>
      <c r="AE71" s="5" t="n">
        <v>67</v>
      </c>
      <c r="AF71" s="6" t="inlineStr">
        <is>
          <t>F4320</t>
        </is>
      </c>
      <c r="AG71" s="6" t="n"/>
      <c r="AH71" s="6" t="n"/>
      <c r="AI71" s="6" t="n"/>
      <c r="AJ71" s="5" t="n"/>
      <c r="AK71" s="6" t="inlineStr">
        <is>
          <t>LEATHEM, JARRETT</t>
        </is>
      </c>
      <c r="AL71" s="6" t="inlineStr">
        <is>
          <t>ASAP Peoria</t>
        </is>
      </c>
      <c r="AM71" s="7" t="n">
        <v>46217</v>
      </c>
      <c r="AN71" s="6" t="inlineStr">
        <is>
          <t>BH</t>
        </is>
      </c>
      <c r="AO71" s="6" t="inlineStr">
        <is>
          <t>185, 186</t>
        </is>
      </c>
    </row>
    <row r="72">
      <c r="A72" s="2" t="n"/>
      <c r="B72" s="3" t="n"/>
      <c r="C72" s="4" t="n"/>
      <c r="D72" s="5" t="n">
        <v>561884056</v>
      </c>
      <c r="E72" s="6" t="inlineStr">
        <is>
          <t>HF480446878</t>
        </is>
      </c>
      <c r="F72" s="7" t="n">
        <v>46178</v>
      </c>
      <c r="G72" s="6" t="inlineStr">
        <is>
          <t>Meritain Health</t>
        </is>
      </c>
      <c r="H72" s="6" t="inlineStr">
        <is>
          <t>Meritain Health</t>
        </is>
      </c>
      <c r="I72" s="6" t="inlineStr">
        <is>
          <t>No Payer</t>
        </is>
      </c>
      <c r="J72" s="8" t="inlineStr">
        <is>
          <t>99492 x1</t>
        </is>
      </c>
      <c r="K72" s="4" t="n"/>
      <c r="L72" s="5">
        <f>IF($O72="","",$O72-TODAY())</f>
        <v/>
      </c>
      <c r="M72" s="5" t="n"/>
      <c r="N72" s="5" t="n"/>
      <c r="O72" s="7" t="n"/>
      <c r="P72" s="6" t="n"/>
      <c r="Q72" s="6" t="inlineStr">
        <is>
          <t>Not on reference list</t>
        </is>
      </c>
      <c r="R72" s="6" t="n"/>
      <c r="S72" s="6" t="n"/>
      <c r="T72" s="6" t="n"/>
      <c r="U72" s="6" t="n"/>
      <c r="V72" s="6" t="n"/>
      <c r="W72" s="6" t="n"/>
      <c r="X72" s="6" t="n"/>
      <c r="Y72" s="6" t="inlineStr">
        <is>
          <t>1</t>
        </is>
      </c>
      <c r="Z72" s="9" t="n">
        <v>1029.98</v>
      </c>
      <c r="AA72" s="9" t="n">
        <v>0</v>
      </c>
      <c r="AB72" s="9" t="n">
        <v>0</v>
      </c>
      <c r="AC72" s="7" t="n"/>
      <c r="AD72" s="9" t="n">
        <v>1029.98</v>
      </c>
      <c r="AE72" s="5" t="n">
        <v>64</v>
      </c>
      <c r="AF72" s="6" t="inlineStr">
        <is>
          <t>F1190</t>
        </is>
      </c>
      <c r="AG72" s="6" t="n"/>
      <c r="AH72" s="6" t="n"/>
      <c r="AI72" s="6" t="n"/>
      <c r="AJ72" s="5" t="n"/>
      <c r="AK72" s="6" t="inlineStr">
        <is>
          <t>BURGHER, ABRAM</t>
        </is>
      </c>
      <c r="AL72" s="6" t="inlineStr">
        <is>
          <t>ASAP - Gilbert</t>
        </is>
      </c>
      <c r="AM72" s="7" t="n">
        <v>46217</v>
      </c>
      <c r="AN72" s="6" t="inlineStr">
        <is>
          <t>BH</t>
        </is>
      </c>
      <c r="AO72" s="6" t="inlineStr">
        <is>
          <t>1030</t>
        </is>
      </c>
    </row>
    <row r="73">
      <c r="A73" s="2" t="n"/>
      <c r="B73" s="3" t="n"/>
      <c r="C73" s="4" t="n"/>
      <c r="D73" s="5" t="n">
        <v>562198116</v>
      </c>
      <c r="E73" s="6" t="inlineStr">
        <is>
          <t>HF551421253</t>
        </is>
      </c>
      <c r="F73" s="7" t="n">
        <v>46185</v>
      </c>
      <c r="G73" s="6" t="inlineStr">
        <is>
          <t>Summit Administration Services, Inc</t>
        </is>
      </c>
      <c r="H73" s="6" t="inlineStr">
        <is>
          <t>Summit Administration Services, Inc</t>
        </is>
      </c>
      <c r="I73" s="6" t="inlineStr">
        <is>
          <t>No Payer</t>
        </is>
      </c>
      <c r="J73" s="8" t="inlineStr">
        <is>
          <t>99492 x1; 99494 x1</t>
        </is>
      </c>
      <c r="K73" s="4" t="n"/>
      <c r="L73" s="5">
        <f>IF($O73="","",$O73-TODAY())</f>
        <v/>
      </c>
      <c r="M73" s="5" t="n"/>
      <c r="N73" s="5" t="n"/>
      <c r="O73" s="7" t="n"/>
      <c r="P73" s="6" t="n"/>
      <c r="Q73" s="6" t="inlineStr">
        <is>
          <t>Not on reference list</t>
        </is>
      </c>
      <c r="R73" s="6" t="n"/>
      <c r="S73" s="6" t="n"/>
      <c r="T73" s="6" t="n"/>
      <c r="U73" s="6" t="n"/>
      <c r="V73" s="6" t="n"/>
      <c r="W73" s="6" t="n"/>
      <c r="X73" s="6" t="n"/>
      <c r="Y73" s="6" t="inlineStr">
        <is>
          <t>1</t>
        </is>
      </c>
      <c r="Z73" s="9" t="n">
        <v>1426.25</v>
      </c>
      <c r="AA73" s="9" t="n">
        <v>0</v>
      </c>
      <c r="AB73" s="9" t="n">
        <v>0</v>
      </c>
      <c r="AC73" s="7" t="n"/>
      <c r="AD73" s="9" t="n">
        <v>1426.25</v>
      </c>
      <c r="AE73" s="5" t="n">
        <v>57</v>
      </c>
      <c r="AF73" s="6" t="inlineStr">
        <is>
          <t>F4320</t>
        </is>
      </c>
      <c r="AG73" s="6" t="n"/>
      <c r="AH73" s="6" t="n"/>
      <c r="AI73" s="6" t="n"/>
      <c r="AJ73" s="5" t="n"/>
      <c r="AK73" s="6" t="inlineStr">
        <is>
          <t>TURLEY, TODD</t>
        </is>
      </c>
      <c r="AL73" s="6" t="inlineStr">
        <is>
          <t>ASAP - DEER VALLEY</t>
        </is>
      </c>
      <c r="AM73" s="7" t="n">
        <v>46217</v>
      </c>
      <c r="AN73" s="6" t="inlineStr">
        <is>
          <t>BH</t>
        </is>
      </c>
      <c r="AO73" s="6" t="inlineStr">
        <is>
          <t>956, 957</t>
        </is>
      </c>
    </row>
    <row r="74">
      <c r="A74" s="2" t="n"/>
      <c r="B74" s="3" t="n"/>
      <c r="C74" s="4" t="n"/>
      <c r="D74" s="5" t="n">
        <v>562518339</v>
      </c>
      <c r="E74" s="6" t="inlineStr">
        <is>
          <t>HF559371386</t>
        </is>
      </c>
      <c r="F74" s="7" t="n">
        <v>46189</v>
      </c>
      <c r="G74" s="6" t="inlineStr">
        <is>
          <t>Gold Kidney Health Plan</t>
        </is>
      </c>
      <c r="H74" s="6" t="inlineStr">
        <is>
          <t>Gold Kidney Health Plan</t>
        </is>
      </c>
      <c r="I74" s="6" t="inlineStr">
        <is>
          <t>No Payer</t>
        </is>
      </c>
      <c r="J74" s="8" t="inlineStr">
        <is>
          <t>99492 x1; 99494 x1</t>
        </is>
      </c>
      <c r="K74" s="4" t="n"/>
      <c r="L74" s="5">
        <f>IF($O74="","",$O74-TODAY())</f>
        <v/>
      </c>
      <c r="M74" s="5" t="n"/>
      <c r="N74" s="5" t="n"/>
      <c r="O74" s="7" t="n"/>
      <c r="P74" s="6" t="n"/>
      <c r="Q74" s="6" t="inlineStr">
        <is>
          <t>Not on reference list</t>
        </is>
      </c>
      <c r="R74" s="6" t="n"/>
      <c r="S74" s="6" t="n"/>
      <c r="T74" s="6" t="n"/>
      <c r="U74" s="6" t="n"/>
      <c r="V74" s="6" t="n"/>
      <c r="W74" s="6" t="n"/>
      <c r="X74" s="6" t="n"/>
      <c r="Y74" s="6" t="inlineStr">
        <is>
          <t>1</t>
        </is>
      </c>
      <c r="Z74" s="9" t="n">
        <v>1426.25</v>
      </c>
      <c r="AA74" s="9" t="n">
        <v>0</v>
      </c>
      <c r="AB74" s="9" t="n">
        <v>0</v>
      </c>
      <c r="AC74" s="7" t="n"/>
      <c r="AD74" s="9" t="n">
        <v>1426.25</v>
      </c>
      <c r="AE74" s="5" t="n">
        <v>53</v>
      </c>
      <c r="AF74" s="6" t="inlineStr">
        <is>
          <t>F4320</t>
        </is>
      </c>
      <c r="AG74" s="6" t="n"/>
      <c r="AH74" s="6" t="n"/>
      <c r="AI74" s="6" t="n"/>
      <c r="AJ74" s="5" t="n"/>
      <c r="AK74" s="6" t="inlineStr">
        <is>
          <t>CURRIE, DAVID</t>
        </is>
      </c>
      <c r="AL74" s="6" t="inlineStr">
        <is>
          <t>ASAP - Avondale</t>
        </is>
      </c>
      <c r="AM74" s="7" t="n">
        <v>46217</v>
      </c>
      <c r="AN74" s="6" t="inlineStr">
        <is>
          <t>BH</t>
        </is>
      </c>
      <c r="AO74" s="6" t="inlineStr">
        <is>
          <t>1019, 1020</t>
        </is>
      </c>
    </row>
    <row r="75">
      <c r="A75" s="2" t="n"/>
      <c r="B75" s="3" t="n"/>
      <c r="C75" s="4" t="n"/>
      <c r="D75" s="5" t="n">
        <v>562594958</v>
      </c>
      <c r="E75" s="6" t="inlineStr">
        <is>
          <t>HF444036229</t>
        </is>
      </c>
      <c r="F75" s="7" t="n">
        <v>46190</v>
      </c>
      <c r="G75" s="6" t="inlineStr">
        <is>
          <t>Imperial Insurance Companies Inc Exchange AZ (IEXAZ) (WAYSTAR ONLY)</t>
        </is>
      </c>
      <c r="H75" s="6" t="inlineStr">
        <is>
          <t>Imperial Insurance Companies Inc Exchange AZ (IEXAZ) (WAYSTAR ONLY)</t>
        </is>
      </c>
      <c r="I75" s="6" t="inlineStr">
        <is>
          <t>No Payer</t>
        </is>
      </c>
      <c r="J75" s="8" t="inlineStr">
        <is>
          <t>99492 x1; 99494 x1</t>
        </is>
      </c>
      <c r="K75" s="4" t="n"/>
      <c r="L75" s="5">
        <f>IF($O75="","",$O75-TODAY())</f>
        <v/>
      </c>
      <c r="M75" s="5" t="n"/>
      <c r="N75" s="5" t="n"/>
      <c r="O75" s="7" t="n"/>
      <c r="P75" s="6" t="n"/>
      <c r="Q75" s="6" t="inlineStr">
        <is>
          <t>Not on reference list</t>
        </is>
      </c>
      <c r="R75" s="6" t="n"/>
      <c r="S75" s="6" t="n"/>
      <c r="T75" s="6" t="n"/>
      <c r="U75" s="6" t="n"/>
      <c r="V75" s="6" t="n"/>
      <c r="W75" s="6" t="n"/>
      <c r="X75" s="6" t="n"/>
      <c r="Y75" s="6" t="inlineStr">
        <is>
          <t>1</t>
        </is>
      </c>
      <c r="Z75" s="9" t="n">
        <v>1426.25</v>
      </c>
      <c r="AA75" s="9" t="n">
        <v>0</v>
      </c>
      <c r="AB75" s="9" t="n">
        <v>0</v>
      </c>
      <c r="AC75" s="7" t="n"/>
      <c r="AD75" s="9" t="n">
        <v>1426.25</v>
      </c>
      <c r="AE75" s="5" t="n">
        <v>52</v>
      </c>
      <c r="AF75" s="6" t="inlineStr">
        <is>
          <t>F1190</t>
        </is>
      </c>
      <c r="AG75" s="6" t="n"/>
      <c r="AH75" s="6" t="n"/>
      <c r="AI75" s="6" t="n"/>
      <c r="AJ75" s="5" t="n"/>
      <c r="AK75" s="6" t="inlineStr">
        <is>
          <t>LEATHEM, JARRETT</t>
        </is>
      </c>
      <c r="AL75" s="6" t="inlineStr">
        <is>
          <t>ASAP - Gilbert</t>
        </is>
      </c>
      <c r="AM75" s="7" t="n">
        <v>46217</v>
      </c>
      <c r="AN75" s="6" t="inlineStr">
        <is>
          <t>BH</t>
        </is>
      </c>
      <c r="AO75" s="6" t="inlineStr">
        <is>
          <t>1006, 1009</t>
        </is>
      </c>
    </row>
    <row r="76">
      <c r="A76" s="2" t="n"/>
      <c r="B76" s="3" t="n"/>
      <c r="C76" s="4" t="n"/>
      <c r="D76" s="5" t="n">
        <v>562803163</v>
      </c>
      <c r="E76" s="6" t="inlineStr">
        <is>
          <t>HF528535429</t>
        </is>
      </c>
      <c r="F76" s="7" t="n">
        <v>46190</v>
      </c>
      <c r="G76" s="6" t="inlineStr">
        <is>
          <t>SCAN Health Plan (Village Health Plan)</t>
        </is>
      </c>
      <c r="H76" s="6" t="inlineStr">
        <is>
          <t>SCAN Health Plan (Village Health Plan)</t>
        </is>
      </c>
      <c r="I76" s="6" t="inlineStr">
        <is>
          <t>Mercy Care RBHA</t>
        </is>
      </c>
      <c r="J76" s="8" t="inlineStr">
        <is>
          <t>99493 x1; 99494 x1</t>
        </is>
      </c>
      <c r="K76" s="4" t="n"/>
      <c r="L76" s="5">
        <f>IF($O76="","",$O76-TODAY())</f>
        <v/>
      </c>
      <c r="M76" s="5" t="n"/>
      <c r="N76" s="5" t="n"/>
      <c r="O76" s="7" t="n"/>
      <c r="P76" s="6" t="n"/>
      <c r="Q76" s="6" t="inlineStr">
        <is>
          <t>Not on reference list</t>
        </is>
      </c>
      <c r="R76" s="6" t="n"/>
      <c r="S76" s="6" t="n"/>
      <c r="T76" s="6" t="n"/>
      <c r="U76" s="6" t="n"/>
      <c r="V76" s="6" t="n"/>
      <c r="W76" s="6" t="n"/>
      <c r="X76" s="6" t="n"/>
      <c r="Y76" s="6" t="inlineStr">
        <is>
          <t>1</t>
        </is>
      </c>
      <c r="Z76" s="9" t="n">
        <v>1372.91</v>
      </c>
      <c r="AA76" s="9" t="n">
        <v>0</v>
      </c>
      <c r="AB76" s="9" t="n">
        <v>0</v>
      </c>
      <c r="AC76" s="7" t="n"/>
      <c r="AD76" s="9" t="n">
        <v>1372.91</v>
      </c>
      <c r="AE76" s="5" t="n">
        <v>52</v>
      </c>
      <c r="AF76" s="6" t="inlineStr">
        <is>
          <t>F331</t>
        </is>
      </c>
      <c r="AG76" s="6" t="inlineStr">
        <is>
          <t>F411</t>
        </is>
      </c>
      <c r="AH76" s="6" t="n"/>
      <c r="AI76" s="6" t="n"/>
      <c r="AJ76" s="5" t="n"/>
      <c r="AK76" s="6" t="inlineStr">
        <is>
          <t>MEARS, CHAD</t>
        </is>
      </c>
      <c r="AL76" s="6" t="inlineStr">
        <is>
          <t>ASAP - DEER VALLEY</t>
        </is>
      </c>
      <c r="AM76" s="7" t="n">
        <v>46217</v>
      </c>
      <c r="AN76" s="6" t="inlineStr">
        <is>
          <t>BH</t>
        </is>
      </c>
      <c r="AO76" s="6" t="inlineStr">
        <is>
          <t>1060, 1062</t>
        </is>
      </c>
    </row>
    <row r="77">
      <c r="A77" s="2" t="n"/>
      <c r="B77" s="3" t="n"/>
      <c r="C77" s="4" t="n"/>
      <c r="D77" s="5" t="n">
        <v>562862986</v>
      </c>
      <c r="E77" s="6" t="inlineStr">
        <is>
          <t>HF559343228</t>
        </is>
      </c>
      <c r="F77" s="7" t="n">
        <v>46192</v>
      </c>
      <c r="G77" s="6" t="inlineStr">
        <is>
          <t>UMR Wausau / UHIS</t>
        </is>
      </c>
      <c r="H77" s="6" t="inlineStr">
        <is>
          <t>UMR Wausau / UHIS</t>
        </is>
      </c>
      <c r="I77" s="6" t="inlineStr">
        <is>
          <t>No Payer</t>
        </is>
      </c>
      <c r="J77" s="8" t="inlineStr">
        <is>
          <t>99484 x1</t>
        </is>
      </c>
      <c r="K77" s="4" t="n"/>
      <c r="L77" s="5">
        <f>IF($O77="","",$O77-TODAY())</f>
        <v/>
      </c>
      <c r="M77" s="5" t="n"/>
      <c r="N77" s="5">
        <f>IF($C77="","",$C77+180-TODAY())</f>
        <v/>
      </c>
      <c r="O77" s="7" t="n"/>
      <c r="P77" s="6" t="n"/>
      <c r="Q77" s="6" t="inlineStr">
        <is>
          <t>UMR / WAUSAU</t>
        </is>
      </c>
      <c r="R77" s="6" t="n"/>
      <c r="S77" s="6" t="n"/>
      <c r="T77" s="6" t="inlineStr">
        <is>
          <t>180 days</t>
        </is>
      </c>
      <c r="U77" s="6" t="inlineStr">
        <is>
          <t>Processed date</t>
        </is>
      </c>
      <c r="V77" s="6" t="n"/>
      <c r="W77" s="6" t="n"/>
      <c r="X77" s="6" t="n"/>
      <c r="Y77" s="6" t="inlineStr">
        <is>
          <t>1</t>
        </is>
      </c>
      <c r="Z77" s="9" t="n">
        <v>294.42</v>
      </c>
      <c r="AA77" s="9" t="n">
        <v>0</v>
      </c>
      <c r="AB77" s="9" t="n">
        <v>0</v>
      </c>
      <c r="AC77" s="7" t="n"/>
      <c r="AD77" s="9" t="n">
        <v>294.42</v>
      </c>
      <c r="AE77" s="5" t="n">
        <v>50</v>
      </c>
      <c r="AF77" s="6" t="inlineStr">
        <is>
          <t>Z79891</t>
        </is>
      </c>
      <c r="AG77" s="6" t="inlineStr">
        <is>
          <t>Z1331</t>
        </is>
      </c>
      <c r="AH77" s="6" t="n"/>
      <c r="AI77" s="6" t="n"/>
      <c r="AJ77" s="5" t="n"/>
      <c r="AK77" s="6" t="inlineStr">
        <is>
          <t>WILSON, JARED</t>
        </is>
      </c>
      <c r="AL77" s="6" t="inlineStr">
        <is>
          <t>ASAP - Tucson</t>
        </is>
      </c>
      <c r="AM77" s="7" t="n">
        <v>46234</v>
      </c>
      <c r="AN77" s="6" t="inlineStr">
        <is>
          <t>BH</t>
        </is>
      </c>
      <c r="AO77" s="6" t="inlineStr">
        <is>
          <t>915</t>
        </is>
      </c>
    </row>
    <row r="78">
      <c r="A78" s="2" t="n"/>
      <c r="B78" s="3" t="n"/>
      <c r="C78" s="4" t="n"/>
      <c r="D78" s="5" t="n">
        <v>562903580</v>
      </c>
      <c r="E78" s="6" t="inlineStr">
        <is>
          <t>HF551929698</t>
        </is>
      </c>
      <c r="F78" s="7" t="n">
        <v>46192</v>
      </c>
      <c r="G78" s="6" t="inlineStr">
        <is>
          <t>Alignment Health Care</t>
        </is>
      </c>
      <c r="H78" s="6" t="inlineStr">
        <is>
          <t>Alignment Health Care</t>
        </is>
      </c>
      <c r="I78" s="6" t="inlineStr">
        <is>
          <t>No Payer</t>
        </is>
      </c>
      <c r="J78" s="8" t="inlineStr">
        <is>
          <t>99492 x1; 99494 x1</t>
        </is>
      </c>
      <c r="K78" s="4" t="n"/>
      <c r="L78" s="5">
        <f>IF($O78="","",$O78-TODAY())</f>
        <v/>
      </c>
      <c r="M78" s="5" t="n"/>
      <c r="N78" s="5" t="n"/>
      <c r="O78" s="7" t="n"/>
      <c r="P78" s="6" t="n"/>
      <c r="Q78" s="6" t="inlineStr">
        <is>
          <t>Not on reference list</t>
        </is>
      </c>
      <c r="R78" s="6" t="n"/>
      <c r="S78" s="6" t="n"/>
      <c r="T78" s="6" t="n"/>
      <c r="U78" s="6" t="n"/>
      <c r="V78" s="6" t="n"/>
      <c r="W78" s="6" t="n"/>
      <c r="X78" s="6" t="n"/>
      <c r="Y78" s="6" t="inlineStr">
        <is>
          <t>1</t>
        </is>
      </c>
      <c r="Z78" s="9" t="n">
        <v>1426.25</v>
      </c>
      <c r="AA78" s="9" t="n">
        <v>0</v>
      </c>
      <c r="AB78" s="9" t="n">
        <v>0</v>
      </c>
      <c r="AC78" s="7" t="n"/>
      <c r="AD78" s="9" t="n">
        <v>1426.25</v>
      </c>
      <c r="AE78" s="5" t="n">
        <v>50</v>
      </c>
      <c r="AF78" s="6" t="inlineStr">
        <is>
          <t>F4320</t>
        </is>
      </c>
      <c r="AG78" s="6" t="n"/>
      <c r="AH78" s="6" t="n"/>
      <c r="AI78" s="6" t="n"/>
      <c r="AJ78" s="5" t="n"/>
      <c r="AK78" s="6" t="inlineStr">
        <is>
          <t>TURLEY, TODD</t>
        </is>
      </c>
      <c r="AL78" s="6" t="inlineStr">
        <is>
          <t>ASAP - Surprise - Reems</t>
        </is>
      </c>
      <c r="AM78" s="7" t="n">
        <v>46217</v>
      </c>
      <c r="AN78" s="6" t="inlineStr">
        <is>
          <t>BH</t>
        </is>
      </c>
      <c r="AO78" s="6" t="inlineStr">
        <is>
          <t>422, 423</t>
        </is>
      </c>
    </row>
    <row r="79">
      <c r="A79" s="2" t="n"/>
      <c r="B79" s="3" t="n"/>
      <c r="C79" s="4" t="n"/>
      <c r="D79" s="5" t="n">
        <v>563312859</v>
      </c>
      <c r="E79" s="6" t="inlineStr">
        <is>
          <t>HF470289659</t>
        </is>
      </c>
      <c r="F79" s="7" t="n">
        <v>46195</v>
      </c>
      <c r="G79" s="6" t="inlineStr">
        <is>
          <t>UMR Wausau / UHIS</t>
        </is>
      </c>
      <c r="H79" s="6" t="inlineStr">
        <is>
          <t>UMR Wausau / UHIS</t>
        </is>
      </c>
      <c r="I79" s="6" t="inlineStr">
        <is>
          <t>No Payer</t>
        </is>
      </c>
      <c r="J79" s="8" t="inlineStr">
        <is>
          <t>99494 x2; 99493 x1</t>
        </is>
      </c>
      <c r="K79" s="4" t="n"/>
      <c r="L79" s="5">
        <f>IF($O79="","",$O79-TODAY())</f>
        <v/>
      </c>
      <c r="M79" s="5" t="n"/>
      <c r="N79" s="5">
        <f>IF($C79="","",$C79+180-TODAY())</f>
        <v/>
      </c>
      <c r="O79" s="7" t="n"/>
      <c r="P79" s="6" t="n"/>
      <c r="Q79" s="6" t="inlineStr">
        <is>
          <t>UMR / WAUSAU</t>
        </is>
      </c>
      <c r="R79" s="6" t="n"/>
      <c r="S79" s="6" t="n"/>
      <c r="T79" s="6" t="inlineStr">
        <is>
          <t>180 days</t>
        </is>
      </c>
      <c r="U79" s="6" t="inlineStr">
        <is>
          <t>Processed date</t>
        </is>
      </c>
      <c r="V79" s="6" t="n"/>
      <c r="W79" s="6" t="n"/>
      <c r="X79" s="6" t="n"/>
      <c r="Y79" s="6" t="inlineStr">
        <is>
          <t>2, 1</t>
        </is>
      </c>
      <c r="Z79" s="9" t="n">
        <v>1769.18</v>
      </c>
      <c r="AA79" s="9" t="n">
        <v>0</v>
      </c>
      <c r="AB79" s="9" t="n">
        <v>0</v>
      </c>
      <c r="AC79" s="7" t="n"/>
      <c r="AD79" s="9" t="n">
        <v>1769.18</v>
      </c>
      <c r="AE79" s="5" t="n">
        <v>47</v>
      </c>
      <c r="AF79" s="6" t="inlineStr">
        <is>
          <t>F331</t>
        </is>
      </c>
      <c r="AG79" s="6" t="n"/>
      <c r="AH79" s="6" t="n"/>
      <c r="AI79" s="6" t="n"/>
      <c r="AJ79" s="5" t="n"/>
      <c r="AK79" s="6" t="inlineStr">
        <is>
          <t>TURLEY, TODD</t>
        </is>
      </c>
      <c r="AL79" s="6" t="inlineStr">
        <is>
          <t>ASAP Peoria</t>
        </is>
      </c>
      <c r="AM79" s="7" t="n">
        <v>46217</v>
      </c>
      <c r="AN79" s="6" t="inlineStr">
        <is>
          <t>BH</t>
        </is>
      </c>
      <c r="AO79" s="6" t="inlineStr">
        <is>
          <t>1017, 1031</t>
        </is>
      </c>
    </row>
    <row r="80">
      <c r="A80" s="2" t="n"/>
      <c r="B80" s="3" t="n"/>
      <c r="C80" s="4" t="n"/>
      <c r="D80" s="5" t="n">
        <v>563421228</v>
      </c>
      <c r="E80" s="6" t="inlineStr">
        <is>
          <t>HF561201154</t>
        </is>
      </c>
      <c r="F80" s="7" t="n">
        <v>46198</v>
      </c>
      <c r="G80" s="6" t="inlineStr">
        <is>
          <t>Alignment Health Care</t>
        </is>
      </c>
      <c r="H80" s="6" t="inlineStr">
        <is>
          <t>Alignment Health Care</t>
        </is>
      </c>
      <c r="I80" s="6" t="inlineStr">
        <is>
          <t>No Payer</t>
        </is>
      </c>
      <c r="J80" s="8" t="inlineStr">
        <is>
          <t>99494 x1; 99492 x1</t>
        </is>
      </c>
      <c r="K80" s="4" t="n"/>
      <c r="L80" s="5">
        <f>IF($O80="","",$O80-TODAY())</f>
        <v/>
      </c>
      <c r="M80" s="5" t="n"/>
      <c r="N80" s="5" t="n"/>
      <c r="O80" s="7" t="n"/>
      <c r="P80" s="6" t="n"/>
      <c r="Q80" s="6" t="inlineStr">
        <is>
          <t>Not on reference list</t>
        </is>
      </c>
      <c r="R80" s="6" t="n"/>
      <c r="S80" s="6" t="n"/>
      <c r="T80" s="6" t="n"/>
      <c r="U80" s="6" t="n"/>
      <c r="V80" s="6" t="n"/>
      <c r="W80" s="6" t="n"/>
      <c r="X80" s="6" t="n"/>
      <c r="Y80" s="6" t="inlineStr">
        <is>
          <t>1</t>
        </is>
      </c>
      <c r="Z80" s="9" t="n">
        <v>1426.25</v>
      </c>
      <c r="AA80" s="9" t="n">
        <v>0</v>
      </c>
      <c r="AB80" s="9" t="n">
        <v>0</v>
      </c>
      <c r="AC80" s="7" t="n"/>
      <c r="AD80" s="9" t="n">
        <v>1426.25</v>
      </c>
      <c r="AE80" s="5" t="n">
        <v>44</v>
      </c>
      <c r="AF80" s="6" t="inlineStr">
        <is>
          <t>F4320</t>
        </is>
      </c>
      <c r="AG80" s="6" t="n"/>
      <c r="AH80" s="6" t="n"/>
      <c r="AI80" s="6" t="n"/>
      <c r="AJ80" s="5" t="n"/>
      <c r="AK80" s="6" t="inlineStr">
        <is>
          <t>O'NEIL, ROY</t>
        </is>
      </c>
      <c r="AL80" s="6" t="inlineStr">
        <is>
          <t>ASAP - Avondale</t>
        </is>
      </c>
      <c r="AM80" s="7" t="n">
        <v>46217</v>
      </c>
      <c r="AN80" s="6" t="inlineStr">
        <is>
          <t>BH</t>
        </is>
      </c>
      <c r="AO80" s="6" t="inlineStr">
        <is>
          <t>820, 822</t>
        </is>
      </c>
    </row>
    <row r="81">
      <c r="A81" s="2" t="n"/>
      <c r="B81" s="3" t="n"/>
      <c r="C81" s="4" t="n"/>
      <c r="D81" s="5" t="n">
        <v>563431840</v>
      </c>
      <c r="E81" s="6" t="inlineStr">
        <is>
          <t>HF545973710</t>
        </is>
      </c>
      <c r="F81" s="7" t="n">
        <v>46198</v>
      </c>
      <c r="G81" s="6" t="inlineStr">
        <is>
          <t>AARP MedicareComplete (SecureHorizons &amp; Oxford Network)</t>
        </is>
      </c>
      <c r="H81" s="6" t="inlineStr">
        <is>
          <t>AARP MedicareComplete (SecureHorizons &amp; Oxford Network)</t>
        </is>
      </c>
      <c r="I81" s="6" t="inlineStr">
        <is>
          <t>No Payer</t>
        </is>
      </c>
      <c r="J81" s="8" t="inlineStr">
        <is>
          <t>99494 x1; 99492 x1</t>
        </is>
      </c>
      <c r="K81" s="4" t="n"/>
      <c r="L81" s="5">
        <f>IF($O81="","",$O81-TODAY())</f>
        <v/>
      </c>
      <c r="M81" s="5">
        <f>IF($C81="","",$C81+180-TODAY())</f>
        <v/>
      </c>
      <c r="N81" s="5">
        <f>IF($C81="","",$C81+365-TODAY())</f>
        <v/>
      </c>
      <c r="O81" s="7" t="n"/>
      <c r="P81" s="6" t="n"/>
      <c r="Q81" s="6" t="inlineStr">
        <is>
          <t>AARP MA CHOICE / MEDICARE COMPLETE</t>
        </is>
      </c>
      <c r="R81" s="6" t="inlineStr">
        <is>
          <t>180 days</t>
        </is>
      </c>
      <c r="S81" s="6" t="inlineStr">
        <is>
          <t>Processed date</t>
        </is>
      </c>
      <c r="T81" s="6" t="inlineStr">
        <is>
          <t>365 days</t>
        </is>
      </c>
      <c r="U81" s="6" t="inlineStr">
        <is>
          <t>Processed date</t>
        </is>
      </c>
      <c r="V81" s="6" t="n"/>
      <c r="W81" s="6" t="n"/>
      <c r="X81" s="6" t="n"/>
      <c r="Y81" s="6" t="inlineStr">
        <is>
          <t>1</t>
        </is>
      </c>
      <c r="Z81" s="9" t="n">
        <v>1426.25</v>
      </c>
      <c r="AA81" s="9" t="n">
        <v>0</v>
      </c>
      <c r="AB81" s="9" t="n">
        <v>0</v>
      </c>
      <c r="AC81" s="7" t="n"/>
      <c r="AD81" s="9" t="n">
        <v>1426.25</v>
      </c>
      <c r="AE81" s="5" t="n">
        <v>44</v>
      </c>
      <c r="AF81" s="6" t="inlineStr">
        <is>
          <t>F4323</t>
        </is>
      </c>
      <c r="AG81" s="6" t="n"/>
      <c r="AH81" s="6" t="n"/>
      <c r="AI81" s="6" t="n"/>
      <c r="AJ81" s="5" t="n"/>
      <c r="AK81" s="6" t="inlineStr">
        <is>
          <t>KRAUSE, JEFFREY</t>
        </is>
      </c>
      <c r="AL81" s="6" t="inlineStr">
        <is>
          <t>ASAP - DEER VALLEY</t>
        </is>
      </c>
      <c r="AM81" s="7" t="n">
        <v>46217</v>
      </c>
      <c r="AN81" s="6" t="inlineStr">
        <is>
          <t>BH</t>
        </is>
      </c>
      <c r="AO81" s="6" t="inlineStr">
        <is>
          <t>967, 968</t>
        </is>
      </c>
    </row>
    <row r="82">
      <c r="A82" s="2" t="n"/>
      <c r="B82" s="3" t="n"/>
      <c r="C82" s="4" t="n"/>
      <c r="D82" s="5" t="n">
        <v>563470580</v>
      </c>
      <c r="E82" s="6" t="inlineStr">
        <is>
          <t>HF563174710</t>
        </is>
      </c>
      <c r="F82" s="7" t="n">
        <v>46198</v>
      </c>
      <c r="G82" s="6" t="inlineStr">
        <is>
          <t>Banner University Care Dual Advantage Plan</t>
        </is>
      </c>
      <c r="H82" s="6" t="inlineStr">
        <is>
          <t>Banner University Care Dual Advantage Plan</t>
        </is>
      </c>
      <c r="I82" s="6" t="inlineStr">
        <is>
          <t>No Payer</t>
        </is>
      </c>
      <c r="J82" s="8" t="inlineStr">
        <is>
          <t>99484 x1</t>
        </is>
      </c>
      <c r="K82" s="4" t="n"/>
      <c r="L82" s="5">
        <f>IF($O82="","",$O82-TODAY())</f>
        <v/>
      </c>
      <c r="M82" s="5" t="n"/>
      <c r="N82" s="5" t="n"/>
      <c r="O82" s="7" t="n"/>
      <c r="P82" s="6" t="n"/>
      <c r="Q82" s="6" t="inlineStr">
        <is>
          <t>Not on reference list</t>
        </is>
      </c>
      <c r="R82" s="6" t="n"/>
      <c r="S82" s="6" t="n"/>
      <c r="T82" s="6" t="n"/>
      <c r="U82" s="6" t="n"/>
      <c r="V82" s="6" t="n"/>
      <c r="W82" s="6" t="n"/>
      <c r="X82" s="6" t="n"/>
      <c r="Y82" s="6" t="inlineStr">
        <is>
          <t>1</t>
        </is>
      </c>
      <c r="Z82" s="9" t="n">
        <v>294.42</v>
      </c>
      <c r="AA82" s="9" t="n">
        <v>0</v>
      </c>
      <c r="AB82" s="9" t="n">
        <v>0</v>
      </c>
      <c r="AC82" s="7" t="n"/>
      <c r="AD82" s="9" t="n">
        <v>294.42</v>
      </c>
      <c r="AE82" s="5" t="n">
        <v>44</v>
      </c>
      <c r="AF82" s="6" t="inlineStr">
        <is>
          <t>Z79891</t>
        </is>
      </c>
      <c r="AG82" s="6" t="inlineStr">
        <is>
          <t>Z1331</t>
        </is>
      </c>
      <c r="AH82" s="6" t="n"/>
      <c r="AI82" s="6" t="n"/>
      <c r="AJ82" s="5" t="n"/>
      <c r="AK82" s="6" t="inlineStr">
        <is>
          <t>WILSON, JARED</t>
        </is>
      </c>
      <c r="AL82" s="6" t="inlineStr">
        <is>
          <t>ASAP - Tucson</t>
        </is>
      </c>
      <c r="AM82" s="7" t="n">
        <v>46234</v>
      </c>
      <c r="AN82" s="6" t="inlineStr">
        <is>
          <t>BH</t>
        </is>
      </c>
      <c r="AO82" s="6" t="inlineStr">
        <is>
          <t>595</t>
        </is>
      </c>
    </row>
  </sheetData>
  <autoFilter ref="A1:AO82"/>
  <conditionalFormatting sqref="L2:L8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8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8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8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8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O5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46211</v>
      </c>
      <c r="D2" s="5" t="n">
        <v>564111540</v>
      </c>
      <c r="E2" s="6" t="inlineStr">
        <is>
          <t>HF557656306</t>
        </is>
      </c>
      <c r="F2" s="7" t="n">
        <v>46199</v>
      </c>
      <c r="G2" s="6" t="inlineStr">
        <is>
          <t>Devoted Health Plan</t>
        </is>
      </c>
      <c r="H2" s="6" t="inlineStr">
        <is>
          <t>Devoted Health Plan</t>
        </is>
      </c>
      <c r="I2" s="6" t="inlineStr">
        <is>
          <t>Tricare for Life (All Regions)</t>
        </is>
      </c>
      <c r="J2" s="8" t="inlineStr">
        <is>
          <t>A6023+A1 x20</t>
        </is>
      </c>
      <c r="K2" s="4" t="n"/>
      <c r="L2" s="5">
        <f>IF($O2="","",$O2-TODAY())</f>
        <v/>
      </c>
      <c r="M2" s="5">
        <f>IF($C2="","",$C2+365-TODAY())</f>
        <v/>
      </c>
      <c r="N2" s="5">
        <f>IF($C2="","",$C2+90-TODAY())</f>
        <v/>
      </c>
      <c r="O2" s="7" t="n">
        <v>46259</v>
      </c>
      <c r="P2" s="6" t="inlineStr">
        <is>
          <t>60 days</t>
        </is>
      </c>
      <c r="Q2" s="6" t="inlineStr">
        <is>
          <t>DEVOTED</t>
        </is>
      </c>
      <c r="R2" s="6" t="inlineStr">
        <is>
          <t>365 days</t>
        </is>
      </c>
      <c r="S2" s="6" t="inlineStr">
        <is>
          <t>Processed date</t>
        </is>
      </c>
      <c r="T2" s="6" t="inlineStr">
        <is>
          <t>90 days</t>
        </is>
      </c>
      <c r="U2" s="6" t="inlineStr">
        <is>
          <t>Processed date</t>
        </is>
      </c>
      <c r="V2" s="6" t="inlineStr">
        <is>
          <t>A1</t>
        </is>
      </c>
      <c r="W2" s="6" t="n"/>
      <c r="X2" s="6" t="n"/>
      <c r="Y2" s="6" t="inlineStr">
        <is>
          <t>20</t>
        </is>
      </c>
      <c r="Z2" s="9" t="n">
        <v>36353.8</v>
      </c>
      <c r="AA2" s="9" t="n">
        <v>0</v>
      </c>
      <c r="AB2" s="9" t="n">
        <v>0</v>
      </c>
      <c r="AC2" s="7" t="n">
        <v>46211</v>
      </c>
      <c r="AD2" s="9" t="n">
        <v>36353.8</v>
      </c>
      <c r="AE2" s="5" t="n">
        <v>43</v>
      </c>
      <c r="AF2" s="6" t="inlineStr">
        <is>
          <t>G894</t>
        </is>
      </c>
      <c r="AG2" s="6" t="inlineStr">
        <is>
          <t>M48062</t>
        </is>
      </c>
      <c r="AH2" s="6" t="n"/>
      <c r="AI2" s="6" t="n"/>
      <c r="AJ2" s="5" t="n"/>
      <c r="AK2" s="6" t="inlineStr">
        <is>
          <t>OROC, RENEE</t>
        </is>
      </c>
      <c r="AL2" s="6" t="inlineStr">
        <is>
          <t>ASAP - Mesa</t>
        </is>
      </c>
      <c r="AM2" s="7" t="n">
        <v>46205</v>
      </c>
      <c r="AN2" s="6" t="inlineStr">
        <is>
          <t>DME</t>
        </is>
      </c>
      <c r="AO2" s="6" t="inlineStr">
        <is>
          <t>771</t>
        </is>
      </c>
    </row>
    <row r="3">
      <c r="A3" s="2" t="n"/>
      <c r="B3" s="3" t="n"/>
      <c r="C3" s="4" t="n">
        <v>46212</v>
      </c>
      <c r="D3" s="5" t="n">
        <v>562162337</v>
      </c>
      <c r="E3" s="6" t="inlineStr">
        <is>
          <t>HF438667754</t>
        </is>
      </c>
      <c r="F3" s="7" t="n">
        <v>46174</v>
      </c>
      <c r="G3" s="6" t="inlineStr">
        <is>
          <t>United Healthcare</t>
        </is>
      </c>
      <c r="H3" s="6" t="inlineStr">
        <is>
          <t>United Healthcare</t>
        </is>
      </c>
      <c r="I3" s="6" t="inlineStr">
        <is>
          <t>No Payer</t>
        </is>
      </c>
      <c r="J3" s="8" t="inlineStr">
        <is>
          <t>A6010+A1 x20</t>
        </is>
      </c>
      <c r="K3" s="4" t="n"/>
      <c r="L3" s="5">
        <f>IF($O3="","",$O3-TODAY())</f>
        <v/>
      </c>
      <c r="M3" s="5">
        <f>IF($C3="","",$C3+180-TODAY())</f>
        <v/>
      </c>
      <c r="N3" s="5">
        <f>IF($C3="","",$C3+365-TODAY())</f>
        <v/>
      </c>
      <c r="O3" s="7" t="n">
        <v>46264</v>
      </c>
      <c r="P3" s="6" t="inlineStr">
        <is>
          <t>90 days</t>
        </is>
      </c>
      <c r="Q3" s="6" t="inlineStr">
        <is>
          <t>UHC COMMERCIAL</t>
        </is>
      </c>
      <c r="R3" s="6" t="inlineStr">
        <is>
          <t>180 days</t>
        </is>
      </c>
      <c r="S3" s="6" t="inlineStr">
        <is>
          <t>Processed date</t>
        </is>
      </c>
      <c r="T3" s="6" t="inlineStr">
        <is>
          <t>365 days</t>
        </is>
      </c>
      <c r="U3" s="6" t="inlineStr">
        <is>
          <t>Processed date</t>
        </is>
      </c>
      <c r="V3" s="6" t="inlineStr">
        <is>
          <t>A1</t>
        </is>
      </c>
      <c r="W3" s="6" t="n"/>
      <c r="X3" s="6" t="n"/>
      <c r="Y3" s="6" t="inlineStr">
        <is>
          <t>20</t>
        </is>
      </c>
      <c r="Z3" s="9" t="n">
        <v>5916.4</v>
      </c>
      <c r="AA3" s="9" t="n">
        <v>0</v>
      </c>
      <c r="AB3" s="9" t="n">
        <v>0</v>
      </c>
      <c r="AC3" s="7" t="n">
        <v>46212</v>
      </c>
      <c r="AD3" s="9" t="n">
        <v>5916.4</v>
      </c>
      <c r="AE3" s="5" t="n">
        <v>68</v>
      </c>
      <c r="AF3" s="6" t="inlineStr">
        <is>
          <t>G894</t>
        </is>
      </c>
      <c r="AG3" s="6" t="n"/>
      <c r="AH3" s="6" t="n"/>
      <c r="AI3" s="6" t="n"/>
      <c r="AJ3" s="5" t="n"/>
      <c r="AK3" s="6" t="inlineStr">
        <is>
          <t>KOMINSKY, STEPHEN</t>
        </is>
      </c>
      <c r="AL3" s="6" t="inlineStr">
        <is>
          <t>ASAP - DEER VALLEY</t>
        </is>
      </c>
      <c r="AM3" s="7" t="n">
        <v>46185</v>
      </c>
      <c r="AN3" s="6" t="inlineStr">
        <is>
          <t>DME</t>
        </is>
      </c>
      <c r="AO3" s="6" t="inlineStr">
        <is>
          <t>735</t>
        </is>
      </c>
    </row>
    <row r="4">
      <c r="A4" s="2" t="n"/>
      <c r="B4" s="3" t="n"/>
      <c r="C4" s="4" t="n">
        <v>46224</v>
      </c>
      <c r="D4" s="5" t="n">
        <v>563985783</v>
      </c>
      <c r="E4" s="6" t="inlineStr">
        <is>
          <t>HF488155930</t>
        </is>
      </c>
      <c r="F4" s="7" t="n">
        <v>46174</v>
      </c>
      <c r="G4" s="6" t="inlineStr">
        <is>
          <t>Optum Care Medical Network of Arizona, Utah, &amp; Washington (LifePrint)</t>
        </is>
      </c>
      <c r="H4" s="6" t="inlineStr">
        <is>
          <t>Optum Care Medical Network of Arizona, Utah, &amp; Washington (LifePrint)</t>
        </is>
      </c>
      <c r="I4" s="6" t="inlineStr">
        <is>
          <t>No Payer</t>
        </is>
      </c>
      <c r="J4" s="8" t="inlineStr">
        <is>
          <t>A6010+A1 x20</t>
        </is>
      </c>
      <c r="K4" s="4" t="n"/>
      <c r="L4" s="5">
        <f>IF($O4="","",$O4-TODAY())</f>
        <v/>
      </c>
      <c r="M4" s="5">
        <f>IF($C4="","",$C4+365-TODAY())</f>
        <v/>
      </c>
      <c r="N4" s="5">
        <f>IF($C4="","",$C4+365-TODAY())</f>
        <v/>
      </c>
      <c r="O4" s="7" t="n">
        <v>46264</v>
      </c>
      <c r="P4" s="6" t="inlineStr">
        <is>
          <t>90 days</t>
        </is>
      </c>
      <c r="Q4" s="6" t="inlineStr">
        <is>
          <t>OPTUM</t>
        </is>
      </c>
      <c r="R4" s="6" t="inlineStr">
        <is>
          <t>365 days</t>
        </is>
      </c>
      <c r="S4" s="6" t="inlineStr">
        <is>
          <t>Processed date</t>
        </is>
      </c>
      <c r="T4" s="6" t="inlineStr">
        <is>
          <t>365 days</t>
        </is>
      </c>
      <c r="U4" s="6" t="inlineStr">
        <is>
          <t>Processed date</t>
        </is>
      </c>
      <c r="V4" s="6" t="inlineStr">
        <is>
          <t>A1</t>
        </is>
      </c>
      <c r="W4" s="6" t="n"/>
      <c r="X4" s="6" t="n"/>
      <c r="Y4" s="6" t="inlineStr">
        <is>
          <t>20</t>
        </is>
      </c>
      <c r="Z4" s="9" t="n">
        <v>5916.4</v>
      </c>
      <c r="AA4" s="9" t="n">
        <v>0</v>
      </c>
      <c r="AB4" s="9" t="n">
        <v>0</v>
      </c>
      <c r="AC4" s="7" t="n">
        <v>46224</v>
      </c>
      <c r="AD4" s="9" t="n">
        <v>5916.4</v>
      </c>
      <c r="AE4" s="5" t="n">
        <v>68</v>
      </c>
      <c r="AF4" s="6" t="inlineStr">
        <is>
          <t>G894</t>
        </is>
      </c>
      <c r="AG4" s="6" t="inlineStr">
        <is>
          <t>M461</t>
        </is>
      </c>
      <c r="AH4" s="6" t="n"/>
      <c r="AI4" s="6" t="n"/>
      <c r="AJ4" s="5" t="n"/>
      <c r="AK4" s="6" t="inlineStr">
        <is>
          <t>WONG, KELLY</t>
        </is>
      </c>
      <c r="AL4" s="6" t="inlineStr">
        <is>
          <t>ASAP - Mesa</t>
        </is>
      </c>
      <c r="AM4" s="7" t="n">
        <v>46185</v>
      </c>
      <c r="AN4" s="6" t="inlineStr">
        <is>
          <t>DME</t>
        </is>
      </c>
      <c r="AO4" s="6" t="inlineStr">
        <is>
          <t>329</t>
        </is>
      </c>
    </row>
    <row r="5">
      <c r="A5" s="2" t="n"/>
      <c r="B5" s="3" t="n"/>
      <c r="C5" s="4" t="n">
        <v>46212</v>
      </c>
      <c r="D5" s="5" t="n">
        <v>562140119</v>
      </c>
      <c r="E5" s="6" t="inlineStr">
        <is>
          <t>HF557730068</t>
        </is>
      </c>
      <c r="F5" s="7" t="n">
        <v>46175</v>
      </c>
      <c r="G5" s="6" t="inlineStr">
        <is>
          <t>Optum Care Medical Network of Arizona, Utah, &amp; Washington (LifePrint)</t>
        </is>
      </c>
      <c r="H5" s="6" t="inlineStr">
        <is>
          <t>Optum Care Medical Network of Arizona, Utah, &amp; Washington (LifePrint)</t>
        </is>
      </c>
      <c r="I5" s="6" t="inlineStr">
        <is>
          <t>No Payer</t>
        </is>
      </c>
      <c r="J5" s="8" t="inlineStr">
        <is>
          <t>A6010+A2 x40</t>
        </is>
      </c>
      <c r="K5" s="4" t="n"/>
      <c r="L5" s="5">
        <f>IF($O5="","",$O5-TODAY())</f>
        <v/>
      </c>
      <c r="M5" s="5">
        <f>IF($C5="","",$C5+365-TODAY())</f>
        <v/>
      </c>
      <c r="N5" s="5">
        <f>IF($C5="","",$C5+365-TODAY())</f>
        <v/>
      </c>
      <c r="O5" s="7" t="n">
        <v>46265</v>
      </c>
      <c r="P5" s="6" t="inlineStr">
        <is>
          <t>90 days</t>
        </is>
      </c>
      <c r="Q5" s="6" t="inlineStr">
        <is>
          <t>OPTUM</t>
        </is>
      </c>
      <c r="R5" s="6" t="inlineStr">
        <is>
          <t>365 days</t>
        </is>
      </c>
      <c r="S5" s="6" t="inlineStr">
        <is>
          <t>Processed date</t>
        </is>
      </c>
      <c r="T5" s="6" t="inlineStr">
        <is>
          <t>365 days</t>
        </is>
      </c>
      <c r="U5" s="6" t="inlineStr">
        <is>
          <t>Processed date</t>
        </is>
      </c>
      <c r="V5" s="6" t="inlineStr">
        <is>
          <t>A2</t>
        </is>
      </c>
      <c r="W5" s="6" t="n"/>
      <c r="X5" s="6" t="n"/>
      <c r="Y5" s="6" t="inlineStr">
        <is>
          <t>40</t>
        </is>
      </c>
      <c r="Z5" s="9" t="n">
        <v>11832.8</v>
      </c>
      <c r="AA5" s="9" t="n">
        <v>0</v>
      </c>
      <c r="AB5" s="9" t="n">
        <v>0</v>
      </c>
      <c r="AC5" s="7" t="n">
        <v>46212</v>
      </c>
      <c r="AD5" s="9" t="n">
        <v>11832.8</v>
      </c>
      <c r="AE5" s="5" t="n">
        <v>67</v>
      </c>
      <c r="AF5" s="6" t="inlineStr">
        <is>
          <t>G894</t>
        </is>
      </c>
      <c r="AG5" s="6" t="inlineStr">
        <is>
          <t>M5450</t>
        </is>
      </c>
      <c r="AH5" s="6" t="n"/>
      <c r="AI5" s="6" t="n"/>
      <c r="AJ5" s="5" t="n"/>
      <c r="AK5" s="6" t="inlineStr">
        <is>
          <t>CURRIE, DAVID</t>
        </is>
      </c>
      <c r="AL5" s="6" t="inlineStr">
        <is>
          <t>ASAP - Gilbert</t>
        </is>
      </c>
      <c r="AM5" s="7" t="n">
        <v>46185</v>
      </c>
      <c r="AN5" s="6" t="inlineStr">
        <is>
          <t>DME</t>
        </is>
      </c>
      <c r="AO5" s="6" t="inlineStr">
        <is>
          <t>849</t>
        </is>
      </c>
    </row>
    <row r="6">
      <c r="A6" s="2" t="n"/>
      <c r="B6" s="3" t="n"/>
      <c r="C6" s="4" t="n"/>
      <c r="D6" s="5" t="n">
        <v>564662813</v>
      </c>
      <c r="E6" s="6" t="inlineStr">
        <is>
          <t>HF547910822</t>
        </is>
      </c>
      <c r="F6" s="7" t="n">
        <v>46178</v>
      </c>
      <c r="G6" s="6" t="inlineStr">
        <is>
          <t>HealthSpring Medicare Advantage</t>
        </is>
      </c>
      <c r="H6" s="6" t="inlineStr">
        <is>
          <t>HealthSpring Medicare Advantage</t>
        </is>
      </c>
      <c r="I6" s="6" t="inlineStr">
        <is>
          <t>No Payer</t>
        </is>
      </c>
      <c r="J6" s="8" t="inlineStr">
        <is>
          <t>A6010+A1 x20</t>
        </is>
      </c>
      <c r="K6" s="4" t="n"/>
      <c r="L6" s="5">
        <f>IF($O6="","",$O6-TODAY())</f>
        <v/>
      </c>
      <c r="M6" s="5">
        <f>IF($F6="","",$F6+90-TODAY())</f>
        <v/>
      </c>
      <c r="N6" s="5">
        <f>IF($C6="","",$C6+180-TODAY())</f>
        <v/>
      </c>
      <c r="O6" s="7" t="n">
        <v>46268</v>
      </c>
      <c r="P6" s="6" t="inlineStr">
        <is>
          <t>90 days</t>
        </is>
      </c>
      <c r="Q6" s="6" t="inlineStr">
        <is>
          <t>CIGNA / CIGNA MEDICARE</t>
        </is>
      </c>
      <c r="R6" s="6" t="inlineStr">
        <is>
          <t>90 days</t>
        </is>
      </c>
      <c r="S6" s="6" t="inlineStr">
        <is>
          <t>Date of service</t>
        </is>
      </c>
      <c r="T6" s="6" t="inlineStr">
        <is>
          <t>180 days</t>
        </is>
      </c>
      <c r="U6" s="6" t="inlineStr">
        <is>
          <t>Processed date</t>
        </is>
      </c>
      <c r="V6" s="6" t="inlineStr">
        <is>
          <t>A1</t>
        </is>
      </c>
      <c r="W6" s="6" t="n"/>
      <c r="X6" s="6" t="n"/>
      <c r="Y6" s="6" t="inlineStr">
        <is>
          <t>20</t>
        </is>
      </c>
      <c r="Z6" s="9" t="n">
        <v>5916.4</v>
      </c>
      <c r="AA6" s="9" t="n">
        <v>0</v>
      </c>
      <c r="AB6" s="9" t="n">
        <v>0</v>
      </c>
      <c r="AC6" s="7" t="n"/>
      <c r="AD6" s="9" t="n">
        <v>5916.4</v>
      </c>
      <c r="AE6" s="5" t="n">
        <v>64</v>
      </c>
      <c r="AF6" s="6" t="inlineStr">
        <is>
          <t>G894</t>
        </is>
      </c>
      <c r="AG6" s="6" t="inlineStr">
        <is>
          <t>M48062</t>
        </is>
      </c>
      <c r="AH6" s="6" t="n"/>
      <c r="AI6" s="6" t="n"/>
      <c r="AJ6" s="5" t="n"/>
      <c r="AK6" s="6" t="inlineStr">
        <is>
          <t>OROC, RENEE</t>
        </is>
      </c>
      <c r="AL6" s="6" t="inlineStr">
        <is>
          <t>ASAP - Mesa</t>
        </is>
      </c>
      <c r="AM6" s="7" t="n">
        <v>46211</v>
      </c>
      <c r="AN6" s="6" t="inlineStr">
        <is>
          <t>DME</t>
        </is>
      </c>
      <c r="AO6" s="6" t="inlineStr">
        <is>
          <t>1058</t>
        </is>
      </c>
    </row>
    <row r="7">
      <c r="A7" s="2" t="n"/>
      <c r="B7" s="3" t="n"/>
      <c r="C7" s="4" t="n">
        <v>46202</v>
      </c>
      <c r="D7" s="5" t="n">
        <v>562698907</v>
      </c>
      <c r="E7" s="6" t="inlineStr">
        <is>
          <t>HF506477391</t>
        </is>
      </c>
      <c r="F7" s="7" t="n">
        <v>46182</v>
      </c>
      <c r="G7" s="6" t="inlineStr">
        <is>
          <t>UnitedHealthcare Community Plan / Arizona Long Term Care</t>
        </is>
      </c>
      <c r="H7" s="6" t="inlineStr">
        <is>
          <t>UnitedHealthcare Community Plan / Arizona Long Term Care</t>
        </is>
      </c>
      <c r="I7" s="6" t="inlineStr">
        <is>
          <t>No Payer</t>
        </is>
      </c>
      <c r="J7" s="8" t="inlineStr">
        <is>
          <t>L0650+NU x1</t>
        </is>
      </c>
      <c r="K7" s="4" t="n"/>
      <c r="L7" s="5">
        <f>IF($O7="","",$O7-TODAY())</f>
        <v/>
      </c>
      <c r="M7" s="5">
        <f>IF($C7="","",$C7+180-TODAY())</f>
        <v/>
      </c>
      <c r="N7" s="5">
        <f>IF($C7="","",$C7+365-TODAY())</f>
        <v/>
      </c>
      <c r="O7" s="7" t="n">
        <v>46272</v>
      </c>
      <c r="P7" s="6" t="inlineStr">
        <is>
          <t>90 days</t>
        </is>
      </c>
      <c r="Q7" s="6" t="inlineStr">
        <is>
          <t>UHC COMMUNITY</t>
        </is>
      </c>
      <c r="R7" s="6" t="inlineStr">
        <is>
          <t>180 days</t>
        </is>
      </c>
      <c r="S7" s="6" t="inlineStr">
        <is>
          <t>Processed date</t>
        </is>
      </c>
      <c r="T7" s="6" t="inlineStr">
        <is>
          <t>365 days</t>
        </is>
      </c>
      <c r="U7" s="6" t="inlineStr">
        <is>
          <t>Processed date</t>
        </is>
      </c>
      <c r="V7" s="6" t="inlineStr">
        <is>
          <t>NU</t>
        </is>
      </c>
      <c r="W7" s="6" t="n"/>
      <c r="X7" s="6" t="n"/>
      <c r="Y7" s="6" t="inlineStr">
        <is>
          <t>1</t>
        </is>
      </c>
      <c r="Z7" s="9" t="n">
        <v>6392.96</v>
      </c>
      <c r="AA7" s="9" t="n">
        <v>0</v>
      </c>
      <c r="AB7" s="9" t="n">
        <v>0</v>
      </c>
      <c r="AC7" s="7" t="n">
        <v>46202</v>
      </c>
      <c r="AD7" s="9" t="n">
        <v>6392.96</v>
      </c>
      <c r="AE7" s="5" t="n">
        <v>60</v>
      </c>
      <c r="AF7" s="6" t="inlineStr">
        <is>
          <t>M5416</t>
        </is>
      </c>
      <c r="AG7" s="6" t="inlineStr">
        <is>
          <t>M47816</t>
        </is>
      </c>
      <c r="AH7" s="6" t="n"/>
      <c r="AI7" s="6" t="n"/>
      <c r="AJ7" s="5" t="n"/>
      <c r="AK7" s="6" t="inlineStr">
        <is>
          <t>HOLLISTER, ALICIA</t>
        </is>
      </c>
      <c r="AL7" s="6" t="inlineStr">
        <is>
          <t>ASAP - DEER VALLEY</t>
        </is>
      </c>
      <c r="AM7" s="7" t="n">
        <v>46191</v>
      </c>
      <c r="AN7" s="6" t="inlineStr">
        <is>
          <t>DME</t>
        </is>
      </c>
      <c r="AO7" s="6" t="inlineStr">
        <is>
          <t>804</t>
        </is>
      </c>
    </row>
    <row r="8">
      <c r="A8" s="2" t="n"/>
      <c r="B8" s="3" t="n"/>
      <c r="C8" s="4" t="n">
        <v>46204</v>
      </c>
      <c r="D8" s="5" t="n">
        <v>562572005</v>
      </c>
      <c r="E8" s="6" t="inlineStr">
        <is>
          <t>HF537490920</t>
        </is>
      </c>
      <c r="F8" s="7" t="n">
        <v>46185</v>
      </c>
      <c r="G8" s="6" t="inlineStr">
        <is>
          <t>Blue Cross Blue Shield of Arizona (BCBS AZ)</t>
        </is>
      </c>
      <c r="H8" s="6" t="inlineStr">
        <is>
          <t>Blue Cross Blue Shield of Arizona (BCBS AZ)</t>
        </is>
      </c>
      <c r="I8" s="6" t="inlineStr">
        <is>
          <t>No Payer</t>
        </is>
      </c>
      <c r="J8" s="8" t="inlineStr">
        <is>
          <t>A6010+A1 x20</t>
        </is>
      </c>
      <c r="K8" s="4" t="n"/>
      <c r="L8" s="5">
        <f>IF($O8="","",$O8-TODAY())</f>
        <v/>
      </c>
      <c r="M8" s="5">
        <f>IF($C8="","",$C8+365-TODAY())</f>
        <v/>
      </c>
      <c r="N8" s="5">
        <f>IF($C8="","",$C8+365-TODAY())</f>
        <v/>
      </c>
      <c r="O8" s="7" t="n">
        <v>46275</v>
      </c>
      <c r="P8" s="6" t="inlineStr">
        <is>
          <t>90 days</t>
        </is>
      </c>
      <c r="Q8" s="6" t="inlineStr">
        <is>
          <t>BCBS</t>
        </is>
      </c>
      <c r="R8" s="6" t="inlineStr">
        <is>
          <t>365 days</t>
        </is>
      </c>
      <c r="S8" s="6" t="inlineStr">
        <is>
          <t>Processed date</t>
        </is>
      </c>
      <c r="T8" s="6" t="inlineStr">
        <is>
          <t>365 days</t>
        </is>
      </c>
      <c r="U8" s="6" t="inlineStr">
        <is>
          <t>Processed date</t>
        </is>
      </c>
      <c r="V8" s="6" t="inlineStr">
        <is>
          <t>A1</t>
        </is>
      </c>
      <c r="W8" s="6" t="n"/>
      <c r="X8" s="6" t="n"/>
      <c r="Y8" s="6" t="inlineStr">
        <is>
          <t>20</t>
        </is>
      </c>
      <c r="Z8" s="9" t="n">
        <v>5916.4</v>
      </c>
      <c r="AA8" s="9" t="n">
        <v>0</v>
      </c>
      <c r="AB8" s="9" t="n">
        <v>0</v>
      </c>
      <c r="AC8" s="7" t="n">
        <v>46204</v>
      </c>
      <c r="AD8" s="9" t="n">
        <v>5916.4</v>
      </c>
      <c r="AE8" s="5" t="n">
        <v>57</v>
      </c>
      <c r="AF8" s="6" t="inlineStr">
        <is>
          <t>G894</t>
        </is>
      </c>
      <c r="AG8" s="6" t="n"/>
      <c r="AH8" s="6" t="n"/>
      <c r="AI8" s="6" t="n"/>
      <c r="AJ8" s="5" t="n"/>
      <c r="AK8" s="6" t="inlineStr">
        <is>
          <t>TONDINI, JENISE</t>
        </is>
      </c>
      <c r="AL8" s="6" t="inlineStr">
        <is>
          <t>ASAP - Goodyear</t>
        </is>
      </c>
      <c r="AM8" s="7" t="n">
        <v>46190</v>
      </c>
      <c r="AN8" s="6" t="inlineStr">
        <is>
          <t>DME</t>
        </is>
      </c>
      <c r="AO8" s="6" t="inlineStr">
        <is>
          <t>850</t>
        </is>
      </c>
    </row>
    <row r="9">
      <c r="A9" s="2" t="n"/>
      <c r="B9" s="3" t="n"/>
      <c r="C9" s="4" t="n">
        <v>46202</v>
      </c>
      <c r="D9" s="5" t="n">
        <v>562729752</v>
      </c>
      <c r="E9" s="6" t="inlineStr">
        <is>
          <t>HF519300380</t>
        </is>
      </c>
      <c r="F9" s="7" t="n">
        <v>46189</v>
      </c>
      <c r="G9" s="6" t="inlineStr">
        <is>
          <t>UnitedHealthcare Community Plan / Arizona Long Term Care</t>
        </is>
      </c>
      <c r="H9" s="6" t="inlineStr">
        <is>
          <t>UnitedHealthcare Community Plan / Arizona Long Term Care</t>
        </is>
      </c>
      <c r="I9" s="6" t="inlineStr">
        <is>
          <t>No Payer</t>
        </is>
      </c>
      <c r="J9" s="8" t="inlineStr">
        <is>
          <t>A6010+A1 x10</t>
        </is>
      </c>
      <c r="K9" s="4" t="n"/>
      <c r="L9" s="5">
        <f>IF($O9="","",$O9-TODAY())</f>
        <v/>
      </c>
      <c r="M9" s="5">
        <f>IF($C9="","",$C9+180-TODAY())</f>
        <v/>
      </c>
      <c r="N9" s="5">
        <f>IF($C9="","",$C9+365-TODAY())</f>
        <v/>
      </c>
      <c r="O9" s="7" t="n">
        <v>46279</v>
      </c>
      <c r="P9" s="6" t="inlineStr">
        <is>
          <t>90 days</t>
        </is>
      </c>
      <c r="Q9" s="6" t="inlineStr">
        <is>
          <t>UHC COMMUNITY</t>
        </is>
      </c>
      <c r="R9" s="6" t="inlineStr">
        <is>
          <t>180 days</t>
        </is>
      </c>
      <c r="S9" s="6" t="inlineStr">
        <is>
          <t>Processed date</t>
        </is>
      </c>
      <c r="T9" s="6" t="inlineStr">
        <is>
          <t>365 days</t>
        </is>
      </c>
      <c r="U9" s="6" t="inlineStr">
        <is>
          <t>Processed date</t>
        </is>
      </c>
      <c r="V9" s="6" t="inlineStr">
        <is>
          <t>A1</t>
        </is>
      </c>
      <c r="W9" s="6" t="n"/>
      <c r="X9" s="6" t="n"/>
      <c r="Y9" s="6" t="inlineStr">
        <is>
          <t>10</t>
        </is>
      </c>
      <c r="Z9" s="9" t="n">
        <v>2958.2</v>
      </c>
      <c r="AA9" s="9" t="n">
        <v>0</v>
      </c>
      <c r="AB9" s="9" t="n">
        <v>0</v>
      </c>
      <c r="AC9" s="7" t="n">
        <v>46202</v>
      </c>
      <c r="AD9" s="9" t="n">
        <v>2958.2</v>
      </c>
      <c r="AE9" s="5" t="n">
        <v>53</v>
      </c>
      <c r="AF9" s="6" t="inlineStr">
        <is>
          <t>G894</t>
        </is>
      </c>
      <c r="AG9" s="6" t="n"/>
      <c r="AH9" s="6" t="n"/>
      <c r="AI9" s="6" t="n"/>
      <c r="AJ9" s="5" t="n"/>
      <c r="AK9" s="6" t="inlineStr">
        <is>
          <t>HOLLISTER, ALICIA</t>
        </is>
      </c>
      <c r="AL9" s="6" t="inlineStr">
        <is>
          <t>ASAP - DEER VALLEY</t>
        </is>
      </c>
      <c r="AM9" s="7" t="n">
        <v>46191</v>
      </c>
      <c r="AN9" s="6" t="inlineStr">
        <is>
          <t>DME</t>
        </is>
      </c>
      <c r="AO9" s="6" t="inlineStr">
        <is>
          <t>753</t>
        </is>
      </c>
    </row>
    <row r="10">
      <c r="A10" s="2" t="n"/>
      <c r="B10" s="3" t="n"/>
      <c r="C10" s="4" t="n">
        <v>46225</v>
      </c>
      <c r="D10" s="5" t="n">
        <v>562710031</v>
      </c>
      <c r="E10" s="6" t="inlineStr">
        <is>
          <t>HF499093825</t>
        </is>
      </c>
      <c r="F10" s="7" t="n">
        <v>46190</v>
      </c>
      <c r="G10" s="6" t="inlineStr">
        <is>
          <t>HealthSpring Medicare Advantage</t>
        </is>
      </c>
      <c r="H10" s="6" t="inlineStr">
        <is>
          <t>HealthSpring Medicare Advantage</t>
        </is>
      </c>
      <c r="I10" s="6" t="inlineStr">
        <is>
          <t>No Payer</t>
        </is>
      </c>
      <c r="J10" s="8" t="inlineStr">
        <is>
          <t>L0648+KX x1</t>
        </is>
      </c>
      <c r="K10" s="4" t="n"/>
      <c r="L10" s="5">
        <f>IF($O10="","",$O10-TODAY())</f>
        <v/>
      </c>
      <c r="M10" s="5">
        <f>IF($F10="","",$F10+90-TODAY())</f>
        <v/>
      </c>
      <c r="N10" s="5">
        <f>IF($C10="","",$C10+180-TODAY())</f>
        <v/>
      </c>
      <c r="O10" s="7" t="n">
        <v>46280</v>
      </c>
      <c r="P10" s="6" t="inlineStr">
        <is>
          <t>90 days</t>
        </is>
      </c>
      <c r="Q10" s="6" t="inlineStr">
        <is>
          <t>CIGNA / CIGNA MEDICARE</t>
        </is>
      </c>
      <c r="R10" s="6" t="inlineStr">
        <is>
          <t>90 days</t>
        </is>
      </c>
      <c r="S10" s="6" t="inlineStr">
        <is>
          <t>Date of service</t>
        </is>
      </c>
      <c r="T10" s="6" t="inlineStr">
        <is>
          <t>180 days</t>
        </is>
      </c>
      <c r="U10" s="6" t="inlineStr">
        <is>
          <t>Processed date</t>
        </is>
      </c>
      <c r="V10" s="6" t="inlineStr">
        <is>
          <t>KX</t>
        </is>
      </c>
      <c r="W10" s="6" t="n"/>
      <c r="X10" s="6" t="n"/>
      <c r="Y10" s="6" t="inlineStr">
        <is>
          <t>1</t>
        </is>
      </c>
      <c r="Z10" s="9" t="n">
        <v>5492.55</v>
      </c>
      <c r="AA10" s="9" t="n">
        <v>0</v>
      </c>
      <c r="AB10" s="9" t="n">
        <v>0</v>
      </c>
      <c r="AC10" s="7" t="n">
        <v>46225</v>
      </c>
      <c r="AD10" s="9" t="n">
        <v>5492.55</v>
      </c>
      <c r="AE10" s="5" t="n">
        <v>52</v>
      </c>
      <c r="AF10" s="6" t="inlineStr">
        <is>
          <t>M461</t>
        </is>
      </c>
      <c r="AG10" s="6" t="inlineStr">
        <is>
          <t>M47816</t>
        </is>
      </c>
      <c r="AH10" s="6" t="n"/>
      <c r="AI10" s="6" t="n"/>
      <c r="AJ10" s="5" t="n"/>
      <c r="AK10" s="6" t="inlineStr">
        <is>
          <t>OROC, RENEE</t>
        </is>
      </c>
      <c r="AL10" s="6" t="inlineStr">
        <is>
          <t>ASAP - Mesa</t>
        </is>
      </c>
      <c r="AM10" s="7" t="n">
        <v>46191</v>
      </c>
      <c r="AN10" s="6" t="inlineStr">
        <is>
          <t>DME</t>
        </is>
      </c>
      <c r="AO10" s="6" t="inlineStr">
        <is>
          <t>871</t>
        </is>
      </c>
    </row>
    <row r="11">
      <c r="A11" s="2" t="n"/>
      <c r="B11" s="3" t="n"/>
      <c r="C11" s="4" t="n"/>
      <c r="D11" s="5" t="n">
        <v>563171807</v>
      </c>
      <c r="E11" s="6" t="inlineStr">
        <is>
          <t>HF492208813</t>
        </is>
      </c>
      <c r="F11" s="7" t="n">
        <v>46191</v>
      </c>
      <c r="G11" s="6" t="inlineStr">
        <is>
          <t>Blue Cross Blue Shield of Arizona (BCBS AZ)</t>
        </is>
      </c>
      <c r="H11" s="6" t="inlineStr">
        <is>
          <t>Blue Cross Blue Shield of Arizona (BCBS AZ)</t>
        </is>
      </c>
      <c r="I11" s="6" t="inlineStr">
        <is>
          <t>Blue Cross Blue Shield of Arizona (BCBS AZ)</t>
        </is>
      </c>
      <c r="J11" s="8" t="inlineStr">
        <is>
          <t>A6010+A1 x10</t>
        </is>
      </c>
      <c r="K11" s="4" t="n"/>
      <c r="L11" s="5">
        <f>IF($O11="","",$O11-TODAY())</f>
        <v/>
      </c>
      <c r="M11" s="5">
        <f>IF($C11="","",$C11+365-TODAY())</f>
        <v/>
      </c>
      <c r="N11" s="5">
        <f>IF($C11="","",$C11+365-TODAY())</f>
        <v/>
      </c>
      <c r="O11" s="7" t="n">
        <v>46281</v>
      </c>
      <c r="P11" s="6" t="inlineStr">
        <is>
          <t>90 days</t>
        </is>
      </c>
      <c r="Q11" s="6" t="inlineStr">
        <is>
          <t>BCBS</t>
        </is>
      </c>
      <c r="R11" s="6" t="inlineStr">
        <is>
          <t>365 days</t>
        </is>
      </c>
      <c r="S11" s="6" t="inlineStr">
        <is>
          <t>Processed date</t>
        </is>
      </c>
      <c r="T11" s="6" t="inlineStr">
        <is>
          <t>365 days</t>
        </is>
      </c>
      <c r="U11" s="6" t="inlineStr">
        <is>
          <t>Processed date</t>
        </is>
      </c>
      <c r="V11" s="6" t="inlineStr">
        <is>
          <t>A1</t>
        </is>
      </c>
      <c r="W11" s="6" t="n"/>
      <c r="X11" s="6" t="n"/>
      <c r="Y11" s="6" t="inlineStr">
        <is>
          <t>10</t>
        </is>
      </c>
      <c r="Z11" s="9" t="n">
        <v>2958.2</v>
      </c>
      <c r="AA11" s="9" t="n">
        <v>0</v>
      </c>
      <c r="AB11" s="9" t="n">
        <v>0</v>
      </c>
      <c r="AC11" s="7" t="n"/>
      <c r="AD11" s="9" t="n">
        <v>2958.2</v>
      </c>
      <c r="AE11" s="5" t="n">
        <v>51</v>
      </c>
      <c r="AF11" s="6" t="inlineStr">
        <is>
          <t>G894</t>
        </is>
      </c>
      <c r="AG11" s="6" t="n"/>
      <c r="AH11" s="6" t="n"/>
      <c r="AI11" s="6" t="n"/>
      <c r="AJ11" s="5" t="n"/>
      <c r="AK11" s="6" t="inlineStr">
        <is>
          <t>HOLLISTER, ALICIA</t>
        </is>
      </c>
      <c r="AL11" s="6" t="inlineStr">
        <is>
          <t>ASAP - DEER VALLEY</t>
        </is>
      </c>
      <c r="AM11" s="7" t="n">
        <v>46196</v>
      </c>
      <c r="AN11" s="6" t="inlineStr">
        <is>
          <t>DME</t>
        </is>
      </c>
      <c r="AO11" s="6" t="inlineStr">
        <is>
          <t>415</t>
        </is>
      </c>
    </row>
    <row r="12">
      <c r="A12" s="2" t="n"/>
      <c r="B12" s="3" t="n"/>
      <c r="C12" s="4" t="n"/>
      <c r="D12" s="5" t="n">
        <v>563172458</v>
      </c>
      <c r="E12" s="6" t="inlineStr">
        <is>
          <t>HF331720981</t>
        </is>
      </c>
      <c r="F12" s="7" t="n">
        <v>46191</v>
      </c>
      <c r="G12" s="6" t="inlineStr">
        <is>
          <t>United Healthcare</t>
        </is>
      </c>
      <c r="H12" s="6" t="inlineStr">
        <is>
          <t>United Healthcare</t>
        </is>
      </c>
      <c r="I12" s="6" t="inlineStr">
        <is>
          <t>No Payer</t>
        </is>
      </c>
      <c r="J12" s="8" t="inlineStr">
        <is>
          <t>A6023+A1 x10</t>
        </is>
      </c>
      <c r="K12" s="4" t="n"/>
      <c r="L12" s="5">
        <f>IF($O12="","",$O12-TODAY())</f>
        <v/>
      </c>
      <c r="M12" s="5">
        <f>IF($C12="","",$C12+180-TODAY())</f>
        <v/>
      </c>
      <c r="N12" s="5">
        <f>IF($C12="","",$C12+365-TODAY())</f>
        <v/>
      </c>
      <c r="O12" s="7" t="n">
        <v>46281</v>
      </c>
      <c r="P12" s="6" t="inlineStr">
        <is>
          <t>90 days</t>
        </is>
      </c>
      <c r="Q12" s="6" t="inlineStr">
        <is>
          <t>UHC COMMERCIAL</t>
        </is>
      </c>
      <c r="R12" s="6" t="inlineStr">
        <is>
          <t>180 days</t>
        </is>
      </c>
      <c r="S12" s="6" t="inlineStr">
        <is>
          <t>Processed date</t>
        </is>
      </c>
      <c r="T12" s="6" t="inlineStr">
        <is>
          <t>365 days</t>
        </is>
      </c>
      <c r="U12" s="6" t="inlineStr">
        <is>
          <t>Processed date</t>
        </is>
      </c>
      <c r="V12" s="6" t="inlineStr">
        <is>
          <t>A1</t>
        </is>
      </c>
      <c r="W12" s="6" t="n"/>
      <c r="X12" s="6" t="n"/>
      <c r="Y12" s="6" t="inlineStr">
        <is>
          <t>10</t>
        </is>
      </c>
      <c r="Z12" s="9" t="n">
        <v>2958.2</v>
      </c>
      <c r="AA12" s="9" t="n">
        <v>0</v>
      </c>
      <c r="AB12" s="9" t="n">
        <v>0</v>
      </c>
      <c r="AC12" s="7" t="n"/>
      <c r="AD12" s="9" t="n">
        <v>2958.2</v>
      </c>
      <c r="AE12" s="5" t="n">
        <v>51</v>
      </c>
      <c r="AF12" s="6" t="inlineStr">
        <is>
          <t>G894</t>
        </is>
      </c>
      <c r="AG12" s="6" t="n"/>
      <c r="AH12" s="6" t="n"/>
      <c r="AI12" s="6" t="n"/>
      <c r="AJ12" s="5" t="n"/>
      <c r="AK12" s="6" t="inlineStr">
        <is>
          <t>HOLLISTER, ALICIA</t>
        </is>
      </c>
      <c r="AL12" s="6" t="inlineStr">
        <is>
          <t>ASAP - DEER VALLEY</t>
        </is>
      </c>
      <c r="AM12" s="7" t="n">
        <v>46196</v>
      </c>
      <c r="AN12" s="6" t="inlineStr">
        <is>
          <t>DME</t>
        </is>
      </c>
      <c r="AO12" s="6" t="inlineStr">
        <is>
          <t>315</t>
        </is>
      </c>
    </row>
    <row r="13">
      <c r="A13" s="2" t="n"/>
      <c r="B13" s="3" t="n"/>
      <c r="C13" s="4" t="n"/>
      <c r="D13" s="5" t="n">
        <v>563185113</v>
      </c>
      <c r="E13" s="6" t="inlineStr">
        <is>
          <t>HF361329895</t>
        </is>
      </c>
      <c r="F13" s="7" t="n">
        <v>46192</v>
      </c>
      <c r="G13" s="6" t="inlineStr">
        <is>
          <t>UHC Group Medicare Advantage</t>
        </is>
      </c>
      <c r="H13" s="6" t="inlineStr">
        <is>
          <t>UHC Group Medicare Advantage</t>
        </is>
      </c>
      <c r="I13" s="6" t="inlineStr">
        <is>
          <t>No Payer</t>
        </is>
      </c>
      <c r="J13" s="8" t="inlineStr">
        <is>
          <t>L0650+NU x1</t>
        </is>
      </c>
      <c r="K13" s="4" t="n"/>
      <c r="L13" s="5">
        <f>IF($O13="","",$O13-TODAY())</f>
        <v/>
      </c>
      <c r="M13" s="5">
        <f>IF($C13="","",$C13+180-TODAY())</f>
        <v/>
      </c>
      <c r="N13" s="5">
        <f>IF($C13="","",$C13+365-TODAY())</f>
        <v/>
      </c>
      <c r="O13" s="7" t="n">
        <v>46282</v>
      </c>
      <c r="P13" s="6" t="inlineStr">
        <is>
          <t>90 days</t>
        </is>
      </c>
      <c r="Q13" s="6" t="inlineStr">
        <is>
          <t>UHC MA</t>
        </is>
      </c>
      <c r="R13" s="6" t="inlineStr">
        <is>
          <t>180 days</t>
        </is>
      </c>
      <c r="S13" s="6" t="inlineStr">
        <is>
          <t>Processed date</t>
        </is>
      </c>
      <c r="T13" s="6" t="inlineStr">
        <is>
          <t>365 days</t>
        </is>
      </c>
      <c r="U13" s="6" t="inlineStr">
        <is>
          <t>Processed date</t>
        </is>
      </c>
      <c r="V13" s="6" t="inlineStr">
        <is>
          <t>NU</t>
        </is>
      </c>
      <c r="W13" s="6" t="n"/>
      <c r="X13" s="6" t="n"/>
      <c r="Y13" s="6" t="inlineStr">
        <is>
          <t>1</t>
        </is>
      </c>
      <c r="Z13" s="9" t="n">
        <v>6392.96</v>
      </c>
      <c r="AA13" s="9" t="n">
        <v>0</v>
      </c>
      <c r="AB13" s="9" t="n">
        <v>0</v>
      </c>
      <c r="AC13" s="7" t="n"/>
      <c r="AD13" s="9" t="n">
        <v>6392.96</v>
      </c>
      <c r="AE13" s="5" t="n">
        <v>50</v>
      </c>
      <c r="AF13" s="6" t="inlineStr">
        <is>
          <t>M5416</t>
        </is>
      </c>
      <c r="AG13" s="6" t="inlineStr">
        <is>
          <t>M48062</t>
        </is>
      </c>
      <c r="AH13" s="6" t="n"/>
      <c r="AI13" s="6" t="n"/>
      <c r="AJ13" s="5" t="n"/>
      <c r="AK13" s="6" t="inlineStr">
        <is>
          <t>DYDYK, ALEXANDER</t>
        </is>
      </c>
      <c r="AL13" s="6" t="inlineStr">
        <is>
          <t>ASAP - DEER VALLEY</t>
        </is>
      </c>
      <c r="AM13" s="7" t="n">
        <v>46196</v>
      </c>
      <c r="AN13" s="6" t="inlineStr">
        <is>
          <t>DME</t>
        </is>
      </c>
      <c r="AO13" s="6" t="inlineStr">
        <is>
          <t>306</t>
        </is>
      </c>
    </row>
    <row r="14">
      <c r="A14" s="2" t="n"/>
      <c r="B14" s="3" t="n"/>
      <c r="C14" s="4" t="n"/>
      <c r="D14" s="5" t="n">
        <v>563159449</v>
      </c>
      <c r="E14" s="6" t="inlineStr">
        <is>
          <t>HF342712719</t>
        </is>
      </c>
      <c r="F14" s="7" t="n">
        <v>46195</v>
      </c>
      <c r="G14" s="6" t="inlineStr">
        <is>
          <t>United Healthcare</t>
        </is>
      </c>
      <c r="H14" s="6" t="inlineStr">
        <is>
          <t>United Healthcare</t>
        </is>
      </c>
      <c r="I14" s="6" t="inlineStr">
        <is>
          <t>No Payer</t>
        </is>
      </c>
      <c r="J14" s="8" t="inlineStr">
        <is>
          <t>A6010+A1 x20</t>
        </is>
      </c>
      <c r="K14" s="4" t="n"/>
      <c r="L14" s="5">
        <f>IF($O14="","",$O14-TODAY())</f>
        <v/>
      </c>
      <c r="M14" s="5">
        <f>IF($C14="","",$C14+180-TODAY())</f>
        <v/>
      </c>
      <c r="N14" s="5">
        <f>IF($C14="","",$C14+365-TODAY())</f>
        <v/>
      </c>
      <c r="O14" s="7" t="n">
        <v>46285</v>
      </c>
      <c r="P14" s="6" t="inlineStr">
        <is>
          <t>90 days</t>
        </is>
      </c>
      <c r="Q14" s="6" t="inlineStr">
        <is>
          <t>UHC COMMERCIAL</t>
        </is>
      </c>
      <c r="R14" s="6" t="inlineStr">
        <is>
          <t>180 days</t>
        </is>
      </c>
      <c r="S14" s="6" t="inlineStr">
        <is>
          <t>Processed date</t>
        </is>
      </c>
      <c r="T14" s="6" t="inlineStr">
        <is>
          <t>365 days</t>
        </is>
      </c>
      <c r="U14" s="6" t="inlineStr">
        <is>
          <t>Processed date</t>
        </is>
      </c>
      <c r="V14" s="6" t="inlineStr">
        <is>
          <t>A1</t>
        </is>
      </c>
      <c r="W14" s="6" t="n"/>
      <c r="X14" s="6" t="n"/>
      <c r="Y14" s="6" t="inlineStr">
        <is>
          <t>20</t>
        </is>
      </c>
      <c r="Z14" s="9" t="n">
        <v>5916.4</v>
      </c>
      <c r="AA14" s="9" t="n">
        <v>0</v>
      </c>
      <c r="AB14" s="9" t="n">
        <v>0</v>
      </c>
      <c r="AC14" s="7" t="n"/>
      <c r="AD14" s="9" t="n">
        <v>5916.4</v>
      </c>
      <c r="AE14" s="5" t="n">
        <v>47</v>
      </c>
      <c r="AF14" s="6" t="inlineStr">
        <is>
          <t>G894</t>
        </is>
      </c>
      <c r="AG14" s="6" t="inlineStr">
        <is>
          <t>M50122</t>
        </is>
      </c>
      <c r="AH14" s="6" t="inlineStr">
        <is>
          <t>M50121</t>
        </is>
      </c>
      <c r="AI14" s="6" t="n"/>
      <c r="AJ14" s="5" t="n"/>
      <c r="AK14" s="6" t="inlineStr">
        <is>
          <t>HOLLISTER, ALICIA</t>
        </is>
      </c>
      <c r="AL14" s="6" t="inlineStr">
        <is>
          <t>ASAP - DEER VALLEY</t>
        </is>
      </c>
      <c r="AM14" s="7" t="n">
        <v>46196</v>
      </c>
      <c r="AN14" s="6" t="inlineStr">
        <is>
          <t>DME</t>
        </is>
      </c>
      <c r="AO14" s="6" t="inlineStr">
        <is>
          <t>963</t>
        </is>
      </c>
    </row>
    <row r="15">
      <c r="A15" s="2" t="n"/>
      <c r="B15" s="3" t="n"/>
      <c r="C15" s="4" t="n"/>
      <c r="D15" s="5" t="n">
        <v>563161489</v>
      </c>
      <c r="E15" s="6" t="inlineStr">
        <is>
          <t>HF458717535</t>
        </is>
      </c>
      <c r="F15" s="7" t="n">
        <v>46195</v>
      </c>
      <c r="G15" s="6" t="inlineStr">
        <is>
          <t>Blue Cross Blue Shield of Arizona (BCBS AZ)</t>
        </is>
      </c>
      <c r="H15" s="6" t="inlineStr">
        <is>
          <t>Blue Cross Blue Shield of Arizona (BCBS AZ)</t>
        </is>
      </c>
      <c r="I15" s="6" t="inlineStr">
        <is>
          <t>No Payer</t>
        </is>
      </c>
      <c r="J15" s="8" t="inlineStr">
        <is>
          <t>A6023+A2 x25</t>
        </is>
      </c>
      <c r="K15" s="4" t="n"/>
      <c r="L15" s="5">
        <f>IF($O15="","",$O15-TODAY())</f>
        <v/>
      </c>
      <c r="M15" s="5">
        <f>IF($C15="","",$C15+365-TODAY())</f>
        <v/>
      </c>
      <c r="N15" s="5">
        <f>IF($C15="","",$C15+365-TODAY())</f>
        <v/>
      </c>
      <c r="O15" s="7" t="n">
        <v>46285</v>
      </c>
      <c r="P15" s="6" t="inlineStr">
        <is>
          <t>90 days</t>
        </is>
      </c>
      <c r="Q15" s="6" t="inlineStr">
        <is>
          <t>BCBS</t>
        </is>
      </c>
      <c r="R15" s="6" t="inlineStr">
        <is>
          <t>365 days</t>
        </is>
      </c>
      <c r="S15" s="6" t="inlineStr">
        <is>
          <t>Processed date</t>
        </is>
      </c>
      <c r="T15" s="6" t="inlineStr">
        <is>
          <t>365 days</t>
        </is>
      </c>
      <c r="U15" s="6" t="inlineStr">
        <is>
          <t>Processed date</t>
        </is>
      </c>
      <c r="V15" s="6" t="inlineStr">
        <is>
          <t>A2</t>
        </is>
      </c>
      <c r="W15" s="6" t="n"/>
      <c r="X15" s="6" t="n"/>
      <c r="Y15" s="6" t="inlineStr">
        <is>
          <t>25</t>
        </is>
      </c>
      <c r="Z15" s="9" t="n">
        <v>45442.25</v>
      </c>
      <c r="AA15" s="9" t="n">
        <v>0</v>
      </c>
      <c r="AB15" s="9" t="n">
        <v>0</v>
      </c>
      <c r="AC15" s="7" t="n"/>
      <c r="AD15" s="9" t="n">
        <v>45442.25</v>
      </c>
      <c r="AE15" s="5" t="n">
        <v>47</v>
      </c>
      <c r="AF15" s="6" t="inlineStr">
        <is>
          <t>G894</t>
        </is>
      </c>
      <c r="AG15" s="6" t="inlineStr">
        <is>
          <t>M961</t>
        </is>
      </c>
      <c r="AH15" s="6" t="inlineStr">
        <is>
          <t>G90523</t>
        </is>
      </c>
      <c r="AI15" s="6" t="n"/>
      <c r="AJ15" s="5" t="n"/>
      <c r="AK15" s="6" t="inlineStr">
        <is>
          <t>SARKAR, AWNIK</t>
        </is>
      </c>
      <c r="AL15" s="6" t="inlineStr">
        <is>
          <t>ASAP - Surprise - Reems</t>
        </is>
      </c>
      <c r="AM15" s="7" t="n">
        <v>46196</v>
      </c>
      <c r="AN15" s="6" t="inlineStr">
        <is>
          <t>DME</t>
        </is>
      </c>
      <c r="AO15" s="6" t="inlineStr">
        <is>
          <t>424</t>
        </is>
      </c>
    </row>
    <row r="16">
      <c r="A16" s="2" t="n"/>
      <c r="B16" s="3" t="n"/>
      <c r="C16" s="4" t="n">
        <v>46222</v>
      </c>
      <c r="D16" s="5" t="n">
        <v>563166125</v>
      </c>
      <c r="E16" s="6" t="inlineStr">
        <is>
          <t>HF547083886</t>
        </is>
      </c>
      <c r="F16" s="7" t="n">
        <v>46195</v>
      </c>
      <c r="G16" s="6" t="inlineStr">
        <is>
          <t>Optum Care Medical Network of Arizona, Utah, &amp; Washington (LifePrint)</t>
        </is>
      </c>
      <c r="H16" s="6" t="inlineStr">
        <is>
          <t>Optum Care Medical Network of Arizona, Utah, &amp; Washington (LifePrint)</t>
        </is>
      </c>
      <c r="I16" s="6" t="inlineStr">
        <is>
          <t>No Payer</t>
        </is>
      </c>
      <c r="J16" s="8" t="inlineStr">
        <is>
          <t>A6010+A1 x20</t>
        </is>
      </c>
      <c r="K16" s="4" t="n"/>
      <c r="L16" s="5">
        <f>IF($O16="","",$O16-TODAY())</f>
        <v/>
      </c>
      <c r="M16" s="5">
        <f>IF($C16="","",$C16+365-TODAY())</f>
        <v/>
      </c>
      <c r="N16" s="5">
        <f>IF($C16="","",$C16+365-TODAY())</f>
        <v/>
      </c>
      <c r="O16" s="7" t="n">
        <v>46285</v>
      </c>
      <c r="P16" s="6" t="inlineStr">
        <is>
          <t>90 days</t>
        </is>
      </c>
      <c r="Q16" s="6" t="inlineStr">
        <is>
          <t>OPTUM</t>
        </is>
      </c>
      <c r="R16" s="6" t="inlineStr">
        <is>
          <t>365 days</t>
        </is>
      </c>
      <c r="S16" s="6" t="inlineStr">
        <is>
          <t>Processed date</t>
        </is>
      </c>
      <c r="T16" s="6" t="inlineStr">
        <is>
          <t>365 days</t>
        </is>
      </c>
      <c r="U16" s="6" t="inlineStr">
        <is>
          <t>Processed date</t>
        </is>
      </c>
      <c r="V16" s="6" t="inlineStr">
        <is>
          <t>A1</t>
        </is>
      </c>
      <c r="W16" s="6" t="n"/>
      <c r="X16" s="6" t="n"/>
      <c r="Y16" s="6" t="inlineStr">
        <is>
          <t>20</t>
        </is>
      </c>
      <c r="Z16" s="9" t="n">
        <v>5916.4</v>
      </c>
      <c r="AA16" s="9" t="n">
        <v>0</v>
      </c>
      <c r="AB16" s="9" t="n">
        <v>0</v>
      </c>
      <c r="AC16" s="7" t="n">
        <v>46222</v>
      </c>
      <c r="AD16" s="9" t="n">
        <v>5916.4</v>
      </c>
      <c r="AE16" s="5" t="n">
        <v>47</v>
      </c>
      <c r="AF16" s="6" t="inlineStr">
        <is>
          <t>G894</t>
        </is>
      </c>
      <c r="AG16" s="6" t="inlineStr">
        <is>
          <t>M48062</t>
        </is>
      </c>
      <c r="AH16" s="6" t="n"/>
      <c r="AI16" s="6" t="n"/>
      <c r="AJ16" s="5" t="n"/>
      <c r="AK16" s="6" t="inlineStr">
        <is>
          <t>MEARS, CHAD</t>
        </is>
      </c>
      <c r="AL16" s="6" t="inlineStr">
        <is>
          <t>ASAP Peoria</t>
        </is>
      </c>
      <c r="AM16" s="7" t="n">
        <v>46196</v>
      </c>
      <c r="AN16" s="6" t="inlineStr">
        <is>
          <t>DME</t>
        </is>
      </c>
      <c r="AO16" s="6" t="inlineStr">
        <is>
          <t>907</t>
        </is>
      </c>
    </row>
    <row r="17">
      <c r="A17" s="2" t="n"/>
      <c r="B17" s="3" t="n"/>
      <c r="C17" s="4" t="n">
        <v>46204</v>
      </c>
      <c r="D17" s="5" t="n">
        <v>563182075</v>
      </c>
      <c r="E17" s="6" t="inlineStr">
        <is>
          <t>HF482747140</t>
        </is>
      </c>
      <c r="F17" s="7" t="n">
        <v>46195</v>
      </c>
      <c r="G17" s="6" t="inlineStr">
        <is>
          <t>UnitedHealthcare Community Plan / Arizona Long Term Care</t>
        </is>
      </c>
      <c r="H17" s="6" t="inlineStr">
        <is>
          <t>UnitedHealthcare Community Plan / Arizona Long Term Care</t>
        </is>
      </c>
      <c r="I17" s="6" t="inlineStr">
        <is>
          <t>No Payer</t>
        </is>
      </c>
      <c r="J17" s="8" t="inlineStr">
        <is>
          <t>A6010+A2 x10</t>
        </is>
      </c>
      <c r="K17" s="4" t="n"/>
      <c r="L17" s="5">
        <f>IF($O17="","",$O17-TODAY())</f>
        <v/>
      </c>
      <c r="M17" s="5">
        <f>IF($C17="","",$C17+180-TODAY())</f>
        <v/>
      </c>
      <c r="N17" s="5">
        <f>IF($C17="","",$C17+365-TODAY())</f>
        <v/>
      </c>
      <c r="O17" s="7" t="n">
        <v>46285</v>
      </c>
      <c r="P17" s="6" t="inlineStr">
        <is>
          <t>90 days</t>
        </is>
      </c>
      <c r="Q17" s="6" t="inlineStr">
        <is>
          <t>UHC COMMUNITY</t>
        </is>
      </c>
      <c r="R17" s="6" t="inlineStr">
        <is>
          <t>180 days</t>
        </is>
      </c>
      <c r="S17" s="6" t="inlineStr">
        <is>
          <t>Processed date</t>
        </is>
      </c>
      <c r="T17" s="6" t="inlineStr">
        <is>
          <t>365 days</t>
        </is>
      </c>
      <c r="U17" s="6" t="inlineStr">
        <is>
          <t>Processed date</t>
        </is>
      </c>
      <c r="V17" s="6" t="inlineStr">
        <is>
          <t>A2</t>
        </is>
      </c>
      <c r="W17" s="6" t="n"/>
      <c r="X17" s="6" t="n"/>
      <c r="Y17" s="6" t="inlineStr">
        <is>
          <t>10</t>
        </is>
      </c>
      <c r="Z17" s="9" t="n">
        <v>2958.2</v>
      </c>
      <c r="AA17" s="9" t="n">
        <v>0</v>
      </c>
      <c r="AB17" s="9" t="n">
        <v>0</v>
      </c>
      <c r="AC17" s="7" t="n">
        <v>46204</v>
      </c>
      <c r="AD17" s="9" t="n">
        <v>2958.2</v>
      </c>
      <c r="AE17" s="5" t="n">
        <v>47</v>
      </c>
      <c r="AF17" s="6" t="inlineStr">
        <is>
          <t>M5416</t>
        </is>
      </c>
      <c r="AG17" s="6" t="n"/>
      <c r="AH17" s="6" t="n"/>
      <c r="AI17" s="6" t="n"/>
      <c r="AJ17" s="5" t="n"/>
      <c r="AK17" s="6" t="inlineStr">
        <is>
          <t>SARKAR, AWNIK</t>
        </is>
      </c>
      <c r="AL17" s="6" t="inlineStr">
        <is>
          <t>ASAP - Surprise - Reems</t>
        </is>
      </c>
      <c r="AM17" s="7" t="n">
        <v>46196</v>
      </c>
      <c r="AN17" s="6" t="inlineStr">
        <is>
          <t>DME</t>
        </is>
      </c>
      <c r="AO17" s="6" t="inlineStr">
        <is>
          <t>918</t>
        </is>
      </c>
    </row>
    <row r="18">
      <c r="A18" s="2" t="n"/>
      <c r="B18" s="3" t="n"/>
      <c r="C18" s="4" t="n">
        <v>46210</v>
      </c>
      <c r="D18" s="5" t="n">
        <v>563202959</v>
      </c>
      <c r="E18" s="6" t="inlineStr">
        <is>
          <t>HF560310366</t>
        </is>
      </c>
      <c r="F18" s="7" t="n">
        <v>46195</v>
      </c>
      <c r="G18" s="6" t="inlineStr">
        <is>
          <t>Blue Cross Blue Shield of Arizona (BCBS AZ)</t>
        </is>
      </c>
      <c r="H18" s="6" t="inlineStr">
        <is>
          <t>Blue Cross Blue Shield of Arizona (BCBS AZ)</t>
        </is>
      </c>
      <c r="I18" s="6" t="inlineStr">
        <is>
          <t>No Payer</t>
        </is>
      </c>
      <c r="J18" s="8" t="inlineStr">
        <is>
          <t>L0650+KX x1</t>
        </is>
      </c>
      <c r="K18" s="4" t="n"/>
      <c r="L18" s="5">
        <f>IF($O18="","",$O18-TODAY())</f>
        <v/>
      </c>
      <c r="M18" s="5">
        <f>IF($C18="","",$C18+365-TODAY())</f>
        <v/>
      </c>
      <c r="N18" s="5">
        <f>IF($C18="","",$C18+365-TODAY())</f>
        <v/>
      </c>
      <c r="O18" s="7" t="n">
        <v>46285</v>
      </c>
      <c r="P18" s="6" t="inlineStr">
        <is>
          <t>90 days</t>
        </is>
      </c>
      <c r="Q18" s="6" t="inlineStr">
        <is>
          <t>BCBS</t>
        </is>
      </c>
      <c r="R18" s="6" t="inlineStr">
        <is>
          <t>365 days</t>
        </is>
      </c>
      <c r="S18" s="6" t="inlineStr">
        <is>
          <t>Processed date</t>
        </is>
      </c>
      <c r="T18" s="6" t="inlineStr">
        <is>
          <t>365 days</t>
        </is>
      </c>
      <c r="U18" s="6" t="inlineStr">
        <is>
          <t>Processed date</t>
        </is>
      </c>
      <c r="V18" s="6" t="inlineStr">
        <is>
          <t>KX</t>
        </is>
      </c>
      <c r="W18" s="6" t="n"/>
      <c r="X18" s="6" t="n"/>
      <c r="Y18" s="6" t="inlineStr">
        <is>
          <t>1</t>
        </is>
      </c>
      <c r="Z18" s="9" t="n">
        <v>6392.96</v>
      </c>
      <c r="AA18" s="9" t="n">
        <v>0</v>
      </c>
      <c r="AB18" s="9" t="n">
        <v>0</v>
      </c>
      <c r="AC18" s="7" t="n">
        <v>46210</v>
      </c>
      <c r="AD18" s="9" t="n">
        <v>6392.96</v>
      </c>
      <c r="AE18" s="5" t="n">
        <v>47</v>
      </c>
      <c r="AF18" s="6" t="inlineStr">
        <is>
          <t>S22080S</t>
        </is>
      </c>
      <c r="AG18" s="6" t="n"/>
      <c r="AH18" s="6" t="n"/>
      <c r="AI18" s="6" t="n"/>
      <c r="AJ18" s="5" t="n"/>
      <c r="AK18" s="6" t="inlineStr">
        <is>
          <t>KRAUSE, JEFFREY</t>
        </is>
      </c>
      <c r="AL18" s="6" t="inlineStr">
        <is>
          <t>ASAP - DEER VALLEY</t>
        </is>
      </c>
      <c r="AM18" s="7" t="n">
        <v>46196</v>
      </c>
      <c r="AN18" s="6" t="inlineStr">
        <is>
          <t>DME</t>
        </is>
      </c>
      <c r="AO18" s="6" t="inlineStr">
        <is>
          <t>891</t>
        </is>
      </c>
    </row>
    <row r="19">
      <c r="A19" s="2" t="n"/>
      <c r="B19" s="3" t="n"/>
      <c r="C19" s="4" t="n">
        <v>46220</v>
      </c>
      <c r="D19" s="5" t="n">
        <v>564043829</v>
      </c>
      <c r="E19" s="6" t="inlineStr">
        <is>
          <t>HF469884720</t>
        </is>
      </c>
      <c r="F19" s="7" t="n">
        <v>46196</v>
      </c>
      <c r="G19" s="6" t="inlineStr">
        <is>
          <t>Optum Care Medical Network of Arizona, Utah, &amp; Washington (LifePrint)</t>
        </is>
      </c>
      <c r="H19" s="6" t="inlineStr">
        <is>
          <t>Optum Care Medical Network of Arizona, Utah, &amp; Washington (LifePrint)</t>
        </is>
      </c>
      <c r="I19" s="6" t="inlineStr">
        <is>
          <t>No Payer</t>
        </is>
      </c>
      <c r="J19" s="8" t="inlineStr">
        <is>
          <t>L0637+NU x1</t>
        </is>
      </c>
      <c r="K19" s="4" t="n"/>
      <c r="L19" s="5">
        <f>IF($O19="","",$O19-TODAY())</f>
        <v/>
      </c>
      <c r="M19" s="5">
        <f>IF($C19="","",$C19+365-TODAY())</f>
        <v/>
      </c>
      <c r="N19" s="5">
        <f>IF($C19="","",$C19+365-TODAY())</f>
        <v/>
      </c>
      <c r="O19" s="7" t="n">
        <v>46286</v>
      </c>
      <c r="P19" s="6" t="inlineStr">
        <is>
          <t>90 days</t>
        </is>
      </c>
      <c r="Q19" s="6" t="inlineStr">
        <is>
          <t>OPTUM</t>
        </is>
      </c>
      <c r="R19" s="6" t="inlineStr">
        <is>
          <t>365 days</t>
        </is>
      </c>
      <c r="S19" s="6" t="inlineStr">
        <is>
          <t>Processed date</t>
        </is>
      </c>
      <c r="T19" s="6" t="inlineStr">
        <is>
          <t>365 days</t>
        </is>
      </c>
      <c r="U19" s="6" t="inlineStr">
        <is>
          <t>Processed date</t>
        </is>
      </c>
      <c r="V19" s="6" t="inlineStr">
        <is>
          <t>NU</t>
        </is>
      </c>
      <c r="W19" s="6" t="n"/>
      <c r="X19" s="6" t="n"/>
      <c r="Y19" s="6" t="inlineStr">
        <is>
          <t>1</t>
        </is>
      </c>
      <c r="Z19" s="9" t="n">
        <v>9479.4</v>
      </c>
      <c r="AA19" s="9" t="n">
        <v>0</v>
      </c>
      <c r="AB19" s="9" t="n">
        <v>0</v>
      </c>
      <c r="AC19" s="7" t="n">
        <v>46220</v>
      </c>
      <c r="AD19" s="9" t="n">
        <v>9479.4</v>
      </c>
      <c r="AE19" s="5" t="n">
        <v>46</v>
      </c>
      <c r="AF19" s="6" t="inlineStr">
        <is>
          <t>M48062</t>
        </is>
      </c>
      <c r="AG19" s="6" t="n"/>
      <c r="AH19" s="6" t="n"/>
      <c r="AI19" s="6" t="n"/>
      <c r="AJ19" s="5" t="n"/>
      <c r="AK19" s="6" t="inlineStr">
        <is>
          <t>HOLLISTER, ALICIA</t>
        </is>
      </c>
      <c r="AL19" s="6" t="inlineStr">
        <is>
          <t>ASAP - DEER VALLEY</t>
        </is>
      </c>
      <c r="AM19" s="7" t="n">
        <v>46204</v>
      </c>
      <c r="AN19" s="6" t="inlineStr">
        <is>
          <t>DME</t>
        </is>
      </c>
      <c r="AO19" s="6" t="inlineStr">
        <is>
          <t>873</t>
        </is>
      </c>
    </row>
    <row r="20">
      <c r="A20" s="2" t="n"/>
      <c r="B20" s="3" t="n"/>
      <c r="C20" s="4" t="n">
        <v>46211</v>
      </c>
      <c r="D20" s="5" t="n">
        <v>564105695</v>
      </c>
      <c r="E20" s="6" t="inlineStr">
        <is>
          <t>HF562904021</t>
        </is>
      </c>
      <c r="F20" s="7" t="n">
        <v>46197</v>
      </c>
      <c r="G20" s="6" t="inlineStr">
        <is>
          <t>UnitedHealthcare Community Plan / Arizona Long Term Care</t>
        </is>
      </c>
      <c r="H20" s="6" t="inlineStr">
        <is>
          <t>UnitedHealthcare Community Plan / Arizona Long Term Care</t>
        </is>
      </c>
      <c r="I20" s="6" t="inlineStr">
        <is>
          <t>Mercy Care Plan (AHCCCS) - Complete Care &amp; Long Term Care (LTC)</t>
        </is>
      </c>
      <c r="J20" s="8" t="inlineStr">
        <is>
          <t>A6010+A1 x10</t>
        </is>
      </c>
      <c r="K20" s="4" t="n"/>
      <c r="L20" s="5">
        <f>IF($O20="","",$O20-TODAY())</f>
        <v/>
      </c>
      <c r="M20" s="5">
        <f>IF($C20="","",$C20+180-TODAY())</f>
        <v/>
      </c>
      <c r="N20" s="5">
        <f>IF($C20="","",$C20+365-TODAY())</f>
        <v/>
      </c>
      <c r="O20" s="7" t="n">
        <v>46287</v>
      </c>
      <c r="P20" s="6" t="inlineStr">
        <is>
          <t>90 days</t>
        </is>
      </c>
      <c r="Q20" s="6" t="inlineStr">
        <is>
          <t>UHC COMMUNITY</t>
        </is>
      </c>
      <c r="R20" s="6" t="inlineStr">
        <is>
          <t>180 days</t>
        </is>
      </c>
      <c r="S20" s="6" t="inlineStr">
        <is>
          <t>Processed date</t>
        </is>
      </c>
      <c r="T20" s="6" t="inlineStr">
        <is>
          <t>365 days</t>
        </is>
      </c>
      <c r="U20" s="6" t="inlineStr">
        <is>
          <t>Processed date</t>
        </is>
      </c>
      <c r="V20" s="6" t="inlineStr">
        <is>
          <t>A1</t>
        </is>
      </c>
      <c r="W20" s="6" t="n"/>
      <c r="X20" s="6" t="n"/>
      <c r="Y20" s="6" t="inlineStr">
        <is>
          <t>10</t>
        </is>
      </c>
      <c r="Z20" s="9" t="n">
        <v>2958.2</v>
      </c>
      <c r="AA20" s="9" t="n">
        <v>0</v>
      </c>
      <c r="AB20" s="9" t="n">
        <v>0</v>
      </c>
      <c r="AC20" s="7" t="n">
        <v>46211</v>
      </c>
      <c r="AD20" s="9" t="n">
        <v>2958.2</v>
      </c>
      <c r="AE20" s="5" t="n">
        <v>45</v>
      </c>
      <c r="AF20" s="6" t="inlineStr">
        <is>
          <t>G894</t>
        </is>
      </c>
      <c r="AG20" s="6" t="inlineStr">
        <is>
          <t>M48062</t>
        </is>
      </c>
      <c r="AH20" s="6" t="n"/>
      <c r="AI20" s="6" t="n"/>
      <c r="AJ20" s="5" t="n"/>
      <c r="AK20" s="6" t="inlineStr">
        <is>
          <t>MCMURDIE, TODD</t>
        </is>
      </c>
      <c r="AL20" s="6" t="inlineStr">
        <is>
          <t>ASAP - Surprise - Reems</t>
        </is>
      </c>
      <c r="AM20" s="7" t="n">
        <v>46205</v>
      </c>
      <c r="AN20" s="6" t="inlineStr">
        <is>
          <t>DME</t>
        </is>
      </c>
      <c r="AO20" s="6" t="inlineStr">
        <is>
          <t>946</t>
        </is>
      </c>
    </row>
    <row r="21">
      <c r="A21" s="2" t="n"/>
      <c r="B21" s="3" t="n"/>
      <c r="C21" s="4" t="n"/>
      <c r="D21" s="5" t="n">
        <v>564106567</v>
      </c>
      <c r="E21" s="6" t="inlineStr">
        <is>
          <t>HF563307378</t>
        </is>
      </c>
      <c r="F21" s="7" t="n">
        <v>46198</v>
      </c>
      <c r="G21" s="6" t="inlineStr">
        <is>
          <t>Blue Cross Blue Shield of Arizona (BCBS AZ)</t>
        </is>
      </c>
      <c r="H21" s="6" t="inlineStr">
        <is>
          <t>Blue Cross Blue Shield of Arizona (BCBS AZ)</t>
        </is>
      </c>
      <c r="I21" s="6" t="inlineStr">
        <is>
          <t>No Payer</t>
        </is>
      </c>
      <c r="J21" s="8" t="inlineStr">
        <is>
          <t>A6010+A1 x10</t>
        </is>
      </c>
      <c r="K21" s="4" t="n"/>
      <c r="L21" s="5">
        <f>IF($O21="","",$O21-TODAY())</f>
        <v/>
      </c>
      <c r="M21" s="5">
        <f>IF($C21="","",$C21+365-TODAY())</f>
        <v/>
      </c>
      <c r="N21" s="5">
        <f>IF($C21="","",$C21+365-TODAY())</f>
        <v/>
      </c>
      <c r="O21" s="7" t="n">
        <v>46288</v>
      </c>
      <c r="P21" s="6" t="inlineStr">
        <is>
          <t>90 days</t>
        </is>
      </c>
      <c r="Q21" s="6" t="inlineStr">
        <is>
          <t>BCBS</t>
        </is>
      </c>
      <c r="R21" s="6" t="inlineStr">
        <is>
          <t>365 days</t>
        </is>
      </c>
      <c r="S21" s="6" t="inlineStr">
        <is>
          <t>Processed date</t>
        </is>
      </c>
      <c r="T21" s="6" t="inlineStr">
        <is>
          <t>365 days</t>
        </is>
      </c>
      <c r="U21" s="6" t="inlineStr">
        <is>
          <t>Processed date</t>
        </is>
      </c>
      <c r="V21" s="6" t="inlineStr">
        <is>
          <t>A1</t>
        </is>
      </c>
      <c r="W21" s="6" t="n"/>
      <c r="X21" s="6" t="n"/>
      <c r="Y21" s="6" t="inlineStr">
        <is>
          <t>10</t>
        </is>
      </c>
      <c r="Z21" s="9" t="n">
        <v>2958.2</v>
      </c>
      <c r="AA21" s="9" t="n">
        <v>0</v>
      </c>
      <c r="AB21" s="9" t="n">
        <v>0</v>
      </c>
      <c r="AC21" s="7" t="n"/>
      <c r="AD21" s="9" t="n">
        <v>2958.2</v>
      </c>
      <c r="AE21" s="5" t="n">
        <v>44</v>
      </c>
      <c r="AF21" s="6" t="inlineStr">
        <is>
          <t>G894</t>
        </is>
      </c>
      <c r="AG21" s="6" t="inlineStr">
        <is>
          <t>G959</t>
        </is>
      </c>
      <c r="AH21" s="6" t="n"/>
      <c r="AI21" s="6" t="n"/>
      <c r="AJ21" s="5" t="n"/>
      <c r="AK21" s="6" t="inlineStr">
        <is>
          <t>MCMURDIE, TODD</t>
        </is>
      </c>
      <c r="AL21" s="6" t="inlineStr">
        <is>
          <t>ASAP Peoria</t>
        </is>
      </c>
      <c r="AM21" s="7" t="n">
        <v>46205</v>
      </c>
      <c r="AN21" s="6" t="inlineStr">
        <is>
          <t>DME</t>
        </is>
      </c>
      <c r="AO21" s="6" t="inlineStr">
        <is>
          <t>936</t>
        </is>
      </c>
    </row>
    <row r="22">
      <c r="A22" s="2" t="n"/>
      <c r="B22" s="3" t="n"/>
      <c r="C22" s="4" t="n"/>
      <c r="D22" s="5" t="n">
        <v>564107377</v>
      </c>
      <c r="E22" s="6" t="inlineStr">
        <is>
          <t>HF537035136</t>
        </is>
      </c>
      <c r="F22" s="7" t="n">
        <v>46198</v>
      </c>
      <c r="G22" s="6" t="inlineStr">
        <is>
          <t>Optum Care Medical Network of Arizona, Utah, &amp; Washington (LifePrint)</t>
        </is>
      </c>
      <c r="H22" s="6" t="inlineStr">
        <is>
          <t>Optum Care Medical Network of Arizona, Utah, &amp; Washington (LifePrint)</t>
        </is>
      </c>
      <c r="I22" s="6" t="inlineStr">
        <is>
          <t>No Payer</t>
        </is>
      </c>
      <c r="J22" s="8" t="inlineStr">
        <is>
          <t>A6010+A2 x20</t>
        </is>
      </c>
      <c r="K22" s="4" t="n"/>
      <c r="L22" s="5">
        <f>IF($O22="","",$O22-TODAY())</f>
        <v/>
      </c>
      <c r="M22" s="5">
        <f>IF($C22="","",$C22+365-TODAY())</f>
        <v/>
      </c>
      <c r="N22" s="5">
        <f>IF($C22="","",$C22+365-TODAY())</f>
        <v/>
      </c>
      <c r="O22" s="7" t="n">
        <v>46288</v>
      </c>
      <c r="P22" s="6" t="inlineStr">
        <is>
          <t>90 days</t>
        </is>
      </c>
      <c r="Q22" s="6" t="inlineStr">
        <is>
          <t>OPTUM</t>
        </is>
      </c>
      <c r="R22" s="6" t="inlineStr">
        <is>
          <t>365 days</t>
        </is>
      </c>
      <c r="S22" s="6" t="inlineStr">
        <is>
          <t>Processed date</t>
        </is>
      </c>
      <c r="T22" s="6" t="inlineStr">
        <is>
          <t>365 days</t>
        </is>
      </c>
      <c r="U22" s="6" t="inlineStr">
        <is>
          <t>Processed date</t>
        </is>
      </c>
      <c r="V22" s="6" t="inlineStr">
        <is>
          <t>A2</t>
        </is>
      </c>
      <c r="W22" s="6" t="n"/>
      <c r="X22" s="6" t="n"/>
      <c r="Y22" s="6" t="inlineStr">
        <is>
          <t>20</t>
        </is>
      </c>
      <c r="Z22" s="9" t="n">
        <v>5916.4</v>
      </c>
      <c r="AA22" s="9" t="n">
        <v>0</v>
      </c>
      <c r="AB22" s="9" t="n">
        <v>0</v>
      </c>
      <c r="AC22" s="7" t="n"/>
      <c r="AD22" s="9" t="n">
        <v>5916.4</v>
      </c>
      <c r="AE22" s="5" t="n">
        <v>44</v>
      </c>
      <c r="AF22" s="6" t="inlineStr">
        <is>
          <t>G894</t>
        </is>
      </c>
      <c r="AG22" s="6" t="inlineStr">
        <is>
          <t>M5459</t>
        </is>
      </c>
      <c r="AH22" s="6" t="inlineStr">
        <is>
          <t>M5417</t>
        </is>
      </c>
      <c r="AI22" s="6" t="n"/>
      <c r="AJ22" s="5" t="n"/>
      <c r="AK22" s="6" t="inlineStr">
        <is>
          <t>MEARS, CHAD</t>
        </is>
      </c>
      <c r="AL22" s="6" t="inlineStr">
        <is>
          <t>ASAP Peoria</t>
        </is>
      </c>
      <c r="AM22" s="7" t="n">
        <v>46205</v>
      </c>
      <c r="AN22" s="6" t="inlineStr">
        <is>
          <t>DME</t>
        </is>
      </c>
      <c r="AO22" s="6" t="inlineStr">
        <is>
          <t>664</t>
        </is>
      </c>
    </row>
    <row r="23">
      <c r="A23" s="2" t="n"/>
      <c r="B23" s="3" t="n"/>
      <c r="C23" s="4" t="n">
        <v>46220</v>
      </c>
      <c r="D23" s="5" t="n">
        <v>564053524</v>
      </c>
      <c r="E23" s="6" t="inlineStr">
        <is>
          <t>HF330419338</t>
        </is>
      </c>
      <c r="F23" s="7" t="n">
        <v>46202</v>
      </c>
      <c r="G23" s="6" t="inlineStr">
        <is>
          <t>Optum Care Medical Network of Arizona, Utah, &amp; Washington (LifePrint)</t>
        </is>
      </c>
      <c r="H23" s="6" t="inlineStr">
        <is>
          <t>Optum Care Medical Network of Arizona, Utah, &amp; Washington (LifePrint)</t>
        </is>
      </c>
      <c r="I23" s="6" t="inlineStr">
        <is>
          <t>No Payer</t>
        </is>
      </c>
      <c r="J23" s="8" t="inlineStr">
        <is>
          <t>L0650+NU x1</t>
        </is>
      </c>
      <c r="K23" s="4" t="n"/>
      <c r="L23" s="5">
        <f>IF($O23="","",$O23-TODAY())</f>
        <v/>
      </c>
      <c r="M23" s="5">
        <f>IF($C23="","",$C23+365-TODAY())</f>
        <v/>
      </c>
      <c r="N23" s="5">
        <f>IF($C23="","",$C23+365-TODAY())</f>
        <v/>
      </c>
      <c r="O23" s="7" t="n">
        <v>46292</v>
      </c>
      <c r="P23" s="6" t="inlineStr">
        <is>
          <t>90 days</t>
        </is>
      </c>
      <c r="Q23" s="6" t="inlineStr">
        <is>
          <t>OPTUM</t>
        </is>
      </c>
      <c r="R23" s="6" t="inlineStr">
        <is>
          <t>365 days</t>
        </is>
      </c>
      <c r="S23" s="6" t="inlineStr">
        <is>
          <t>Processed date</t>
        </is>
      </c>
      <c r="T23" s="6" t="inlineStr">
        <is>
          <t>365 days</t>
        </is>
      </c>
      <c r="U23" s="6" t="inlineStr">
        <is>
          <t>Processed date</t>
        </is>
      </c>
      <c r="V23" s="6" t="inlineStr">
        <is>
          <t>NU</t>
        </is>
      </c>
      <c r="W23" s="6" t="n"/>
      <c r="X23" s="6" t="n"/>
      <c r="Y23" s="6" t="inlineStr">
        <is>
          <t>1</t>
        </is>
      </c>
      <c r="Z23" s="9" t="n">
        <v>6392.96</v>
      </c>
      <c r="AA23" s="9" t="n">
        <v>0</v>
      </c>
      <c r="AB23" s="9" t="n">
        <v>0</v>
      </c>
      <c r="AC23" s="7" t="n">
        <v>46220</v>
      </c>
      <c r="AD23" s="9" t="n">
        <v>6392.96</v>
      </c>
      <c r="AE23" s="5" t="n">
        <v>40</v>
      </c>
      <c r="AF23" s="6" t="inlineStr">
        <is>
          <t>M47814</t>
        </is>
      </c>
      <c r="AG23" s="6" t="inlineStr">
        <is>
          <t>M5489</t>
        </is>
      </c>
      <c r="AH23" s="6" t="n"/>
      <c r="AI23" s="6" t="n"/>
      <c r="AJ23" s="5" t="n"/>
      <c r="AK23" s="6" t="inlineStr">
        <is>
          <t>ADLER, STEVEN</t>
        </is>
      </c>
      <c r="AL23" s="6" t="inlineStr">
        <is>
          <t>ASAP - DEER VALLEY</t>
        </is>
      </c>
      <c r="AM23" s="7" t="n">
        <v>46204</v>
      </c>
      <c r="AN23" s="6" t="inlineStr">
        <is>
          <t>DME</t>
        </is>
      </c>
      <c r="AO23" s="6" t="inlineStr">
        <is>
          <t>945</t>
        </is>
      </c>
    </row>
    <row r="24">
      <c r="A24" s="2" t="n"/>
      <c r="B24" s="3" t="n"/>
      <c r="C24" s="4" t="n"/>
      <c r="D24" s="5" t="n">
        <v>564118055</v>
      </c>
      <c r="E24" s="6" t="inlineStr">
        <is>
          <t>HF535371970</t>
        </is>
      </c>
      <c r="F24" s="7" t="n">
        <v>46202</v>
      </c>
      <c r="G24" s="6" t="inlineStr">
        <is>
          <t>United Healthcare</t>
        </is>
      </c>
      <c r="H24" s="6" t="inlineStr">
        <is>
          <t>United Healthcare</t>
        </is>
      </c>
      <c r="I24" s="6" t="inlineStr">
        <is>
          <t>No Payer</t>
        </is>
      </c>
      <c r="J24" s="8" t="inlineStr">
        <is>
          <t>A6010+A1 x10</t>
        </is>
      </c>
      <c r="K24" s="4" t="n"/>
      <c r="L24" s="5">
        <f>IF($O24="","",$O24-TODAY())</f>
        <v/>
      </c>
      <c r="M24" s="5">
        <f>IF($C24="","",$C24+180-TODAY())</f>
        <v/>
      </c>
      <c r="N24" s="5">
        <f>IF($C24="","",$C24+365-TODAY())</f>
        <v/>
      </c>
      <c r="O24" s="7" t="n">
        <v>46292</v>
      </c>
      <c r="P24" s="6" t="inlineStr">
        <is>
          <t>90 days</t>
        </is>
      </c>
      <c r="Q24" s="6" t="inlineStr">
        <is>
          <t>UHC COMMERCIAL</t>
        </is>
      </c>
      <c r="R24" s="6" t="inlineStr">
        <is>
          <t>180 days</t>
        </is>
      </c>
      <c r="S24" s="6" t="inlineStr">
        <is>
          <t>Processed date</t>
        </is>
      </c>
      <c r="T24" s="6" t="inlineStr">
        <is>
          <t>365 days</t>
        </is>
      </c>
      <c r="U24" s="6" t="inlineStr">
        <is>
          <t>Processed date</t>
        </is>
      </c>
      <c r="V24" s="6" t="inlineStr">
        <is>
          <t>A1</t>
        </is>
      </c>
      <c r="W24" s="6" t="n"/>
      <c r="X24" s="6" t="n"/>
      <c r="Y24" s="6" t="inlineStr">
        <is>
          <t>10</t>
        </is>
      </c>
      <c r="Z24" s="9" t="n">
        <v>2958.2</v>
      </c>
      <c r="AA24" s="9" t="n">
        <v>0</v>
      </c>
      <c r="AB24" s="9" t="n">
        <v>0</v>
      </c>
      <c r="AC24" s="7" t="n"/>
      <c r="AD24" s="9" t="n">
        <v>2958.2</v>
      </c>
      <c r="AE24" s="5" t="n">
        <v>40</v>
      </c>
      <c r="AF24" s="6" t="inlineStr">
        <is>
          <t>G894</t>
        </is>
      </c>
      <c r="AG24" s="6" t="n"/>
      <c r="AH24" s="6" t="n"/>
      <c r="AI24" s="6" t="n"/>
      <c r="AJ24" s="5" t="n"/>
      <c r="AK24" s="6" t="inlineStr">
        <is>
          <t>TONDINI, JENISE</t>
        </is>
      </c>
      <c r="AL24" s="6" t="inlineStr">
        <is>
          <t>ASAP - Goodyear</t>
        </is>
      </c>
      <c r="AM24" s="7" t="n">
        <v>46205</v>
      </c>
      <c r="AN24" s="6" t="inlineStr">
        <is>
          <t>DME</t>
        </is>
      </c>
      <c r="AO24" s="6" t="inlineStr">
        <is>
          <t>506</t>
        </is>
      </c>
    </row>
    <row r="25">
      <c r="A25" s="2" t="n"/>
      <c r="B25" s="3" t="n"/>
      <c r="C25" s="4" t="n"/>
      <c r="D25" s="5" t="n">
        <v>564120985</v>
      </c>
      <c r="E25" s="6" t="inlineStr">
        <is>
          <t>HF331630717</t>
        </is>
      </c>
      <c r="F25" s="7" t="n">
        <v>46202</v>
      </c>
      <c r="G25" s="6" t="inlineStr">
        <is>
          <t>Blue Cross Blue Shield of Arizona (BCBS AZ)</t>
        </is>
      </c>
      <c r="H25" s="6" t="inlineStr">
        <is>
          <t>Blue Cross Blue Shield of Arizona (BCBS AZ)</t>
        </is>
      </c>
      <c r="I25" s="6" t="inlineStr">
        <is>
          <t>No Payer</t>
        </is>
      </c>
      <c r="J25" s="8" t="inlineStr">
        <is>
          <t>A6023+A2 x20</t>
        </is>
      </c>
      <c r="K25" s="4" t="n"/>
      <c r="L25" s="5">
        <f>IF($O25="","",$O25-TODAY())</f>
        <v/>
      </c>
      <c r="M25" s="5">
        <f>IF($C25="","",$C25+365-TODAY())</f>
        <v/>
      </c>
      <c r="N25" s="5">
        <f>IF($C25="","",$C25+365-TODAY())</f>
        <v/>
      </c>
      <c r="O25" s="7" t="n">
        <v>46292</v>
      </c>
      <c r="P25" s="6" t="inlineStr">
        <is>
          <t>90 days</t>
        </is>
      </c>
      <c r="Q25" s="6" t="inlineStr">
        <is>
          <t>BCBS</t>
        </is>
      </c>
      <c r="R25" s="6" t="inlineStr">
        <is>
          <t>365 days</t>
        </is>
      </c>
      <c r="S25" s="6" t="inlineStr">
        <is>
          <t>Processed date</t>
        </is>
      </c>
      <c r="T25" s="6" t="inlineStr">
        <is>
          <t>365 days</t>
        </is>
      </c>
      <c r="U25" s="6" t="inlineStr">
        <is>
          <t>Processed date</t>
        </is>
      </c>
      <c r="V25" s="6" t="inlineStr">
        <is>
          <t>A2</t>
        </is>
      </c>
      <c r="W25" s="6" t="n"/>
      <c r="X25" s="6" t="n"/>
      <c r="Y25" s="6" t="inlineStr">
        <is>
          <t>20</t>
        </is>
      </c>
      <c r="Z25" s="9" t="n">
        <v>36353.8</v>
      </c>
      <c r="AA25" s="9" t="n">
        <v>0</v>
      </c>
      <c r="AB25" s="9" t="n">
        <v>0</v>
      </c>
      <c r="AC25" s="7" t="n"/>
      <c r="AD25" s="9" t="n">
        <v>36353.8</v>
      </c>
      <c r="AE25" s="5" t="n">
        <v>40</v>
      </c>
      <c r="AF25" s="6" t="inlineStr">
        <is>
          <t>G894</t>
        </is>
      </c>
      <c r="AG25" s="6" t="n"/>
      <c r="AH25" s="6" t="n"/>
      <c r="AI25" s="6" t="n"/>
      <c r="AJ25" s="5" t="n"/>
      <c r="AK25" s="6" t="inlineStr">
        <is>
          <t>TURLEY, TODD</t>
        </is>
      </c>
      <c r="AL25" s="6" t="inlineStr">
        <is>
          <t>ASAP - Biltmore</t>
        </is>
      </c>
      <c r="AM25" s="7" t="n">
        <v>46205</v>
      </c>
      <c r="AN25" s="6" t="inlineStr">
        <is>
          <t>DME</t>
        </is>
      </c>
      <c r="AO25" s="6" t="inlineStr">
        <is>
          <t>569</t>
        </is>
      </c>
    </row>
    <row r="26">
      <c r="A26" s="2" t="n"/>
      <c r="B26" s="3" t="n"/>
      <c r="C26" s="4" t="n"/>
      <c r="D26" s="5" t="n">
        <v>565290727</v>
      </c>
      <c r="E26" s="6" t="inlineStr">
        <is>
          <t>HF496850534</t>
        </is>
      </c>
      <c r="F26" s="7" t="n">
        <v>46202</v>
      </c>
      <c r="G26" s="6" t="inlineStr">
        <is>
          <t>Surest (A United Healthcare Company - Formerly BIND)</t>
        </is>
      </c>
      <c r="H26" s="6" t="inlineStr">
        <is>
          <t>Surest (A United Healthcare Company - Formerly BIND)</t>
        </is>
      </c>
      <c r="I26" s="6" t="inlineStr">
        <is>
          <t>No Payer</t>
        </is>
      </c>
      <c r="J26" s="8" t="inlineStr">
        <is>
          <t>A6010+A1 x20</t>
        </is>
      </c>
      <c r="K26" s="4" t="n"/>
      <c r="L26" s="5">
        <f>IF($O26="","",$O26-TODAY())</f>
        <v/>
      </c>
      <c r="M26" s="5">
        <f>IF($C26="","",$C26+180-TODAY())</f>
        <v/>
      </c>
      <c r="N26" s="5">
        <f>IF($C26="","",$C26+365-TODAY())</f>
        <v/>
      </c>
      <c r="O26" s="7" t="n">
        <v>46292</v>
      </c>
      <c r="P26" s="6" t="inlineStr">
        <is>
          <t>90 days</t>
        </is>
      </c>
      <c r="Q26" s="6" t="inlineStr">
        <is>
          <t>UHC COMMERCIAL</t>
        </is>
      </c>
      <c r="R26" s="6" t="inlineStr">
        <is>
          <t>180 days</t>
        </is>
      </c>
      <c r="S26" s="6" t="inlineStr">
        <is>
          <t>Processed date</t>
        </is>
      </c>
      <c r="T26" s="6" t="inlineStr">
        <is>
          <t>365 days</t>
        </is>
      </c>
      <c r="U26" s="6" t="inlineStr">
        <is>
          <t>Processed date</t>
        </is>
      </c>
      <c r="V26" s="6" t="inlineStr">
        <is>
          <t>A1</t>
        </is>
      </c>
      <c r="W26" s="6" t="n"/>
      <c r="X26" s="6" t="n"/>
      <c r="Y26" s="6" t="inlineStr">
        <is>
          <t>20</t>
        </is>
      </c>
      <c r="Z26" s="9" t="n">
        <v>5916.4</v>
      </c>
      <c r="AA26" s="9" t="n">
        <v>0</v>
      </c>
      <c r="AB26" s="9" t="n">
        <v>0</v>
      </c>
      <c r="AC26" s="7" t="n"/>
      <c r="AD26" s="9" t="n">
        <v>5916.4</v>
      </c>
      <c r="AE26" s="5" t="n">
        <v>40</v>
      </c>
      <c r="AF26" s="6" t="inlineStr">
        <is>
          <t>G894</t>
        </is>
      </c>
      <c r="AG26" s="6" t="n"/>
      <c r="AH26" s="6" t="n"/>
      <c r="AI26" s="6" t="n"/>
      <c r="AJ26" s="5" t="n"/>
      <c r="AK26" s="6" t="inlineStr">
        <is>
          <t>HOLLISTER, ALICIA</t>
        </is>
      </c>
      <c r="AL26" s="6" t="inlineStr">
        <is>
          <t>ASAP - DEER VALLEY</t>
        </is>
      </c>
      <c r="AM26" s="7" t="n">
        <v>46217</v>
      </c>
      <c r="AN26" s="6" t="inlineStr">
        <is>
          <t>DME</t>
        </is>
      </c>
      <c r="AO26" s="6" t="inlineStr">
        <is>
          <t>894</t>
        </is>
      </c>
    </row>
    <row r="27">
      <c r="A27" s="2" t="n"/>
      <c r="B27" s="3" t="n"/>
      <c r="C27" s="4" t="n"/>
      <c r="D27" s="5" t="n">
        <v>567785138</v>
      </c>
      <c r="E27" s="6" t="inlineStr">
        <is>
          <t>HF528506830</t>
        </is>
      </c>
      <c r="F27" s="7" t="n">
        <v>46202</v>
      </c>
      <c r="G27" s="6" t="inlineStr">
        <is>
          <t>Optum Care Medical Network of Arizona, Utah, &amp; Washington (LifePrint)</t>
        </is>
      </c>
      <c r="H27" s="6" t="inlineStr">
        <is>
          <t>Optum Care Medical Network of Arizona, Utah, &amp; Washington (LifePrint)</t>
        </is>
      </c>
      <c r="I27" s="6" t="inlineStr">
        <is>
          <t>No Payer</t>
        </is>
      </c>
      <c r="J27" s="8" t="inlineStr">
        <is>
          <t>A6010+A1 x20</t>
        </is>
      </c>
      <c r="K27" s="4" t="n"/>
      <c r="L27" s="5">
        <f>IF($O27="","",$O27-TODAY())</f>
        <v/>
      </c>
      <c r="M27" s="5">
        <f>IF($C27="","",$C27+365-TODAY())</f>
        <v/>
      </c>
      <c r="N27" s="5">
        <f>IF($C27="","",$C27+365-TODAY())</f>
        <v/>
      </c>
      <c r="O27" s="7" t="n">
        <v>46292</v>
      </c>
      <c r="P27" s="6" t="inlineStr">
        <is>
          <t>90 days</t>
        </is>
      </c>
      <c r="Q27" s="6" t="inlineStr">
        <is>
          <t>OPTUM</t>
        </is>
      </c>
      <c r="R27" s="6" t="inlineStr">
        <is>
          <t>365 days</t>
        </is>
      </c>
      <c r="S27" s="6" t="inlineStr">
        <is>
          <t>Processed date</t>
        </is>
      </c>
      <c r="T27" s="6" t="inlineStr">
        <is>
          <t>365 days</t>
        </is>
      </c>
      <c r="U27" s="6" t="inlineStr">
        <is>
          <t>Processed date</t>
        </is>
      </c>
      <c r="V27" s="6" t="inlineStr">
        <is>
          <t>A1</t>
        </is>
      </c>
      <c r="W27" s="6" t="n"/>
      <c r="X27" s="6" t="n"/>
      <c r="Y27" s="6" t="inlineStr">
        <is>
          <t>20</t>
        </is>
      </c>
      <c r="Z27" s="9" t="n">
        <v>5916.4</v>
      </c>
      <c r="AA27" s="9" t="n">
        <v>0</v>
      </c>
      <c r="AB27" s="9" t="n">
        <v>0</v>
      </c>
      <c r="AC27" s="7" t="n"/>
      <c r="AD27" s="9" t="n">
        <v>5916.4</v>
      </c>
      <c r="AE27" s="5" t="n">
        <v>40</v>
      </c>
      <c r="AF27" s="6" t="inlineStr">
        <is>
          <t>G894</t>
        </is>
      </c>
      <c r="AG27" s="6" t="inlineStr">
        <is>
          <t>G5773</t>
        </is>
      </c>
      <c r="AH27" s="6" t="n"/>
      <c r="AI27" s="6" t="n"/>
      <c r="AJ27" s="5" t="n"/>
      <c r="AK27" s="6" t="inlineStr">
        <is>
          <t>TERRILL, STEPHANIE</t>
        </is>
      </c>
      <c r="AL27" s="6" t="inlineStr">
        <is>
          <t>ASAP - Gilbert</t>
        </is>
      </c>
      <c r="AM27" s="7" t="n">
        <v>46205</v>
      </c>
      <c r="AN27" s="6" t="inlineStr">
        <is>
          <t>DME</t>
        </is>
      </c>
      <c r="AO27" s="6" t="inlineStr">
        <is>
          <t>1016</t>
        </is>
      </c>
    </row>
    <row r="28">
      <c r="A28" s="2" t="inlineStr">
        <is>
          <t>Finalized</t>
        </is>
      </c>
      <c r="B28" s="3" t="n"/>
      <c r="C28" s="4" t="n">
        <v>46204</v>
      </c>
      <c r="D28" s="5" t="n">
        <v>563158507</v>
      </c>
      <c r="E28" s="6" t="inlineStr">
        <is>
          <t>HF368912344</t>
        </is>
      </c>
      <c r="F28" s="7" t="n">
        <v>46192</v>
      </c>
      <c r="G28" s="6" t="inlineStr">
        <is>
          <t>CareGuard</t>
        </is>
      </c>
      <c r="H28" s="6" t="inlineStr">
        <is>
          <t>Aetna Medicare PPO</t>
        </is>
      </c>
      <c r="I28" s="6" t="inlineStr">
        <is>
          <t>CareGuard</t>
        </is>
      </c>
      <c r="J28" s="8" t="inlineStr">
        <is>
          <t>A6023+A1 x20</t>
        </is>
      </c>
      <c r="K28" s="4" t="n"/>
      <c r="L28" s="5">
        <f>IF($O28="","",$O28-TODAY())</f>
        <v/>
      </c>
      <c r="M28" s="5">
        <f>IF($C28="","",$C28+180-TODAY())</f>
        <v/>
      </c>
      <c r="N28" s="5">
        <f>IF($C28="","",$C28+180-TODAY())</f>
        <v/>
      </c>
      <c r="O28" s="7" t="n">
        <v>46312</v>
      </c>
      <c r="P28" s="6" t="inlineStr">
        <is>
          <t>120 days</t>
        </is>
      </c>
      <c r="Q28" s="6" t="inlineStr">
        <is>
          <t>AETNA</t>
        </is>
      </c>
      <c r="R28" s="6" t="inlineStr">
        <is>
          <t>180 days</t>
        </is>
      </c>
      <c r="S28" s="6" t="inlineStr">
        <is>
          <t>Processed date</t>
        </is>
      </c>
      <c r="T28" s="6" t="inlineStr">
        <is>
          <t>180 days</t>
        </is>
      </c>
      <c r="U28" s="6" t="inlineStr">
        <is>
          <t>Processed date</t>
        </is>
      </c>
      <c r="V28" s="6" t="inlineStr">
        <is>
          <t>A1</t>
        </is>
      </c>
      <c r="W28" s="6" t="n"/>
      <c r="X28" s="6" t="n"/>
      <c r="Y28" s="6" t="inlineStr">
        <is>
          <t>20</t>
        </is>
      </c>
      <c r="Z28" s="9" t="n">
        <v>5916.4</v>
      </c>
      <c r="AA28" s="9" t="n">
        <v>945.04</v>
      </c>
      <c r="AB28" s="9" t="n">
        <v>3960.92</v>
      </c>
      <c r="AC28" s="7" t="n">
        <v>46204</v>
      </c>
      <c r="AD28" s="9" t="n">
        <v>1010.44</v>
      </c>
      <c r="AE28" s="5" t="n">
        <v>50</v>
      </c>
      <c r="AF28" s="6" t="inlineStr">
        <is>
          <t>G894</t>
        </is>
      </c>
      <c r="AG28" s="6" t="n"/>
      <c r="AH28" s="6" t="n"/>
      <c r="AI28" s="6" t="n"/>
      <c r="AJ28" s="5" t="n">
        <v>565293130</v>
      </c>
      <c r="AK28" s="6" t="inlineStr">
        <is>
          <t>KRAUSE, JEFFREY</t>
        </is>
      </c>
      <c r="AL28" s="6" t="inlineStr">
        <is>
          <t>ASAP - DEER VALLEY</t>
        </is>
      </c>
      <c r="AM28" s="7" t="n">
        <v>46196</v>
      </c>
      <c r="AN28" s="6" t="inlineStr">
        <is>
          <t>DME</t>
        </is>
      </c>
      <c r="AO28" s="6" t="inlineStr">
        <is>
          <t>14</t>
        </is>
      </c>
    </row>
    <row r="29">
      <c r="A29" s="2" t="n"/>
      <c r="B29" s="3" t="n"/>
      <c r="C29" s="4" t="n"/>
      <c r="D29" s="5" t="n">
        <v>565289827</v>
      </c>
      <c r="E29" s="6" t="inlineStr">
        <is>
          <t>HF495192860</t>
        </is>
      </c>
      <c r="F29" s="7" t="n">
        <v>46202</v>
      </c>
      <c r="G29" s="6" t="inlineStr">
        <is>
          <t>AMBETTER</t>
        </is>
      </c>
      <c r="H29" s="6" t="inlineStr">
        <is>
          <t>AMBETTER</t>
        </is>
      </c>
      <c r="I29" s="6" t="inlineStr">
        <is>
          <t>No Payer</t>
        </is>
      </c>
      <c r="J29" s="8" t="inlineStr">
        <is>
          <t>A6023+A1 x10</t>
        </is>
      </c>
      <c r="K29" s="4" t="n"/>
      <c r="L29" s="5">
        <f>IF($O29="","",$O29-TODAY())</f>
        <v/>
      </c>
      <c r="M29" s="5">
        <f>IF($F29="","",$F29+365-TODAY())</f>
        <v/>
      </c>
      <c r="N29" s="5">
        <f>IF($C29="","",$C29+180-TODAY())</f>
        <v/>
      </c>
      <c r="O29" s="7" t="n">
        <v>46322</v>
      </c>
      <c r="P29" s="6" t="inlineStr">
        <is>
          <t>120 days</t>
        </is>
      </c>
      <c r="Q29" s="6" t="inlineStr">
        <is>
          <t>AMBETTER</t>
        </is>
      </c>
      <c r="R29" s="6" t="inlineStr">
        <is>
          <t>365 days</t>
        </is>
      </c>
      <c r="S29" s="6" t="inlineStr">
        <is>
          <t>Date of service</t>
        </is>
      </c>
      <c r="T29" s="6" t="inlineStr">
        <is>
          <t>180 days</t>
        </is>
      </c>
      <c r="U29" s="6" t="inlineStr">
        <is>
          <t>Processed date</t>
        </is>
      </c>
      <c r="V29" s="6" t="inlineStr">
        <is>
          <t>A1</t>
        </is>
      </c>
      <c r="W29" s="6" t="n"/>
      <c r="X29" s="6" t="n"/>
      <c r="Y29" s="6" t="inlineStr">
        <is>
          <t>10</t>
        </is>
      </c>
      <c r="Z29" s="9" t="n">
        <v>18176.9</v>
      </c>
      <c r="AA29" s="9" t="n">
        <v>0</v>
      </c>
      <c r="AB29" s="9" t="n">
        <v>0</v>
      </c>
      <c r="AC29" s="7" t="n"/>
      <c r="AD29" s="9" t="n">
        <v>18176.9</v>
      </c>
      <c r="AE29" s="5" t="n">
        <v>40</v>
      </c>
      <c r="AF29" s="6" t="inlineStr">
        <is>
          <t>G894</t>
        </is>
      </c>
      <c r="AG29" s="6" t="n"/>
      <c r="AH29" s="6" t="n"/>
      <c r="AI29" s="6" t="n"/>
      <c r="AJ29" s="5" t="n"/>
      <c r="AK29" s="6" t="inlineStr">
        <is>
          <t>HOLLISTER, ALICIA</t>
        </is>
      </c>
      <c r="AL29" s="6" t="inlineStr">
        <is>
          <t>ASAP - DEER VALLEY</t>
        </is>
      </c>
      <c r="AM29" s="7" t="n">
        <v>46217</v>
      </c>
      <c r="AN29" s="6" t="inlineStr">
        <is>
          <t>DME</t>
        </is>
      </c>
      <c r="AO29" s="6" t="inlineStr">
        <is>
          <t>864</t>
        </is>
      </c>
    </row>
    <row r="30">
      <c r="A30" s="2" t="n"/>
      <c r="B30" s="3" t="n"/>
      <c r="C30" s="4" t="n">
        <v>46192</v>
      </c>
      <c r="D30" s="5" t="n">
        <v>562134105</v>
      </c>
      <c r="E30" s="6" t="inlineStr">
        <is>
          <t>HF538936351</t>
        </is>
      </c>
      <c r="F30" s="7" t="n">
        <v>46175</v>
      </c>
      <c r="G30" s="6" t="inlineStr">
        <is>
          <t>Health Choice Arizona</t>
        </is>
      </c>
      <c r="H30" s="6" t="inlineStr">
        <is>
          <t>Health Choice Arizona</t>
        </is>
      </c>
      <c r="I30" s="6" t="inlineStr">
        <is>
          <t>No Payer</t>
        </is>
      </c>
      <c r="J30" s="8" t="inlineStr">
        <is>
          <t>L0457+KX x1</t>
        </is>
      </c>
      <c r="K30" s="4" t="n"/>
      <c r="L30" s="5">
        <f>IF($O30="","",$O30-TODAY())</f>
        <v/>
      </c>
      <c r="M30" s="5">
        <f>IF($F30="","",$F30+365-TODAY())</f>
        <v/>
      </c>
      <c r="N30" s="5">
        <f>IF($F30="","",$F30+365-TODAY())</f>
        <v/>
      </c>
      <c r="O30" s="7" t="n">
        <v>46355</v>
      </c>
      <c r="P30" s="6" t="inlineStr">
        <is>
          <t>180 days</t>
        </is>
      </c>
      <c r="Q30" s="6" t="inlineStr">
        <is>
          <t>HEALTH CHOICE MEDICAID</t>
        </is>
      </c>
      <c r="R30" s="6" t="inlineStr">
        <is>
          <t>365 days</t>
        </is>
      </c>
      <c r="S30" s="6" t="inlineStr">
        <is>
          <t>Date of service</t>
        </is>
      </c>
      <c r="T30" s="6" t="inlineStr">
        <is>
          <t>365 days</t>
        </is>
      </c>
      <c r="U30" s="6" t="inlineStr">
        <is>
          <t>Date of service</t>
        </is>
      </c>
      <c r="V30" s="6" t="inlineStr">
        <is>
          <t>KX</t>
        </is>
      </c>
      <c r="W30" s="6" t="n"/>
      <c r="X30" s="6" t="n"/>
      <c r="Y30" s="6" t="inlineStr">
        <is>
          <t>1</t>
        </is>
      </c>
      <c r="Z30" s="9" t="n">
        <v>5320.49</v>
      </c>
      <c r="AA30" s="9" t="n">
        <v>0</v>
      </c>
      <c r="AB30" s="9" t="n">
        <v>0</v>
      </c>
      <c r="AC30" s="7" t="n">
        <v>46192</v>
      </c>
      <c r="AD30" s="9" t="n">
        <v>5320.49</v>
      </c>
      <c r="AE30" s="5" t="n">
        <v>67</v>
      </c>
      <c r="AF30" s="6" t="inlineStr">
        <is>
          <t>M47814</t>
        </is>
      </c>
      <c r="AG30" s="6" t="n"/>
      <c r="AH30" s="6" t="n"/>
      <c r="AI30" s="6" t="n"/>
      <c r="AJ30" s="5" t="n"/>
      <c r="AK30" s="6" t="inlineStr">
        <is>
          <t>Arshad, Jawad</t>
        </is>
      </c>
      <c r="AL30" s="6" t="inlineStr">
        <is>
          <t>ASAP - Mesa</t>
        </is>
      </c>
      <c r="AM30" s="7" t="n">
        <v>46185</v>
      </c>
      <c r="AN30" s="6" t="inlineStr">
        <is>
          <t>DME</t>
        </is>
      </c>
      <c r="AO30" s="6" t="inlineStr">
        <is>
          <t>397</t>
        </is>
      </c>
    </row>
    <row r="31">
      <c r="A31" s="2" t="n"/>
      <c r="B31" s="3" t="n"/>
      <c r="C31" s="4" t="n">
        <v>46211</v>
      </c>
      <c r="D31" s="5" t="n">
        <v>564103202</v>
      </c>
      <c r="E31" s="6" t="inlineStr">
        <is>
          <t>HF541974005</t>
        </is>
      </c>
      <c r="F31" s="7" t="n">
        <v>46196</v>
      </c>
      <c r="G31" s="6" t="inlineStr">
        <is>
          <t>Mercy Care Plan (AHCCCS) - Complete Care &amp; Long Term Care (LTC)</t>
        </is>
      </c>
      <c r="H31" s="6" t="inlineStr">
        <is>
          <t>Mercy Care Plan (AHCCCS) - Complete Care &amp; Long Term Care (LTC)</t>
        </is>
      </c>
      <c r="I31" s="6" t="inlineStr">
        <is>
          <t>No Payer</t>
        </is>
      </c>
      <c r="J31" s="8" t="inlineStr">
        <is>
          <t>A6010+A2 x20</t>
        </is>
      </c>
      <c r="K31" s="4" t="n"/>
      <c r="L31" s="5">
        <f>IF($O31="","",$O31-TODAY())</f>
        <v/>
      </c>
      <c r="M31" s="5">
        <f>IF($F31="","",$F31+365-TODAY())</f>
        <v/>
      </c>
      <c r="N31" s="5">
        <f>IF($F31="","",$F31+365-TODAY())</f>
        <v/>
      </c>
      <c r="O31" s="7" t="n">
        <v>46376</v>
      </c>
      <c r="P31" s="6" t="inlineStr">
        <is>
          <t>180 days</t>
        </is>
      </c>
      <c r="Q31" s="6" t="inlineStr">
        <is>
          <t>MERCY CARE MEDICAID</t>
        </is>
      </c>
      <c r="R31" s="6" t="inlineStr">
        <is>
          <t>365 days</t>
        </is>
      </c>
      <c r="S31" s="6" t="inlineStr">
        <is>
          <t>Date of service</t>
        </is>
      </c>
      <c r="T31" s="6" t="inlineStr">
        <is>
          <t>365 days</t>
        </is>
      </c>
      <c r="U31" s="6" t="inlineStr">
        <is>
          <t>Date of service</t>
        </is>
      </c>
      <c r="V31" s="6" t="inlineStr">
        <is>
          <t>A2</t>
        </is>
      </c>
      <c r="W31" s="6" t="n"/>
      <c r="X31" s="6" t="n"/>
      <c r="Y31" s="6" t="inlineStr">
        <is>
          <t>20</t>
        </is>
      </c>
      <c r="Z31" s="9" t="n">
        <v>5916.4</v>
      </c>
      <c r="AA31" s="9" t="n">
        <v>0</v>
      </c>
      <c r="AB31" s="9" t="n">
        <v>0</v>
      </c>
      <c r="AC31" s="7" t="n">
        <v>46211</v>
      </c>
      <c r="AD31" s="9" t="n">
        <v>5916.4</v>
      </c>
      <c r="AE31" s="5" t="n">
        <v>46</v>
      </c>
      <c r="AF31" s="6" t="inlineStr">
        <is>
          <t>G894</t>
        </is>
      </c>
      <c r="AG31" s="6" t="inlineStr">
        <is>
          <t>M4316</t>
        </is>
      </c>
      <c r="AH31" s="6" t="inlineStr">
        <is>
          <t>M4726</t>
        </is>
      </c>
      <c r="AI31" s="6" t="inlineStr">
        <is>
          <t>M48062</t>
        </is>
      </c>
      <c r="AJ31" s="5" t="n"/>
      <c r="AK31" s="6" t="inlineStr">
        <is>
          <t>MCCUNNIFF, PETER</t>
        </is>
      </c>
      <c r="AL31" s="6" t="inlineStr">
        <is>
          <t>ASAP Peoria</t>
        </is>
      </c>
      <c r="AM31" s="7" t="n">
        <v>46205</v>
      </c>
      <c r="AN31" s="6" t="inlineStr">
        <is>
          <t>DME</t>
        </is>
      </c>
      <c r="AO31" s="6" t="inlineStr">
        <is>
          <t>829</t>
        </is>
      </c>
    </row>
    <row r="32">
      <c r="A32" s="2" t="inlineStr">
        <is>
          <t>Finalized</t>
        </is>
      </c>
      <c r="B32" s="3" t="n"/>
      <c r="C32" s="4" t="n">
        <v>46224</v>
      </c>
      <c r="D32" s="5" t="n">
        <v>564663754</v>
      </c>
      <c r="E32" s="6" t="inlineStr">
        <is>
          <t>HF555347656</t>
        </is>
      </c>
      <c r="F32" s="7" t="n">
        <v>46174</v>
      </c>
      <c r="G32" s="6" t="inlineStr">
        <is>
          <t>United Healthcare</t>
        </is>
      </c>
      <c r="H32" s="6" t="inlineStr">
        <is>
          <t>DME Region D</t>
        </is>
      </c>
      <c r="I32" s="6" t="inlineStr">
        <is>
          <t>United Healthcare</t>
        </is>
      </c>
      <c r="J32" s="8" t="inlineStr">
        <is>
          <t>A6023+A2 x40</t>
        </is>
      </c>
      <c r="K32" s="4" t="n"/>
      <c r="L32" s="5">
        <f>IF($O32="","",$O32-TODAY())</f>
        <v/>
      </c>
      <c r="M32" s="5">
        <f>IF($C32="","",$C32+365-TODAY())</f>
        <v/>
      </c>
      <c r="N32" s="5">
        <f>IF($C32="","",$C32+120-TODAY())</f>
        <v/>
      </c>
      <c r="O32" s="7" t="n">
        <v>46539</v>
      </c>
      <c r="P32" s="6" t="inlineStr">
        <is>
          <t>365 days</t>
        </is>
      </c>
      <c r="Q32" s="6" t="inlineStr">
        <is>
          <t>MEDICARE</t>
        </is>
      </c>
      <c r="R32" s="6" t="inlineStr">
        <is>
          <t>365 days</t>
        </is>
      </c>
      <c r="S32" s="6" t="inlineStr">
        <is>
          <t>Processed date</t>
        </is>
      </c>
      <c r="T32" s="6" t="inlineStr">
        <is>
          <t>120 days</t>
        </is>
      </c>
      <c r="U32" s="6" t="inlineStr">
        <is>
          <t>Processed date</t>
        </is>
      </c>
      <c r="V32" s="6" t="inlineStr">
        <is>
          <t>A2</t>
        </is>
      </c>
      <c r="W32" s="6" t="n"/>
      <c r="X32" s="6" t="n"/>
      <c r="Y32" s="6" t="inlineStr">
        <is>
          <t>40</t>
        </is>
      </c>
      <c r="Z32" s="9" t="n">
        <v>72707.60000000001</v>
      </c>
      <c r="AA32" s="9" t="n">
        <v>62032.38</v>
      </c>
      <c r="AB32" s="9" t="n">
        <v>8505.459999999999</v>
      </c>
      <c r="AC32" s="7" t="n">
        <v>46224</v>
      </c>
      <c r="AD32" s="9" t="n">
        <v>2169.76</v>
      </c>
      <c r="AE32" s="5" t="n">
        <v>68</v>
      </c>
      <c r="AF32" s="6" t="inlineStr">
        <is>
          <t>G894</t>
        </is>
      </c>
      <c r="AG32" s="6" t="n"/>
      <c r="AH32" s="6" t="n"/>
      <c r="AI32" s="6" t="n"/>
      <c r="AJ32" s="5" t="n">
        <v>567791216</v>
      </c>
      <c r="AK32" s="6" t="inlineStr">
        <is>
          <t>Advanced Spine and Pain LLC DME GIL</t>
        </is>
      </c>
      <c r="AL32" s="6" t="inlineStr">
        <is>
          <t>Advanced Spine and Pain LLC DME - Gilbert</t>
        </is>
      </c>
      <c r="AM32" s="7" t="n">
        <v>46211</v>
      </c>
      <c r="AN32" s="6" t="inlineStr">
        <is>
          <t>DME</t>
        </is>
      </c>
      <c r="AO32" s="6" t="inlineStr">
        <is>
          <t>84</t>
        </is>
      </c>
    </row>
    <row r="33">
      <c r="A33" s="2" t="n"/>
      <c r="B33" s="3" t="n"/>
      <c r="C33" s="4" t="n">
        <v>46188</v>
      </c>
      <c r="D33" s="5" t="n">
        <v>562148651</v>
      </c>
      <c r="E33" s="6" t="inlineStr">
        <is>
          <t>HF545128862</t>
        </is>
      </c>
      <c r="F33" s="7" t="n">
        <v>46177</v>
      </c>
      <c r="G33" s="6" t="inlineStr">
        <is>
          <t>DME Region D</t>
        </is>
      </c>
      <c r="H33" s="6" t="inlineStr">
        <is>
          <t>DME Region D</t>
        </is>
      </c>
      <c r="I33" s="6" t="inlineStr">
        <is>
          <t>CSI Life Medicare Supplement</t>
        </is>
      </c>
      <c r="J33" s="8" t="inlineStr">
        <is>
          <t>L3916+KX+RT x1</t>
        </is>
      </c>
      <c r="K33" s="4" t="n"/>
      <c r="L33" s="5">
        <f>IF($O33="","",$O33-TODAY())</f>
        <v/>
      </c>
      <c r="M33" s="5">
        <f>IF($C33="","",$C33+365-TODAY())</f>
        <v/>
      </c>
      <c r="N33" s="5">
        <f>IF($C33="","",$C33+120-TODAY())</f>
        <v/>
      </c>
      <c r="O33" s="7" t="n">
        <v>46542</v>
      </c>
      <c r="P33" s="6" t="inlineStr">
        <is>
          <t>365 days</t>
        </is>
      </c>
      <c r="Q33" s="6" t="inlineStr">
        <is>
          <t>MEDICARE</t>
        </is>
      </c>
      <c r="R33" s="6" t="inlineStr">
        <is>
          <t>365 days</t>
        </is>
      </c>
      <c r="S33" s="6" t="inlineStr">
        <is>
          <t>Processed date</t>
        </is>
      </c>
      <c r="T33" s="6" t="inlineStr">
        <is>
          <t>120 days</t>
        </is>
      </c>
      <c r="U33" s="6" t="inlineStr">
        <is>
          <t>Processed date</t>
        </is>
      </c>
      <c r="V33" s="6" t="inlineStr">
        <is>
          <t>KX</t>
        </is>
      </c>
      <c r="W33" s="6" t="inlineStr">
        <is>
          <t>RT</t>
        </is>
      </c>
      <c r="X33" s="6" t="n"/>
      <c r="Y33" s="6" t="inlineStr">
        <is>
          <t>1</t>
        </is>
      </c>
      <c r="Z33" s="9" t="n">
        <v>3790.43</v>
      </c>
      <c r="AA33" s="9" t="n">
        <v>0</v>
      </c>
      <c r="AB33" s="9" t="n">
        <v>0</v>
      </c>
      <c r="AC33" s="7" t="n">
        <v>46188</v>
      </c>
      <c r="AD33" s="9" t="n">
        <v>3790.43</v>
      </c>
      <c r="AE33" s="5" t="n">
        <v>65</v>
      </c>
      <c r="AF33" s="6" t="inlineStr">
        <is>
          <t>G5601</t>
        </is>
      </c>
      <c r="AG33" s="6" t="n"/>
      <c r="AH33" s="6" t="n"/>
      <c r="AI33" s="6" t="n"/>
      <c r="AJ33" s="5" t="n"/>
      <c r="AK33" s="6" t="inlineStr">
        <is>
          <t>Advanced Spine and Pain LLC DME GWY</t>
        </is>
      </c>
      <c r="AL33" s="6" t="inlineStr">
        <is>
          <t>Advanced Spine and Pain LLC DME - Greenway</t>
        </is>
      </c>
      <c r="AM33" s="7" t="n">
        <v>46185</v>
      </c>
      <c r="AN33" s="6" t="inlineStr">
        <is>
          <t>DME</t>
        </is>
      </c>
      <c r="AO33" s="6" t="inlineStr">
        <is>
          <t>398</t>
        </is>
      </c>
    </row>
    <row r="34">
      <c r="A34" s="2" t="n"/>
      <c r="B34" s="3" t="n"/>
      <c r="C34" s="4" t="n">
        <v>46195</v>
      </c>
      <c r="D34" s="5" t="n">
        <v>562696935</v>
      </c>
      <c r="E34" s="6" t="inlineStr">
        <is>
          <t>HF428858741</t>
        </is>
      </c>
      <c r="F34" s="7" t="n">
        <v>46177</v>
      </c>
      <c r="G34" s="6" t="inlineStr">
        <is>
          <t>DME Region D</t>
        </is>
      </c>
      <c r="H34" s="6" t="inlineStr">
        <is>
          <t>DME Region D</t>
        </is>
      </c>
      <c r="I34" s="6" t="inlineStr">
        <is>
          <t>Tricare for Life (All Regions)</t>
        </is>
      </c>
      <c r="J34" s="8" t="inlineStr">
        <is>
          <t>L1851+KX+LT x1; L1851+KX+RT x1</t>
        </is>
      </c>
      <c r="K34" s="4" t="n"/>
      <c r="L34" s="5">
        <f>IF($O34="","",$O34-TODAY())</f>
        <v/>
      </c>
      <c r="M34" s="5">
        <f>IF($C34="","",$C34+365-TODAY())</f>
        <v/>
      </c>
      <c r="N34" s="5">
        <f>IF($C34="","",$C34+120-TODAY())</f>
        <v/>
      </c>
      <c r="O34" s="7" t="n">
        <v>46542</v>
      </c>
      <c r="P34" s="6" t="inlineStr">
        <is>
          <t>365 days</t>
        </is>
      </c>
      <c r="Q34" s="6" t="inlineStr">
        <is>
          <t>MEDICARE</t>
        </is>
      </c>
      <c r="R34" s="6" t="inlineStr">
        <is>
          <t>365 days</t>
        </is>
      </c>
      <c r="S34" s="6" t="inlineStr">
        <is>
          <t>Processed date</t>
        </is>
      </c>
      <c r="T34" s="6" t="inlineStr">
        <is>
          <t>120 days</t>
        </is>
      </c>
      <c r="U34" s="6" t="inlineStr">
        <is>
          <t>Processed date</t>
        </is>
      </c>
      <c r="V34" s="6" t="inlineStr">
        <is>
          <t>KX</t>
        </is>
      </c>
      <c r="W34" s="6" t="inlineStr">
        <is>
          <t>LT, RT</t>
        </is>
      </c>
      <c r="X34" s="6" t="n"/>
      <c r="Y34" s="6" t="inlineStr">
        <is>
          <t>1</t>
        </is>
      </c>
      <c r="Z34" s="9" t="n">
        <v>9040.219999999999</v>
      </c>
      <c r="AA34" s="9" t="n">
        <v>0</v>
      </c>
      <c r="AB34" s="9" t="n">
        <v>0</v>
      </c>
      <c r="AC34" s="7" t="n">
        <v>46195</v>
      </c>
      <c r="AD34" s="9" t="n">
        <v>9040.219999999999</v>
      </c>
      <c r="AE34" s="5" t="n">
        <v>65</v>
      </c>
      <c r="AF34" s="6" t="inlineStr">
        <is>
          <t>M1712, M1711</t>
        </is>
      </c>
      <c r="AG34" s="6" t="n"/>
      <c r="AH34" s="6" t="n"/>
      <c r="AI34" s="6" t="n"/>
      <c r="AJ34" s="5" t="n"/>
      <c r="AK34" s="6" t="inlineStr">
        <is>
          <t>Advanced Spine and Pain LLC DME GWY</t>
        </is>
      </c>
      <c r="AL34" s="6" t="inlineStr">
        <is>
          <t>Advanced Spine and Pain LLC DME - Greenway</t>
        </is>
      </c>
      <c r="AM34" s="7" t="n">
        <v>46191</v>
      </c>
      <c r="AN34" s="6" t="inlineStr">
        <is>
          <t>DME</t>
        </is>
      </c>
      <c r="AO34" s="6" t="inlineStr">
        <is>
          <t>739, 740</t>
        </is>
      </c>
    </row>
    <row r="35">
      <c r="A35" s="2" t="inlineStr">
        <is>
          <t>Finalized</t>
        </is>
      </c>
      <c r="B35" s="3" t="n"/>
      <c r="C35" s="4" t="n">
        <v>46217</v>
      </c>
      <c r="D35" s="5" t="n">
        <v>562140958</v>
      </c>
      <c r="E35" s="6" t="inlineStr">
        <is>
          <t>HF340120024</t>
        </is>
      </c>
      <c r="F35" s="7" t="n">
        <v>46178</v>
      </c>
      <c r="G35" s="6" t="inlineStr">
        <is>
          <t>Blue Cross Blue Shield of Arizona (BCBS AZ)</t>
        </is>
      </c>
      <c r="H35" s="6" t="inlineStr">
        <is>
          <t>DME Region D</t>
        </is>
      </c>
      <c r="I35" s="6" t="inlineStr">
        <is>
          <t>Blue Cross Blue Shield of Arizona (BCBS AZ)</t>
        </is>
      </c>
      <c r="J35" s="8" t="inlineStr">
        <is>
          <t>A6023+A2 x20</t>
        </is>
      </c>
      <c r="K35" s="4" t="n"/>
      <c r="L35" s="5">
        <f>IF($O35="","",$O35-TODAY())</f>
        <v/>
      </c>
      <c r="M35" s="5">
        <f>IF($C35="","",$C35+365-TODAY())</f>
        <v/>
      </c>
      <c r="N35" s="5">
        <f>IF($C35="","",$C35+120-TODAY())</f>
        <v/>
      </c>
      <c r="O35" s="7" t="n">
        <v>46543</v>
      </c>
      <c r="P35" s="6" t="inlineStr">
        <is>
          <t>365 days</t>
        </is>
      </c>
      <c r="Q35" s="6" t="inlineStr">
        <is>
          <t>MEDICARE</t>
        </is>
      </c>
      <c r="R35" s="6" t="inlineStr">
        <is>
          <t>365 days</t>
        </is>
      </c>
      <c r="S35" s="6" t="inlineStr">
        <is>
          <t>Processed date</t>
        </is>
      </c>
      <c r="T35" s="6" t="inlineStr">
        <is>
          <t>120 days</t>
        </is>
      </c>
      <c r="U35" s="6" t="inlineStr">
        <is>
          <t>Processed date</t>
        </is>
      </c>
      <c r="V35" s="6" t="inlineStr">
        <is>
          <t>A2</t>
        </is>
      </c>
      <c r="W35" s="6" t="n"/>
      <c r="X35" s="6" t="n"/>
      <c r="Y35" s="6" t="inlineStr">
        <is>
          <t>20</t>
        </is>
      </c>
      <c r="Z35" s="9" t="n">
        <v>36353.8</v>
      </c>
      <c r="AA35" s="9" t="n">
        <v>31016.19</v>
      </c>
      <c r="AB35" s="9" t="n">
        <v>4252.73</v>
      </c>
      <c r="AC35" s="7" t="n">
        <v>46217</v>
      </c>
      <c r="AD35" s="9" t="n">
        <v>1084.88</v>
      </c>
      <c r="AE35" s="5" t="n">
        <v>64</v>
      </c>
      <c r="AF35" s="6" t="inlineStr">
        <is>
          <t>G894</t>
        </is>
      </c>
      <c r="AG35" s="6" t="n"/>
      <c r="AH35" s="6" t="n"/>
      <c r="AI35" s="6" t="n"/>
      <c r="AJ35" s="5" t="n">
        <v>564721141</v>
      </c>
      <c r="AK35" s="6" t="inlineStr">
        <is>
          <t>Advanced Spine and Pain LLC DME GYR</t>
        </is>
      </c>
      <c r="AL35" s="6" t="inlineStr">
        <is>
          <t>Advanced Spine and Pain LLC DME - Goodyear</t>
        </is>
      </c>
      <c r="AM35" s="7" t="n">
        <v>46185</v>
      </c>
      <c r="AN35" s="6" t="inlineStr">
        <is>
          <t>DME</t>
        </is>
      </c>
      <c r="AO35" s="6" t="inlineStr">
        <is>
          <t>73</t>
        </is>
      </c>
    </row>
    <row r="36">
      <c r="A36" s="2" t="inlineStr">
        <is>
          <t>Finalized</t>
        </is>
      </c>
      <c r="B36" s="3" t="n"/>
      <c r="C36" s="4" t="n">
        <v>46224</v>
      </c>
      <c r="D36" s="5" t="n">
        <v>564632097</v>
      </c>
      <c r="E36" s="6" t="inlineStr">
        <is>
          <t>HF446078490</t>
        </is>
      </c>
      <c r="F36" s="7" t="n">
        <v>46181</v>
      </c>
      <c r="G36" s="6" t="inlineStr">
        <is>
          <t>Aetna Life &amp; Casualty Company</t>
        </is>
      </c>
      <c r="H36" s="6" t="inlineStr">
        <is>
          <t>DME Region D</t>
        </is>
      </c>
      <c r="I36" s="6" t="inlineStr">
        <is>
          <t>Aetna Life &amp; Casualty Company</t>
        </is>
      </c>
      <c r="J36" s="8" t="inlineStr">
        <is>
          <t>A6010+A1 x20</t>
        </is>
      </c>
      <c r="K36" s="4" t="n"/>
      <c r="L36" s="5">
        <f>IF($O36="","",$O36-TODAY())</f>
        <v/>
      </c>
      <c r="M36" s="5">
        <f>IF($C36="","",$C36+365-TODAY())</f>
        <v/>
      </c>
      <c r="N36" s="5">
        <f>IF($C36="","",$C36+120-TODAY())</f>
        <v/>
      </c>
      <c r="O36" s="7" t="n">
        <v>46546</v>
      </c>
      <c r="P36" s="6" t="inlineStr">
        <is>
          <t>365 days</t>
        </is>
      </c>
      <c r="Q36" s="6" t="inlineStr">
        <is>
          <t>MEDICARE</t>
        </is>
      </c>
      <c r="R36" s="6" t="inlineStr">
        <is>
          <t>365 days</t>
        </is>
      </c>
      <c r="S36" s="6" t="inlineStr">
        <is>
          <t>Processed date</t>
        </is>
      </c>
      <c r="T36" s="6" t="inlineStr">
        <is>
          <t>120 days</t>
        </is>
      </c>
      <c r="U36" s="6" t="inlineStr">
        <is>
          <t>Processed date</t>
        </is>
      </c>
      <c r="V36" s="6" t="inlineStr">
        <is>
          <t>A1</t>
        </is>
      </c>
      <c r="W36" s="6" t="n"/>
      <c r="X36" s="6" t="n"/>
      <c r="Y36" s="6" t="inlineStr">
        <is>
          <t>20</t>
        </is>
      </c>
      <c r="Z36" s="9" t="n">
        <v>5916.4</v>
      </c>
      <c r="AA36" s="9" t="n">
        <v>5047.72</v>
      </c>
      <c r="AB36" s="9" t="n">
        <v>692.12</v>
      </c>
      <c r="AC36" s="7" t="n">
        <v>46224</v>
      </c>
      <c r="AD36" s="9" t="n">
        <v>176.56</v>
      </c>
      <c r="AE36" s="5" t="n">
        <v>61</v>
      </c>
      <c r="AF36" s="6" t="inlineStr">
        <is>
          <t>G894</t>
        </is>
      </c>
      <c r="AG36" s="6" t="n"/>
      <c r="AH36" s="6" t="n"/>
      <c r="AI36" s="6" t="n"/>
      <c r="AJ36" s="5" t="n">
        <v>567791220</v>
      </c>
      <c r="AK36" s="6" t="inlineStr">
        <is>
          <t>Advanced Spine and Pain LLC DME GIL</t>
        </is>
      </c>
      <c r="AL36" s="6" t="inlineStr">
        <is>
          <t>Advanced Spine and Pain LLC DME - Gilbert</t>
        </is>
      </c>
      <c r="AM36" s="7" t="n">
        <v>46211</v>
      </c>
      <c r="AN36" s="6" t="inlineStr">
        <is>
          <t>DME</t>
        </is>
      </c>
      <c r="AO36" s="6" t="inlineStr">
        <is>
          <t>322</t>
        </is>
      </c>
    </row>
    <row r="37">
      <c r="A37" s="2" t="n"/>
      <c r="B37" s="3" t="n"/>
      <c r="C37" s="4" t="n"/>
      <c r="D37" s="5" t="n">
        <v>564672683</v>
      </c>
      <c r="E37" s="6" t="inlineStr">
        <is>
          <t>HF561443798</t>
        </is>
      </c>
      <c r="F37" s="7" t="n">
        <v>46181</v>
      </c>
      <c r="G37" s="6" t="inlineStr">
        <is>
          <t>DME Region D</t>
        </is>
      </c>
      <c r="H37" s="6" t="inlineStr">
        <is>
          <t>DME Region D</t>
        </is>
      </c>
      <c r="I37" s="6" t="inlineStr">
        <is>
          <t>Tricare for Life (All Regions)</t>
        </is>
      </c>
      <c r="J37" s="8" t="inlineStr">
        <is>
          <t>A6023+A1 x10</t>
        </is>
      </c>
      <c r="K37" s="4" t="n"/>
      <c r="L37" s="5">
        <f>IF($O37="","",$O37-TODAY())</f>
        <v/>
      </c>
      <c r="M37" s="5">
        <f>IF($C37="","",$C37+365-TODAY())</f>
        <v/>
      </c>
      <c r="N37" s="5">
        <f>IF($C37="","",$C37+120-TODAY())</f>
        <v/>
      </c>
      <c r="O37" s="7" t="n">
        <v>46546</v>
      </c>
      <c r="P37" s="6" t="inlineStr">
        <is>
          <t>365 days</t>
        </is>
      </c>
      <c r="Q37" s="6" t="inlineStr">
        <is>
          <t>MEDICARE</t>
        </is>
      </c>
      <c r="R37" s="6" t="inlineStr">
        <is>
          <t>365 days</t>
        </is>
      </c>
      <c r="S37" s="6" t="inlineStr">
        <is>
          <t>Processed date</t>
        </is>
      </c>
      <c r="T37" s="6" t="inlineStr">
        <is>
          <t>120 days</t>
        </is>
      </c>
      <c r="U37" s="6" t="inlineStr">
        <is>
          <t>Processed date</t>
        </is>
      </c>
      <c r="V37" s="6" t="inlineStr">
        <is>
          <t>A1</t>
        </is>
      </c>
      <c r="W37" s="6" t="n"/>
      <c r="X37" s="6" t="n"/>
      <c r="Y37" s="6" t="inlineStr">
        <is>
          <t>10</t>
        </is>
      </c>
      <c r="Z37" s="9" t="n">
        <v>18176.9</v>
      </c>
      <c r="AA37" s="9" t="n">
        <v>0</v>
      </c>
      <c r="AB37" s="9" t="n">
        <v>0</v>
      </c>
      <c r="AC37" s="7" t="n"/>
      <c r="AD37" s="9" t="n">
        <v>18176.9</v>
      </c>
      <c r="AE37" s="5" t="n">
        <v>61</v>
      </c>
      <c r="AF37" s="6" t="inlineStr">
        <is>
          <t>G894</t>
        </is>
      </c>
      <c r="AG37" s="6" t="n"/>
      <c r="AH37" s="6" t="n"/>
      <c r="AI37" s="6" t="n"/>
      <c r="AJ37" s="5" t="n"/>
      <c r="AK37" s="6" t="inlineStr">
        <is>
          <t>Advanced Spine and Pain LLC DME SUR</t>
        </is>
      </c>
      <c r="AL37" s="6" t="inlineStr">
        <is>
          <t>Advanced Spine and Pain LLC DME - Surprise Reems</t>
        </is>
      </c>
      <c r="AM37" s="7" t="n">
        <v>46211</v>
      </c>
      <c r="AN37" s="6" t="inlineStr">
        <is>
          <t>DME</t>
        </is>
      </c>
      <c r="AO37" s="6" t="inlineStr">
        <is>
          <t>840</t>
        </is>
      </c>
    </row>
    <row r="38">
      <c r="A38" s="2" t="n"/>
      <c r="B38" s="3" t="n"/>
      <c r="C38" s="4" t="n"/>
      <c r="D38" s="5" t="n">
        <v>562699568</v>
      </c>
      <c r="E38" s="6" t="inlineStr">
        <is>
          <t>HF548675546</t>
        </is>
      </c>
      <c r="F38" s="7" t="n">
        <v>46182</v>
      </c>
      <c r="G38" s="6" t="inlineStr">
        <is>
          <t>DME Region D</t>
        </is>
      </c>
      <c r="H38" s="6" t="inlineStr">
        <is>
          <t>DME Region D</t>
        </is>
      </c>
      <c r="I38" s="6" t="inlineStr">
        <is>
          <t>AARP United Healthcare</t>
        </is>
      </c>
      <c r="J38" s="8" t="inlineStr">
        <is>
          <t>L0648+KX x1</t>
        </is>
      </c>
      <c r="K38" s="4" t="n"/>
      <c r="L38" s="5">
        <f>IF($O38="","",$O38-TODAY())</f>
        <v/>
      </c>
      <c r="M38" s="5">
        <f>IF($C38="","",$C38+365-TODAY())</f>
        <v/>
      </c>
      <c r="N38" s="5">
        <f>IF($C38="","",$C38+120-TODAY())</f>
        <v/>
      </c>
      <c r="O38" s="7" t="n">
        <v>46547</v>
      </c>
      <c r="P38" s="6" t="inlineStr">
        <is>
          <t>365 days</t>
        </is>
      </c>
      <c r="Q38" s="6" t="inlineStr">
        <is>
          <t>MEDICARE</t>
        </is>
      </c>
      <c r="R38" s="6" t="inlineStr">
        <is>
          <t>365 days</t>
        </is>
      </c>
      <c r="S38" s="6" t="inlineStr">
        <is>
          <t>Processed date</t>
        </is>
      </c>
      <c r="T38" s="6" t="inlineStr">
        <is>
          <t>120 days</t>
        </is>
      </c>
      <c r="U38" s="6" t="inlineStr">
        <is>
          <t>Processed date</t>
        </is>
      </c>
      <c r="V38" s="6" t="inlineStr">
        <is>
          <t>KX</t>
        </is>
      </c>
      <c r="W38" s="6" t="n"/>
      <c r="X38" s="6" t="n"/>
      <c r="Y38" s="6" t="inlineStr">
        <is>
          <t>1</t>
        </is>
      </c>
      <c r="Z38" s="9" t="n">
        <v>5492.55</v>
      </c>
      <c r="AA38" s="9" t="n">
        <v>0</v>
      </c>
      <c r="AB38" s="9" t="n">
        <v>0</v>
      </c>
      <c r="AC38" s="7" t="n"/>
      <c r="AD38" s="9" t="n">
        <v>5492.55</v>
      </c>
      <c r="AE38" s="5" t="n">
        <v>60</v>
      </c>
      <c r="AF38" s="6" t="inlineStr">
        <is>
          <t>M533</t>
        </is>
      </c>
      <c r="AG38" s="6" t="n"/>
      <c r="AH38" s="6" t="n"/>
      <c r="AI38" s="6" t="n"/>
      <c r="AJ38" s="5" t="n"/>
      <c r="AK38" s="6" t="inlineStr">
        <is>
          <t>Advanced Spine and Pain LLC DME GIL</t>
        </is>
      </c>
      <c r="AL38" s="6" t="inlineStr">
        <is>
          <t>Advanced Spine and Pain LLC DME - Gilbert</t>
        </is>
      </c>
      <c r="AM38" s="7" t="n">
        <v>46191</v>
      </c>
      <c r="AN38" s="6" t="inlineStr">
        <is>
          <t>DME</t>
        </is>
      </c>
      <c r="AO38" s="6" t="inlineStr">
        <is>
          <t>951</t>
        </is>
      </c>
    </row>
    <row r="39">
      <c r="A39" s="2" t="inlineStr">
        <is>
          <t>Finalized</t>
        </is>
      </c>
      <c r="B39" s="3" t="n"/>
      <c r="C39" s="4" t="n">
        <v>46204</v>
      </c>
      <c r="D39" s="5" t="n">
        <v>562552530</v>
      </c>
      <c r="E39" s="6" t="inlineStr">
        <is>
          <t>HF489743294</t>
        </is>
      </c>
      <c r="F39" s="7" t="n">
        <v>46185</v>
      </c>
      <c r="G39" s="6" t="inlineStr">
        <is>
          <t>AARP United Healthcare</t>
        </is>
      </c>
      <c r="H39" s="6" t="inlineStr">
        <is>
          <t>DME Region D</t>
        </is>
      </c>
      <c r="I39" s="6" t="inlineStr">
        <is>
          <t>AARP United Healthcare</t>
        </is>
      </c>
      <c r="J39" s="8" t="inlineStr">
        <is>
          <t>A6010+A1 x10</t>
        </is>
      </c>
      <c r="K39" s="4" t="n"/>
      <c r="L39" s="5">
        <f>IF($O39="","",$O39-TODAY())</f>
        <v/>
      </c>
      <c r="M39" s="5">
        <f>IF($C39="","",$C39+365-TODAY())</f>
        <v/>
      </c>
      <c r="N39" s="5">
        <f>IF($C39="","",$C39+120-TODAY())</f>
        <v/>
      </c>
      <c r="O39" s="7" t="n">
        <v>46550</v>
      </c>
      <c r="P39" s="6" t="inlineStr">
        <is>
          <t>365 days</t>
        </is>
      </c>
      <c r="Q39" s="6" t="inlineStr">
        <is>
          <t>MEDICARE</t>
        </is>
      </c>
      <c r="R39" s="6" t="inlineStr">
        <is>
          <t>365 days</t>
        </is>
      </c>
      <c r="S39" s="6" t="inlineStr">
        <is>
          <t>Processed date</t>
        </is>
      </c>
      <c r="T39" s="6" t="inlineStr">
        <is>
          <t>120 days</t>
        </is>
      </c>
      <c r="U39" s="6" t="inlineStr">
        <is>
          <t>Processed date</t>
        </is>
      </c>
      <c r="V39" s="6" t="inlineStr">
        <is>
          <t>A1</t>
        </is>
      </c>
      <c r="W39" s="6" t="n"/>
      <c r="X39" s="6" t="n"/>
      <c r="Y39" s="6" t="inlineStr">
        <is>
          <t>10</t>
        </is>
      </c>
      <c r="Z39" s="9" t="n">
        <v>2958.2</v>
      </c>
      <c r="AA39" s="9" t="n">
        <v>2523.86</v>
      </c>
      <c r="AB39" s="9" t="n">
        <v>346.06</v>
      </c>
      <c r="AC39" s="7" t="n">
        <v>46204</v>
      </c>
      <c r="AD39" s="9" t="n">
        <v>88.28</v>
      </c>
      <c r="AE39" s="5" t="n">
        <v>57</v>
      </c>
      <c r="AF39" s="6" t="inlineStr">
        <is>
          <t>G894</t>
        </is>
      </c>
      <c r="AG39" s="6" t="n"/>
      <c r="AH39" s="6" t="n"/>
      <c r="AI39" s="6" t="n"/>
      <c r="AJ39" s="5" t="n">
        <v>565293120</v>
      </c>
      <c r="AK39" s="6" t="inlineStr">
        <is>
          <t>Advanced Spine and Pain LLC DME GWY</t>
        </is>
      </c>
      <c r="AL39" s="6" t="inlineStr">
        <is>
          <t>Advanced Spine and Pain LLC DME - Greenway</t>
        </is>
      </c>
      <c r="AM39" s="7" t="n">
        <v>46190</v>
      </c>
      <c r="AN39" s="6" t="inlineStr">
        <is>
          <t>DME</t>
        </is>
      </c>
      <c r="AO39" s="6" t="inlineStr">
        <is>
          <t>159</t>
        </is>
      </c>
    </row>
    <row r="40">
      <c r="A40" s="2" t="n"/>
      <c r="B40" s="3" t="n"/>
      <c r="C40" s="4" t="n">
        <v>46218</v>
      </c>
      <c r="D40" s="5" t="n">
        <v>562575728</v>
      </c>
      <c r="E40" s="6" t="inlineStr">
        <is>
          <t>HF521220935</t>
        </is>
      </c>
      <c r="F40" s="7" t="n">
        <v>46185</v>
      </c>
      <c r="G40" s="6" t="inlineStr">
        <is>
          <t>DME Region D</t>
        </is>
      </c>
      <c r="H40" s="6" t="inlineStr">
        <is>
          <t>DME Region D</t>
        </is>
      </c>
      <c r="I40" s="6" t="inlineStr">
        <is>
          <t>No Payer</t>
        </is>
      </c>
      <c r="J40" s="8" t="inlineStr">
        <is>
          <t>A6023+A1 x10</t>
        </is>
      </c>
      <c r="K40" s="4" t="n"/>
      <c r="L40" s="5">
        <f>IF($O40="","",$O40-TODAY())</f>
        <v/>
      </c>
      <c r="M40" s="5">
        <f>IF($C40="","",$C40+365-TODAY())</f>
        <v/>
      </c>
      <c r="N40" s="5">
        <f>IF($C40="","",$C40+120-TODAY())</f>
        <v/>
      </c>
      <c r="O40" s="7" t="n">
        <v>46550</v>
      </c>
      <c r="P40" s="6" t="inlineStr">
        <is>
          <t>365 days</t>
        </is>
      </c>
      <c r="Q40" s="6" t="inlineStr">
        <is>
          <t>MEDICARE</t>
        </is>
      </c>
      <c r="R40" s="6" t="inlineStr">
        <is>
          <t>365 days</t>
        </is>
      </c>
      <c r="S40" s="6" t="inlineStr">
        <is>
          <t>Processed date</t>
        </is>
      </c>
      <c r="T40" s="6" t="inlineStr">
        <is>
          <t>120 days</t>
        </is>
      </c>
      <c r="U40" s="6" t="inlineStr">
        <is>
          <t>Processed date</t>
        </is>
      </c>
      <c r="V40" s="6" t="inlineStr">
        <is>
          <t>A1</t>
        </is>
      </c>
      <c r="W40" s="6" t="n"/>
      <c r="X40" s="6" t="n"/>
      <c r="Y40" s="6" t="inlineStr">
        <is>
          <t>10</t>
        </is>
      </c>
      <c r="Z40" s="9" t="n">
        <v>18176.9</v>
      </c>
      <c r="AA40" s="9" t="n">
        <v>0</v>
      </c>
      <c r="AB40" s="9" t="n">
        <v>542.4400000000001</v>
      </c>
      <c r="AC40" s="7" t="n">
        <v>46218</v>
      </c>
      <c r="AD40" s="9" t="n">
        <v>17634.46</v>
      </c>
      <c r="AE40" s="5" t="n">
        <v>57</v>
      </c>
      <c r="AF40" s="6" t="inlineStr">
        <is>
          <t>G894</t>
        </is>
      </c>
      <c r="AG40" s="6" t="inlineStr">
        <is>
          <t>M48062</t>
        </is>
      </c>
      <c r="AH40" s="6" t="n"/>
      <c r="AI40" s="6" t="n"/>
      <c r="AJ40" s="5" t="n"/>
      <c r="AK40" s="6" t="inlineStr">
        <is>
          <t>Advanced Spine and Pain LLC DME SUR</t>
        </is>
      </c>
      <c r="AL40" s="6" t="inlineStr">
        <is>
          <t>Advanced Spine and Pain LLC DME - Surprise Reems</t>
        </is>
      </c>
      <c r="AM40" s="7" t="n">
        <v>46190</v>
      </c>
      <c r="AN40" s="6" t="inlineStr">
        <is>
          <t>DME</t>
        </is>
      </c>
      <c r="AO40" s="6" t="inlineStr">
        <is>
          <t>727</t>
        </is>
      </c>
    </row>
    <row r="41">
      <c r="A41" s="2" t="inlineStr">
        <is>
          <t>Finalized</t>
        </is>
      </c>
      <c r="B41" s="3" t="n"/>
      <c r="C41" s="4" t="n">
        <v>46210</v>
      </c>
      <c r="D41" s="5" t="n">
        <v>563141909</v>
      </c>
      <c r="E41" s="6" t="inlineStr">
        <is>
          <t>HF543820901</t>
        </is>
      </c>
      <c r="F41" s="7" t="n">
        <v>46188</v>
      </c>
      <c r="G41" s="6" t="inlineStr">
        <is>
          <t>AARP United Healthcare</t>
        </is>
      </c>
      <c r="H41" s="6" t="inlineStr">
        <is>
          <t>DME Region D</t>
        </is>
      </c>
      <c r="I41" s="6" t="inlineStr">
        <is>
          <t>AARP United Healthcare</t>
        </is>
      </c>
      <c r="J41" s="8" t="inlineStr">
        <is>
          <t>A6023+A1 x20</t>
        </is>
      </c>
      <c r="K41" s="4" t="n"/>
      <c r="L41" s="5">
        <f>IF($O41="","",$O41-TODAY())</f>
        <v/>
      </c>
      <c r="M41" s="5">
        <f>IF($C41="","",$C41+365-TODAY())</f>
        <v/>
      </c>
      <c r="N41" s="5">
        <f>IF($C41="","",$C41+120-TODAY())</f>
        <v/>
      </c>
      <c r="O41" s="7" t="n">
        <v>46553</v>
      </c>
      <c r="P41" s="6" t="inlineStr">
        <is>
          <t>365 days</t>
        </is>
      </c>
      <c r="Q41" s="6" t="inlineStr">
        <is>
          <t>MEDICARE</t>
        </is>
      </c>
      <c r="R41" s="6" t="inlineStr">
        <is>
          <t>365 days</t>
        </is>
      </c>
      <c r="S41" s="6" t="inlineStr">
        <is>
          <t>Processed date</t>
        </is>
      </c>
      <c r="T41" s="6" t="inlineStr">
        <is>
          <t>120 days</t>
        </is>
      </c>
      <c r="U41" s="6" t="inlineStr">
        <is>
          <t>Processed date</t>
        </is>
      </c>
      <c r="V41" s="6" t="inlineStr">
        <is>
          <t>A1</t>
        </is>
      </c>
      <c r="W41" s="6" t="n"/>
      <c r="X41" s="6" t="n"/>
      <c r="Y41" s="6" t="inlineStr">
        <is>
          <t>20</t>
        </is>
      </c>
      <c r="Z41" s="9" t="n">
        <v>36353.8</v>
      </c>
      <c r="AA41" s="9" t="n">
        <v>31016.19</v>
      </c>
      <c r="AB41" s="9" t="n">
        <v>4252.73</v>
      </c>
      <c r="AC41" s="7" t="n">
        <v>46210</v>
      </c>
      <c r="AD41" s="9" t="n">
        <v>1084.88</v>
      </c>
      <c r="AE41" s="5" t="n">
        <v>54</v>
      </c>
      <c r="AF41" s="6" t="inlineStr">
        <is>
          <t>G894</t>
        </is>
      </c>
      <c r="AG41" s="6" t="inlineStr">
        <is>
          <t>M48062</t>
        </is>
      </c>
      <c r="AH41" s="6" t="n"/>
      <c r="AI41" s="6" t="n"/>
      <c r="AJ41" s="5" t="n">
        <v>566075635</v>
      </c>
      <c r="AK41" s="6" t="inlineStr">
        <is>
          <t>Advanced Spine and Pain LLC DME GIL</t>
        </is>
      </c>
      <c r="AL41" s="6" t="inlineStr">
        <is>
          <t>Advanced Spine and Pain LLC DME - Gilbert</t>
        </is>
      </c>
      <c r="AM41" s="7" t="n">
        <v>46196</v>
      </c>
      <c r="AN41" s="6" t="inlineStr">
        <is>
          <t>DME</t>
        </is>
      </c>
      <c r="AO41" s="6" t="inlineStr">
        <is>
          <t>271</t>
        </is>
      </c>
    </row>
    <row r="42">
      <c r="A42" s="2" t="inlineStr">
        <is>
          <t>Finalized</t>
        </is>
      </c>
      <c r="B42" s="3" t="n"/>
      <c r="C42" s="4" t="n">
        <v>46211</v>
      </c>
      <c r="D42" s="5" t="n">
        <v>563154769</v>
      </c>
      <c r="E42" s="6" t="inlineStr">
        <is>
          <t>HF514519994</t>
        </is>
      </c>
      <c r="F42" s="7" t="n">
        <v>46188</v>
      </c>
      <c r="G42" s="6" t="inlineStr">
        <is>
          <t>AARP United Healthcare</t>
        </is>
      </c>
      <c r="H42" s="6" t="inlineStr">
        <is>
          <t>DME Region D</t>
        </is>
      </c>
      <c r="I42" s="6" t="inlineStr">
        <is>
          <t>AARP United Healthcare</t>
        </is>
      </c>
      <c r="J42" s="8" t="inlineStr">
        <is>
          <t>A6010+A1 x20</t>
        </is>
      </c>
      <c r="K42" s="4" t="n"/>
      <c r="L42" s="5">
        <f>IF($O42="","",$O42-TODAY())</f>
        <v/>
      </c>
      <c r="M42" s="5">
        <f>IF($C42="","",$C42+365-TODAY())</f>
        <v/>
      </c>
      <c r="N42" s="5">
        <f>IF($C42="","",$C42+120-TODAY())</f>
        <v/>
      </c>
      <c r="O42" s="7" t="n">
        <v>46553</v>
      </c>
      <c r="P42" s="6" t="inlineStr">
        <is>
          <t>365 days</t>
        </is>
      </c>
      <c r="Q42" s="6" t="inlineStr">
        <is>
          <t>MEDICARE</t>
        </is>
      </c>
      <c r="R42" s="6" t="inlineStr">
        <is>
          <t>365 days</t>
        </is>
      </c>
      <c r="S42" s="6" t="inlineStr">
        <is>
          <t>Processed date</t>
        </is>
      </c>
      <c r="T42" s="6" t="inlineStr">
        <is>
          <t>120 days</t>
        </is>
      </c>
      <c r="U42" s="6" t="inlineStr">
        <is>
          <t>Processed date</t>
        </is>
      </c>
      <c r="V42" s="6" t="inlineStr">
        <is>
          <t>A1</t>
        </is>
      </c>
      <c r="W42" s="6" t="n"/>
      <c r="X42" s="6" t="n"/>
      <c r="Y42" s="6" t="inlineStr">
        <is>
          <t>20</t>
        </is>
      </c>
      <c r="Z42" s="9" t="n">
        <v>5916.4</v>
      </c>
      <c r="AA42" s="9" t="n">
        <v>5047.72</v>
      </c>
      <c r="AB42" s="9" t="n">
        <v>692.12</v>
      </c>
      <c r="AC42" s="7" t="n">
        <v>46211</v>
      </c>
      <c r="AD42" s="9" t="n">
        <v>176.56</v>
      </c>
      <c r="AE42" s="5" t="n">
        <v>54</v>
      </c>
      <c r="AF42" s="6" t="inlineStr">
        <is>
          <t>G894</t>
        </is>
      </c>
      <c r="AG42" s="6" t="inlineStr">
        <is>
          <t>M48062</t>
        </is>
      </c>
      <c r="AH42" s="6" t="n"/>
      <c r="AI42" s="6" t="n"/>
      <c r="AJ42" s="5" t="n">
        <v>566075644</v>
      </c>
      <c r="AK42" s="6" t="inlineStr">
        <is>
          <t>Advanced Spine and Pain LLC DME GIL</t>
        </is>
      </c>
      <c r="AL42" s="6" t="inlineStr">
        <is>
          <t>Advanced Spine and Pain LLC DME - Gilbert</t>
        </is>
      </c>
      <c r="AM42" s="7" t="n">
        <v>46196</v>
      </c>
      <c r="AN42" s="6" t="inlineStr">
        <is>
          <t>DME</t>
        </is>
      </c>
      <c r="AO42" s="6" t="inlineStr">
        <is>
          <t>321</t>
        </is>
      </c>
    </row>
    <row r="43">
      <c r="A43" s="2" t="inlineStr">
        <is>
          <t>Finalized</t>
        </is>
      </c>
      <c r="B43" s="3" t="n"/>
      <c r="C43" s="4" t="n">
        <v>46211</v>
      </c>
      <c r="D43" s="5" t="n">
        <v>563164453</v>
      </c>
      <c r="E43" s="6" t="inlineStr">
        <is>
          <t>HF540923124</t>
        </is>
      </c>
      <c r="F43" s="7" t="n">
        <v>46195</v>
      </c>
      <c r="G43" s="6" t="inlineStr">
        <is>
          <t>AARP United Healthcare</t>
        </is>
      </c>
      <c r="H43" s="6" t="inlineStr">
        <is>
          <t>DME Region D</t>
        </is>
      </c>
      <c r="I43" s="6" t="inlineStr">
        <is>
          <t>AARP United Healthcare</t>
        </is>
      </c>
      <c r="J43" s="8" t="inlineStr">
        <is>
          <t>A6023+A2 x20</t>
        </is>
      </c>
      <c r="K43" s="4" t="n"/>
      <c r="L43" s="5">
        <f>IF($O43="","",$O43-TODAY())</f>
        <v/>
      </c>
      <c r="M43" s="5">
        <f>IF($C43="","",$C43+365-TODAY())</f>
        <v/>
      </c>
      <c r="N43" s="5">
        <f>IF($C43="","",$C43+120-TODAY())</f>
        <v/>
      </c>
      <c r="O43" s="7" t="n">
        <v>46560</v>
      </c>
      <c r="P43" s="6" t="inlineStr">
        <is>
          <t>365 days</t>
        </is>
      </c>
      <c r="Q43" s="6" t="inlineStr">
        <is>
          <t>MEDICARE</t>
        </is>
      </c>
      <c r="R43" s="6" t="inlineStr">
        <is>
          <t>365 days</t>
        </is>
      </c>
      <c r="S43" s="6" t="inlineStr">
        <is>
          <t>Processed date</t>
        </is>
      </c>
      <c r="T43" s="6" t="inlineStr">
        <is>
          <t>120 days</t>
        </is>
      </c>
      <c r="U43" s="6" t="inlineStr">
        <is>
          <t>Processed date</t>
        </is>
      </c>
      <c r="V43" s="6" t="inlineStr">
        <is>
          <t>A2</t>
        </is>
      </c>
      <c r="W43" s="6" t="n"/>
      <c r="X43" s="6" t="n"/>
      <c r="Y43" s="6" t="inlineStr">
        <is>
          <t>20</t>
        </is>
      </c>
      <c r="Z43" s="9" t="n">
        <v>36353.8</v>
      </c>
      <c r="AA43" s="9" t="n">
        <v>31016.19</v>
      </c>
      <c r="AB43" s="9" t="n">
        <v>4252.73</v>
      </c>
      <c r="AC43" s="7" t="n">
        <v>46211</v>
      </c>
      <c r="AD43" s="9" t="n">
        <v>1084.88</v>
      </c>
      <c r="AE43" s="5" t="n">
        <v>47</v>
      </c>
      <c r="AF43" s="6" t="inlineStr">
        <is>
          <t>G894</t>
        </is>
      </c>
      <c r="AG43" s="6" t="inlineStr">
        <is>
          <t>G90523</t>
        </is>
      </c>
      <c r="AH43" s="6" t="inlineStr">
        <is>
          <t>M5417</t>
        </is>
      </c>
      <c r="AI43" s="6" t="n"/>
      <c r="AJ43" s="5" t="n">
        <v>566076337</v>
      </c>
      <c r="AK43" s="6" t="inlineStr">
        <is>
          <t>Advanced Spine and Pain LLC DME GWY</t>
        </is>
      </c>
      <c r="AL43" s="6" t="inlineStr">
        <is>
          <t>Advanced Spine and Pain LLC DME - Greenway</t>
        </is>
      </c>
      <c r="AM43" s="7" t="n">
        <v>46196</v>
      </c>
      <c r="AN43" s="6" t="inlineStr">
        <is>
          <t>DME</t>
        </is>
      </c>
      <c r="AO43" s="6" t="inlineStr">
        <is>
          <t>323</t>
        </is>
      </c>
    </row>
    <row r="44">
      <c r="A44" s="2" t="n"/>
      <c r="B44" s="3" t="n"/>
      <c r="C44" s="4" t="n"/>
      <c r="D44" s="5" t="n">
        <v>563203416</v>
      </c>
      <c r="E44" s="6" t="inlineStr">
        <is>
          <t>HF411712712</t>
        </is>
      </c>
      <c r="F44" s="7" t="n">
        <v>46195</v>
      </c>
      <c r="G44" s="6" t="inlineStr">
        <is>
          <t>DME Region D</t>
        </is>
      </c>
      <c r="H44" s="6" t="inlineStr">
        <is>
          <t>DME Region D</t>
        </is>
      </c>
      <c r="I44" s="6" t="inlineStr">
        <is>
          <t>Bankers Life Colonial Penn Life</t>
        </is>
      </c>
      <c r="J44" s="8" t="inlineStr">
        <is>
          <t>L0650+KX x1</t>
        </is>
      </c>
      <c r="K44" s="4" t="n"/>
      <c r="L44" s="5">
        <f>IF($O44="","",$O44-TODAY())</f>
        <v/>
      </c>
      <c r="M44" s="5">
        <f>IF($C44="","",$C44+365-TODAY())</f>
        <v/>
      </c>
      <c r="N44" s="5">
        <f>IF($C44="","",$C44+120-TODAY())</f>
        <v/>
      </c>
      <c r="O44" s="7" t="n">
        <v>46560</v>
      </c>
      <c r="P44" s="6" t="inlineStr">
        <is>
          <t>365 days</t>
        </is>
      </c>
      <c r="Q44" s="6" t="inlineStr">
        <is>
          <t>MEDICARE</t>
        </is>
      </c>
      <c r="R44" s="6" t="inlineStr">
        <is>
          <t>365 days</t>
        </is>
      </c>
      <c r="S44" s="6" t="inlineStr">
        <is>
          <t>Processed date</t>
        </is>
      </c>
      <c r="T44" s="6" t="inlineStr">
        <is>
          <t>120 days</t>
        </is>
      </c>
      <c r="U44" s="6" t="inlineStr">
        <is>
          <t>Processed date</t>
        </is>
      </c>
      <c r="V44" s="6" t="inlineStr">
        <is>
          <t>KX</t>
        </is>
      </c>
      <c r="W44" s="6" t="n"/>
      <c r="X44" s="6" t="n"/>
      <c r="Y44" s="6" t="inlineStr">
        <is>
          <t>1</t>
        </is>
      </c>
      <c r="Z44" s="9" t="n">
        <v>6392.96</v>
      </c>
      <c r="AA44" s="9" t="n">
        <v>0</v>
      </c>
      <c r="AB44" s="9" t="n">
        <v>0</v>
      </c>
      <c r="AC44" s="7" t="n"/>
      <c r="AD44" s="9" t="n">
        <v>6392.96</v>
      </c>
      <c r="AE44" s="5" t="n">
        <v>47</v>
      </c>
      <c r="AF44" s="6" t="inlineStr">
        <is>
          <t>M48062</t>
        </is>
      </c>
      <c r="AG44" s="6" t="n"/>
      <c r="AH44" s="6" t="n"/>
      <c r="AI44" s="6" t="n"/>
      <c r="AJ44" s="5" t="n"/>
      <c r="AK44" s="6" t="inlineStr">
        <is>
          <t>Advanced Spine and Pain LLC DME SUR</t>
        </is>
      </c>
      <c r="AL44" s="6" t="inlineStr">
        <is>
          <t>Advanced Spine and Pain LLC DME - Surprise Reems</t>
        </is>
      </c>
      <c r="AM44" s="7" t="n">
        <v>46196</v>
      </c>
      <c r="AN44" s="6" t="inlineStr">
        <is>
          <t>DME</t>
        </is>
      </c>
      <c r="AO44" s="6" t="inlineStr">
        <is>
          <t>990</t>
        </is>
      </c>
    </row>
    <row r="45">
      <c r="A45" s="2" t="n"/>
      <c r="B45" s="3" t="n"/>
      <c r="C45" s="4" t="n">
        <v>46209</v>
      </c>
      <c r="D45" s="5" t="n">
        <v>564042566</v>
      </c>
      <c r="E45" s="6" t="inlineStr">
        <is>
          <t>HF559203629</t>
        </is>
      </c>
      <c r="F45" s="7" t="n">
        <v>46197</v>
      </c>
      <c r="G45" s="6" t="inlineStr">
        <is>
          <t>DME Region D</t>
        </is>
      </c>
      <c r="H45" s="6" t="inlineStr">
        <is>
          <t>DME Region D</t>
        </is>
      </c>
      <c r="I45" s="6" t="inlineStr">
        <is>
          <t>No Payer</t>
        </is>
      </c>
      <c r="J45" s="8" t="inlineStr">
        <is>
          <t>L0456+KX x1</t>
        </is>
      </c>
      <c r="K45" s="4" t="n"/>
      <c r="L45" s="5">
        <f>IF($O45="","",$O45-TODAY())</f>
        <v/>
      </c>
      <c r="M45" s="5">
        <f>IF($C45="","",$C45+365-TODAY())</f>
        <v/>
      </c>
      <c r="N45" s="5">
        <f>IF($C45="","",$C45+120-TODAY())</f>
        <v/>
      </c>
      <c r="O45" s="7" t="n">
        <v>46562</v>
      </c>
      <c r="P45" s="6" t="inlineStr">
        <is>
          <t>365 days</t>
        </is>
      </c>
      <c r="Q45" s="6" t="inlineStr">
        <is>
          <t>MEDICARE</t>
        </is>
      </c>
      <c r="R45" s="6" t="inlineStr">
        <is>
          <t>365 days</t>
        </is>
      </c>
      <c r="S45" s="6" t="inlineStr">
        <is>
          <t>Processed date</t>
        </is>
      </c>
      <c r="T45" s="6" t="inlineStr">
        <is>
          <t>120 days</t>
        </is>
      </c>
      <c r="U45" s="6" t="inlineStr">
        <is>
          <t>Processed date</t>
        </is>
      </c>
      <c r="V45" s="6" t="inlineStr">
        <is>
          <t>KX</t>
        </is>
      </c>
      <c r="W45" s="6" t="n"/>
      <c r="X45" s="6" t="n"/>
      <c r="Y45" s="6" t="inlineStr">
        <is>
          <t>1</t>
        </is>
      </c>
      <c r="Z45" s="9" t="n">
        <v>7792.75</v>
      </c>
      <c r="AA45" s="9" t="n">
        <v>0</v>
      </c>
      <c r="AB45" s="9" t="n">
        <v>0</v>
      </c>
      <c r="AC45" s="7" t="n">
        <v>46209</v>
      </c>
      <c r="AD45" s="9" t="n">
        <v>7792.75</v>
      </c>
      <c r="AE45" s="5" t="n">
        <v>45</v>
      </c>
      <c r="AF45" s="6" t="inlineStr">
        <is>
          <t>M8008XA</t>
        </is>
      </c>
      <c r="AG45" s="6" t="inlineStr">
        <is>
          <t>M48061</t>
        </is>
      </c>
      <c r="AH45" s="6" t="n"/>
      <c r="AI45" s="6" t="n"/>
      <c r="AJ45" s="5" t="n"/>
      <c r="AK45" s="6" t="inlineStr">
        <is>
          <t>Advanced Spine and Pain LLC DME GYR</t>
        </is>
      </c>
      <c r="AL45" s="6" t="inlineStr">
        <is>
          <t>Advanced Spine and Pain LLC DME - Goodyear</t>
        </is>
      </c>
      <c r="AM45" s="7" t="n">
        <v>46204</v>
      </c>
      <c r="AN45" s="6" t="inlineStr">
        <is>
          <t>DME</t>
        </is>
      </c>
      <c r="AO45" s="6" t="inlineStr">
        <is>
          <t>593</t>
        </is>
      </c>
    </row>
    <row r="46">
      <c r="A46" s="2" t="n"/>
      <c r="B46" s="3" t="n"/>
      <c r="C46" s="4" t="n"/>
      <c r="D46" s="5" t="n">
        <v>564112414</v>
      </c>
      <c r="E46" s="6" t="inlineStr">
        <is>
          <t>HF511435057</t>
        </is>
      </c>
      <c r="F46" s="7" t="n">
        <v>46199</v>
      </c>
      <c r="G46" s="6" t="inlineStr">
        <is>
          <t>DME Region D</t>
        </is>
      </c>
      <c r="H46" s="6" t="inlineStr">
        <is>
          <t>DME Region D</t>
        </is>
      </c>
      <c r="I46" s="6" t="inlineStr">
        <is>
          <t>Tricare for Life (All Regions)</t>
        </is>
      </c>
      <c r="J46" s="8" t="inlineStr">
        <is>
          <t>A6010+A1 x10</t>
        </is>
      </c>
      <c r="K46" s="4" t="n"/>
      <c r="L46" s="5">
        <f>IF($O46="","",$O46-TODAY())</f>
        <v/>
      </c>
      <c r="M46" s="5">
        <f>IF($C46="","",$C46+365-TODAY())</f>
        <v/>
      </c>
      <c r="N46" s="5">
        <f>IF($C46="","",$C46+120-TODAY())</f>
        <v/>
      </c>
      <c r="O46" s="7" t="n">
        <v>46564</v>
      </c>
      <c r="P46" s="6" t="inlineStr">
        <is>
          <t>365 days</t>
        </is>
      </c>
      <c r="Q46" s="6" t="inlineStr">
        <is>
          <t>MEDICARE</t>
        </is>
      </c>
      <c r="R46" s="6" t="inlineStr">
        <is>
          <t>365 days</t>
        </is>
      </c>
      <c r="S46" s="6" t="inlineStr">
        <is>
          <t>Processed date</t>
        </is>
      </c>
      <c r="T46" s="6" t="inlineStr">
        <is>
          <t>120 days</t>
        </is>
      </c>
      <c r="U46" s="6" t="inlineStr">
        <is>
          <t>Processed date</t>
        </is>
      </c>
      <c r="V46" s="6" t="inlineStr">
        <is>
          <t>A1</t>
        </is>
      </c>
      <c r="W46" s="6" t="n"/>
      <c r="X46" s="6" t="n"/>
      <c r="Y46" s="6" t="inlineStr">
        <is>
          <t>10</t>
        </is>
      </c>
      <c r="Z46" s="9" t="n">
        <v>2958.2</v>
      </c>
      <c r="AA46" s="9" t="n">
        <v>0</v>
      </c>
      <c r="AB46" s="9" t="n">
        <v>0</v>
      </c>
      <c r="AC46" s="7" t="n"/>
      <c r="AD46" s="9" t="n">
        <v>2958.2</v>
      </c>
      <c r="AE46" s="5" t="n">
        <v>43</v>
      </c>
      <c r="AF46" s="6" t="inlineStr">
        <is>
          <t>G894</t>
        </is>
      </c>
      <c r="AG46" s="6" t="inlineStr">
        <is>
          <t>M5412</t>
        </is>
      </c>
      <c r="AH46" s="6" t="n"/>
      <c r="AI46" s="6" t="n"/>
      <c r="AJ46" s="5" t="n"/>
      <c r="AK46" s="6" t="inlineStr">
        <is>
          <t>Advanced Spine and Pain LLC DME SUR</t>
        </is>
      </c>
      <c r="AL46" s="6" t="inlineStr">
        <is>
          <t>Advanced Spine and Pain LLC DME - Surprise Reems</t>
        </is>
      </c>
      <c r="AM46" s="7" t="n">
        <v>46205</v>
      </c>
      <c r="AN46" s="6" t="inlineStr">
        <is>
          <t>DME</t>
        </is>
      </c>
      <c r="AO46" s="6" t="inlineStr">
        <is>
          <t>976</t>
        </is>
      </c>
    </row>
    <row r="47">
      <c r="A47" s="2" t="inlineStr">
        <is>
          <t>Finalized</t>
        </is>
      </c>
      <c r="B47" s="3" t="n"/>
      <c r="C47" s="4" t="n">
        <v>46219</v>
      </c>
      <c r="D47" s="5" t="n">
        <v>564117213</v>
      </c>
      <c r="E47" s="6" t="inlineStr">
        <is>
          <t>HF469070076</t>
        </is>
      </c>
      <c r="F47" s="7" t="n">
        <v>46202</v>
      </c>
      <c r="G47" s="6" t="inlineStr">
        <is>
          <t>Arizona Complete Health (Centene)</t>
        </is>
      </c>
      <c r="H47" s="6" t="inlineStr">
        <is>
          <t>DME Region D</t>
        </is>
      </c>
      <c r="I47" s="6" t="inlineStr">
        <is>
          <t>Arizona Complete Health (Centene)</t>
        </is>
      </c>
      <c r="J47" s="8" t="inlineStr">
        <is>
          <t>A6010+A2 x40</t>
        </is>
      </c>
      <c r="K47" s="4" t="n"/>
      <c r="L47" s="5">
        <f>IF($O47="","",$O47-TODAY())</f>
        <v/>
      </c>
      <c r="M47" s="5">
        <f>IF($C47="","",$C47+365-TODAY())</f>
        <v/>
      </c>
      <c r="N47" s="5">
        <f>IF($C47="","",$C47+120-TODAY())</f>
        <v/>
      </c>
      <c r="O47" s="7" t="n">
        <v>46567</v>
      </c>
      <c r="P47" s="6" t="inlineStr">
        <is>
          <t>365 days</t>
        </is>
      </c>
      <c r="Q47" s="6" t="inlineStr">
        <is>
          <t>MEDICARE</t>
        </is>
      </c>
      <c r="R47" s="6" t="inlineStr">
        <is>
          <t>365 days</t>
        </is>
      </c>
      <c r="S47" s="6" t="inlineStr">
        <is>
          <t>Processed date</t>
        </is>
      </c>
      <c r="T47" s="6" t="inlineStr">
        <is>
          <t>120 days</t>
        </is>
      </c>
      <c r="U47" s="6" t="inlineStr">
        <is>
          <t>Processed date</t>
        </is>
      </c>
      <c r="V47" s="6" t="inlineStr">
        <is>
          <t>A2</t>
        </is>
      </c>
      <c r="W47" s="6" t="n"/>
      <c r="X47" s="6" t="n"/>
      <c r="Y47" s="6" t="inlineStr">
        <is>
          <t>40</t>
        </is>
      </c>
      <c r="Z47" s="9" t="n">
        <v>11832.8</v>
      </c>
      <c r="AA47" s="9" t="n">
        <v>10095.45</v>
      </c>
      <c r="AB47" s="9" t="n">
        <v>1384.23</v>
      </c>
      <c r="AC47" s="7" t="n">
        <v>46219</v>
      </c>
      <c r="AD47" s="9" t="n">
        <v>353.12</v>
      </c>
      <c r="AE47" s="5" t="n">
        <v>40</v>
      </c>
      <c r="AF47" s="6" t="inlineStr">
        <is>
          <t>G894</t>
        </is>
      </c>
      <c r="AG47" s="6" t="n"/>
      <c r="AH47" s="6" t="n"/>
      <c r="AI47" s="6" t="n"/>
      <c r="AJ47" s="5" t="n">
        <v>567247169</v>
      </c>
      <c r="AK47" s="6" t="inlineStr">
        <is>
          <t>Advanced Spine and Pain LLC DME GIL</t>
        </is>
      </c>
      <c r="AL47" s="6" t="inlineStr">
        <is>
          <t>Advanced Spine and Pain LLC DME - Gilbert</t>
        </is>
      </c>
      <c r="AM47" s="7" t="n">
        <v>46205</v>
      </c>
      <c r="AN47" s="6" t="inlineStr">
        <is>
          <t>DME</t>
        </is>
      </c>
      <c r="AO47" s="6" t="inlineStr">
        <is>
          <t>68</t>
        </is>
      </c>
    </row>
    <row r="48">
      <c r="A48" s="2" t="n"/>
      <c r="B48" s="3" t="n"/>
      <c r="C48" s="4" t="n">
        <v>46224</v>
      </c>
      <c r="D48" s="5" t="n">
        <v>565309736</v>
      </c>
      <c r="E48" s="6" t="inlineStr">
        <is>
          <t>HF460794896</t>
        </is>
      </c>
      <c r="F48" s="7" t="n">
        <v>46202</v>
      </c>
      <c r="G48" s="6" t="inlineStr">
        <is>
          <t>DME Region D</t>
        </is>
      </c>
      <c r="H48" s="6" t="inlineStr">
        <is>
          <t>DME Region D</t>
        </is>
      </c>
      <c r="I48" s="6" t="inlineStr">
        <is>
          <t>Aetna Senior Supplemental (AESSI) - Secondary Only 62118</t>
        </is>
      </c>
      <c r="J48" s="8" t="inlineStr">
        <is>
          <t>L0650+KX x1</t>
        </is>
      </c>
      <c r="K48" s="4" t="n"/>
      <c r="L48" s="5">
        <f>IF($O48="","",$O48-TODAY())</f>
        <v/>
      </c>
      <c r="M48" s="5">
        <f>IF($C48="","",$C48+365-TODAY())</f>
        <v/>
      </c>
      <c r="N48" s="5">
        <f>IF($C48="","",$C48+120-TODAY())</f>
        <v/>
      </c>
      <c r="O48" s="7" t="n">
        <v>46567</v>
      </c>
      <c r="P48" s="6" t="inlineStr">
        <is>
          <t>365 days</t>
        </is>
      </c>
      <c r="Q48" s="6" t="inlineStr">
        <is>
          <t>MEDICARE</t>
        </is>
      </c>
      <c r="R48" s="6" t="inlineStr">
        <is>
          <t>365 days</t>
        </is>
      </c>
      <c r="S48" s="6" t="inlineStr">
        <is>
          <t>Processed date</t>
        </is>
      </c>
      <c r="T48" s="6" t="inlineStr">
        <is>
          <t>120 days</t>
        </is>
      </c>
      <c r="U48" s="6" t="inlineStr">
        <is>
          <t>Processed date</t>
        </is>
      </c>
      <c r="V48" s="6" t="inlineStr">
        <is>
          <t>KX</t>
        </is>
      </c>
      <c r="W48" s="6" t="n"/>
      <c r="X48" s="6" t="n"/>
      <c r="Y48" s="6" t="inlineStr">
        <is>
          <t>1</t>
        </is>
      </c>
      <c r="Z48" s="9" t="n">
        <v>6392.96</v>
      </c>
      <c r="AA48" s="9" t="n">
        <v>0</v>
      </c>
      <c r="AB48" s="9" t="n">
        <v>0</v>
      </c>
      <c r="AC48" s="7" t="n">
        <v>46224</v>
      </c>
      <c r="AD48" s="9" t="n">
        <v>6392.96</v>
      </c>
      <c r="AE48" s="5" t="n">
        <v>40</v>
      </c>
      <c r="AF48" s="6" t="inlineStr">
        <is>
          <t>M5416</t>
        </is>
      </c>
      <c r="AG48" s="6" t="n"/>
      <c r="AH48" s="6" t="n"/>
      <c r="AI48" s="6" t="n"/>
      <c r="AJ48" s="5" t="n"/>
      <c r="AK48" s="6" t="inlineStr">
        <is>
          <t>Advanced Spine and Pain LLC DME GWY</t>
        </is>
      </c>
      <c r="AL48" s="6" t="inlineStr">
        <is>
          <t>Advanced Spine and Pain LLC DME - Greenway</t>
        </is>
      </c>
      <c r="AM48" s="7" t="n">
        <v>46204</v>
      </c>
      <c r="AN48" s="6" t="inlineStr">
        <is>
          <t>DME</t>
        </is>
      </c>
      <c r="AO48" s="6" t="inlineStr">
        <is>
          <t>616</t>
        </is>
      </c>
    </row>
    <row r="49">
      <c r="A49" s="2" t="n"/>
      <c r="B49" s="3" t="n"/>
      <c r="C49" s="4" t="n"/>
      <c r="D49" s="5" t="n">
        <v>565425183</v>
      </c>
      <c r="E49" s="6" t="inlineStr">
        <is>
          <t>HF329393326</t>
        </is>
      </c>
      <c r="F49" s="7" t="n">
        <v>46202</v>
      </c>
      <c r="G49" s="6" t="inlineStr">
        <is>
          <t>DME Region D</t>
        </is>
      </c>
      <c r="H49" s="6" t="inlineStr">
        <is>
          <t>DME Region D</t>
        </is>
      </c>
      <c r="I49" s="6" t="inlineStr">
        <is>
          <t>Amerigroup - All States</t>
        </is>
      </c>
      <c r="J49" s="8" t="inlineStr">
        <is>
          <t>A6010+A1 x10</t>
        </is>
      </c>
      <c r="K49" s="4" t="n"/>
      <c r="L49" s="5">
        <f>IF($O49="","",$O49-TODAY())</f>
        <v/>
      </c>
      <c r="M49" s="5">
        <f>IF($C49="","",$C49+365-TODAY())</f>
        <v/>
      </c>
      <c r="N49" s="5">
        <f>IF($C49="","",$C49+120-TODAY())</f>
        <v/>
      </c>
      <c r="O49" s="7" t="n">
        <v>46567</v>
      </c>
      <c r="P49" s="6" t="inlineStr">
        <is>
          <t>365 days</t>
        </is>
      </c>
      <c r="Q49" s="6" t="inlineStr">
        <is>
          <t>MEDICARE</t>
        </is>
      </c>
      <c r="R49" s="6" t="inlineStr">
        <is>
          <t>365 days</t>
        </is>
      </c>
      <c r="S49" s="6" t="inlineStr">
        <is>
          <t>Processed date</t>
        </is>
      </c>
      <c r="T49" s="6" t="inlineStr">
        <is>
          <t>120 days</t>
        </is>
      </c>
      <c r="U49" s="6" t="inlineStr">
        <is>
          <t>Processed date</t>
        </is>
      </c>
      <c r="V49" s="6" t="inlineStr">
        <is>
          <t>A1</t>
        </is>
      </c>
      <c r="W49" s="6" t="n"/>
      <c r="X49" s="6" t="n"/>
      <c r="Y49" s="6" t="inlineStr">
        <is>
          <t>10</t>
        </is>
      </c>
      <c r="Z49" s="9" t="n">
        <v>2958.2</v>
      </c>
      <c r="AA49" s="9" t="n">
        <v>0</v>
      </c>
      <c r="AB49" s="9" t="n">
        <v>0</v>
      </c>
      <c r="AC49" s="7" t="n"/>
      <c r="AD49" s="9" t="n">
        <v>2958.2</v>
      </c>
      <c r="AE49" s="5" t="n">
        <v>40</v>
      </c>
      <c r="AF49" s="6" t="inlineStr">
        <is>
          <t>G894</t>
        </is>
      </c>
      <c r="AG49" s="6" t="inlineStr">
        <is>
          <t>M461</t>
        </is>
      </c>
      <c r="AH49" s="6" t="inlineStr">
        <is>
          <t>M5450</t>
        </is>
      </c>
      <c r="AI49" s="6" t="n"/>
      <c r="AJ49" s="5" t="n"/>
      <c r="AK49" s="6" t="inlineStr">
        <is>
          <t>Advanced Spine and Pain LLC DME GWY</t>
        </is>
      </c>
      <c r="AL49" s="6" t="inlineStr">
        <is>
          <t>Advanced Spine and Pain LLC DME - Greenway</t>
        </is>
      </c>
      <c r="AM49" s="7" t="n">
        <v>46218</v>
      </c>
      <c r="AN49" s="6" t="inlineStr">
        <is>
          <t>DME</t>
        </is>
      </c>
      <c r="AO49" s="6" t="inlineStr">
        <is>
          <t>977</t>
        </is>
      </c>
    </row>
    <row r="50">
      <c r="A50" s="2" t="n"/>
      <c r="B50" s="3" t="n"/>
      <c r="C50" s="4" t="n"/>
      <c r="D50" s="5" t="n">
        <v>562142694</v>
      </c>
      <c r="E50" s="6" t="inlineStr">
        <is>
          <t>HF493646829</t>
        </is>
      </c>
      <c r="F50" s="7" t="n">
        <v>46177</v>
      </c>
      <c r="G50" s="6" t="inlineStr">
        <is>
          <t>Gold Kidney Health Plan</t>
        </is>
      </c>
      <c r="H50" s="6" t="inlineStr">
        <is>
          <t>Gold Kidney Health Plan</t>
        </is>
      </c>
      <c r="I50" s="6" t="inlineStr">
        <is>
          <t>No Payer</t>
        </is>
      </c>
      <c r="J50" s="8" t="inlineStr">
        <is>
          <t>L0637+KX x1</t>
        </is>
      </c>
      <c r="K50" s="4" t="n"/>
      <c r="L50" s="5">
        <f>IF($O50="","",$O50-TODAY())</f>
        <v/>
      </c>
      <c r="M50" s="5" t="n"/>
      <c r="N50" s="5" t="n"/>
      <c r="O50" s="7" t="n"/>
      <c r="P50" s="6" t="n"/>
      <c r="Q50" s="6" t="inlineStr">
        <is>
          <t>Not on reference list</t>
        </is>
      </c>
      <c r="R50" s="6" t="n"/>
      <c r="S50" s="6" t="n"/>
      <c r="T50" s="6" t="n"/>
      <c r="U50" s="6" t="n"/>
      <c r="V50" s="6" t="inlineStr">
        <is>
          <t>KX</t>
        </is>
      </c>
      <c r="W50" s="6" t="n"/>
      <c r="X50" s="6" t="n"/>
      <c r="Y50" s="6" t="inlineStr">
        <is>
          <t>1</t>
        </is>
      </c>
      <c r="Z50" s="9" t="n">
        <v>9479.4</v>
      </c>
      <c r="AA50" s="9" t="n">
        <v>0</v>
      </c>
      <c r="AB50" s="9" t="n">
        <v>0</v>
      </c>
      <c r="AC50" s="7" t="n"/>
      <c r="AD50" s="9" t="n">
        <v>9479.4</v>
      </c>
      <c r="AE50" s="5" t="n">
        <v>65</v>
      </c>
      <c r="AF50" s="6" t="inlineStr">
        <is>
          <t>M48062</t>
        </is>
      </c>
      <c r="AG50" s="6" t="inlineStr">
        <is>
          <t>M4727</t>
        </is>
      </c>
      <c r="AH50" s="6" t="inlineStr">
        <is>
          <t>M51369</t>
        </is>
      </c>
      <c r="AI50" s="6" t="n"/>
      <c r="AJ50" s="5" t="n"/>
      <c r="AK50" s="6" t="inlineStr">
        <is>
          <t>BARCOME, MARYBETH</t>
        </is>
      </c>
      <c r="AL50" s="6" t="inlineStr">
        <is>
          <t>ASAP - Surprise - Reems</t>
        </is>
      </c>
      <c r="AM50" s="7" t="n">
        <v>46185</v>
      </c>
      <c r="AN50" s="6" t="inlineStr">
        <is>
          <t>DME</t>
        </is>
      </c>
      <c r="AO50" s="6" t="inlineStr">
        <is>
          <t>1005</t>
        </is>
      </c>
    </row>
    <row r="51">
      <c r="A51" s="2" t="n"/>
      <c r="B51" s="3" t="n"/>
      <c r="C51" s="4" t="n"/>
      <c r="D51" s="5" t="n">
        <v>564104168</v>
      </c>
      <c r="E51" s="6" t="inlineStr">
        <is>
          <t>HF450733071</t>
        </is>
      </c>
      <c r="F51" s="7" t="n">
        <v>46196</v>
      </c>
      <c r="G51" s="6" t="inlineStr">
        <is>
          <t>AARP MedicareComplete (SecureHorizons &amp; Oxford Network)</t>
        </is>
      </c>
      <c r="H51" s="6" t="inlineStr">
        <is>
          <t>AARP MedicareComplete (SecureHorizons &amp; Oxford Network)</t>
        </is>
      </c>
      <c r="I51" s="6" t="inlineStr">
        <is>
          <t>No Payer</t>
        </is>
      </c>
      <c r="J51" s="8" t="inlineStr">
        <is>
          <t>A6010+A1 x20</t>
        </is>
      </c>
      <c r="K51" s="4" t="n"/>
      <c r="L51" s="5">
        <f>IF($O51="","",$O51-TODAY())</f>
        <v/>
      </c>
      <c r="M51" s="5">
        <f>IF($C51="","",$C51+180-TODAY())</f>
        <v/>
      </c>
      <c r="N51" s="5">
        <f>IF($C51="","",$C51+365-TODAY())</f>
        <v/>
      </c>
      <c r="O51" s="7" t="n"/>
      <c r="P51" s="6" t="n"/>
      <c r="Q51" s="6" t="inlineStr">
        <is>
          <t>AARP MA CHOICE / MEDICARE COMPLETE</t>
        </is>
      </c>
      <c r="R51" s="6" t="inlineStr">
        <is>
          <t>180 days</t>
        </is>
      </c>
      <c r="S51" s="6" t="inlineStr">
        <is>
          <t>Processed date</t>
        </is>
      </c>
      <c r="T51" s="6" t="inlineStr">
        <is>
          <t>365 days</t>
        </is>
      </c>
      <c r="U51" s="6" t="inlineStr">
        <is>
          <t>Processed date</t>
        </is>
      </c>
      <c r="V51" s="6" t="inlineStr">
        <is>
          <t>A1</t>
        </is>
      </c>
      <c r="W51" s="6" t="n"/>
      <c r="X51" s="6" t="n"/>
      <c r="Y51" s="6" t="inlineStr">
        <is>
          <t>20</t>
        </is>
      </c>
      <c r="Z51" s="9" t="n">
        <v>5916.4</v>
      </c>
      <c r="AA51" s="9" t="n">
        <v>0</v>
      </c>
      <c r="AB51" s="9" t="n">
        <v>0</v>
      </c>
      <c r="AC51" s="7" t="n"/>
      <c r="AD51" s="9" t="n">
        <v>5916.4</v>
      </c>
      <c r="AE51" s="5" t="n">
        <v>46</v>
      </c>
      <c r="AF51" s="6" t="inlineStr">
        <is>
          <t>G894</t>
        </is>
      </c>
      <c r="AG51" s="6" t="inlineStr">
        <is>
          <t>M48062</t>
        </is>
      </c>
      <c r="AH51" s="6" t="inlineStr">
        <is>
          <t>M5416</t>
        </is>
      </c>
      <c r="AI51" s="6" t="inlineStr">
        <is>
          <t>S32000A</t>
        </is>
      </c>
      <c r="AJ51" s="5" t="n"/>
      <c r="AK51" s="6" t="inlineStr">
        <is>
          <t>BARCOME, MARYBETH</t>
        </is>
      </c>
      <c r="AL51" s="6" t="inlineStr">
        <is>
          <t>ASAP Peoria</t>
        </is>
      </c>
      <c r="AM51" s="7" t="n">
        <v>46205</v>
      </c>
      <c r="AN51" s="6" t="inlineStr">
        <is>
          <t>DME</t>
        </is>
      </c>
      <c r="AO51" s="6" t="inlineStr">
        <is>
          <t>916</t>
        </is>
      </c>
    </row>
    <row r="52">
      <c r="A52" s="2" t="n"/>
      <c r="B52" s="3" t="n"/>
      <c r="C52" s="4" t="n"/>
      <c r="D52" s="5" t="n">
        <v>564106191</v>
      </c>
      <c r="E52" s="6" t="inlineStr">
        <is>
          <t>HF493646829</t>
        </is>
      </c>
      <c r="F52" s="7" t="n">
        <v>46197</v>
      </c>
      <c r="G52" s="6" t="inlineStr">
        <is>
          <t>Gold Kidney Health Plan</t>
        </is>
      </c>
      <c r="H52" s="6" t="inlineStr">
        <is>
          <t>Gold Kidney Health Plan</t>
        </is>
      </c>
      <c r="I52" s="6" t="inlineStr">
        <is>
          <t>No Payer</t>
        </is>
      </c>
      <c r="J52" s="8" t="inlineStr">
        <is>
          <t>A6010+A1 x10</t>
        </is>
      </c>
      <c r="K52" s="4" t="n"/>
      <c r="L52" s="5">
        <f>IF($O52="","",$O52-TODAY())</f>
        <v/>
      </c>
      <c r="M52" s="5" t="n"/>
      <c r="N52" s="5" t="n"/>
      <c r="O52" s="7" t="n"/>
      <c r="P52" s="6" t="n"/>
      <c r="Q52" s="6" t="inlineStr">
        <is>
          <t>Not on reference list</t>
        </is>
      </c>
      <c r="R52" s="6" t="n"/>
      <c r="S52" s="6" t="n"/>
      <c r="T52" s="6" t="n"/>
      <c r="U52" s="6" t="n"/>
      <c r="V52" s="6" t="inlineStr">
        <is>
          <t>A1</t>
        </is>
      </c>
      <c r="W52" s="6" t="n"/>
      <c r="X52" s="6" t="n"/>
      <c r="Y52" s="6" t="inlineStr">
        <is>
          <t>10</t>
        </is>
      </c>
      <c r="Z52" s="9" t="n">
        <v>2958.2</v>
      </c>
      <c r="AA52" s="9" t="n">
        <v>0</v>
      </c>
      <c r="AB52" s="9" t="n">
        <v>0</v>
      </c>
      <c r="AC52" s="7" t="n"/>
      <c r="AD52" s="9" t="n">
        <v>2958.2</v>
      </c>
      <c r="AE52" s="5" t="n">
        <v>45</v>
      </c>
      <c r="AF52" s="6" t="inlineStr">
        <is>
          <t>G894</t>
        </is>
      </c>
      <c r="AG52" s="6" t="inlineStr">
        <is>
          <t>M48062</t>
        </is>
      </c>
      <c r="AH52" s="6" t="n"/>
      <c r="AI52" s="6" t="n"/>
      <c r="AJ52" s="5" t="n"/>
      <c r="AK52" s="6" t="inlineStr">
        <is>
          <t>MCMURDIE, TODD</t>
        </is>
      </c>
      <c r="AL52" s="6" t="inlineStr">
        <is>
          <t>ASAP - Surprise - Reems</t>
        </is>
      </c>
      <c r="AM52" s="7" t="n">
        <v>46205</v>
      </c>
      <c r="AN52" s="6" t="inlineStr">
        <is>
          <t>DME</t>
        </is>
      </c>
      <c r="AO52" s="6" t="inlineStr">
        <is>
          <t>1065</t>
        </is>
      </c>
    </row>
  </sheetData>
  <autoFilter ref="A1:AO52"/>
  <conditionalFormatting sqref="L2:L5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5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5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5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5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O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c r="D2" s="5" t="n">
        <v>562932517</v>
      </c>
      <c r="E2" s="6" t="inlineStr">
        <is>
          <t>HF492807840</t>
        </is>
      </c>
      <c r="F2" s="7" t="n">
        <v>46174</v>
      </c>
      <c r="G2" s="6" t="inlineStr">
        <is>
          <t>Blue Cross Blue Shield of Arizona (BCBS AZ)</t>
        </is>
      </c>
      <c r="H2" s="6" t="inlineStr">
        <is>
          <t>Blue Cross Blue Shield of Arizona (BCBS AZ)</t>
        </is>
      </c>
      <c r="I2" s="6" t="inlineStr">
        <is>
          <t>No Payer</t>
        </is>
      </c>
      <c r="J2" s="8" t="inlineStr">
        <is>
          <t>36248+59 x3; 75774+26+XU x5; 36245+59 x1; 37242 x1; 75710+26+XU+RT x1; 76937+26 x1; 36246+59+RT x1</t>
        </is>
      </c>
      <c r="K2" s="4" t="n"/>
      <c r="L2" s="5">
        <f>IF($O2="","",$O2-TODAY())</f>
        <v/>
      </c>
      <c r="M2" s="5">
        <f>IF($C2="","",$C2+365-TODAY())</f>
        <v/>
      </c>
      <c r="N2" s="5">
        <f>IF($C2="","",$C2+365-TODAY())</f>
        <v/>
      </c>
      <c r="O2" s="7" t="n">
        <v>46264</v>
      </c>
      <c r="P2" s="6" t="inlineStr">
        <is>
          <t>90 days</t>
        </is>
      </c>
      <c r="Q2" s="6" t="inlineStr">
        <is>
          <t>BCBS</t>
        </is>
      </c>
      <c r="R2" s="6" t="inlineStr">
        <is>
          <t>365 days</t>
        </is>
      </c>
      <c r="S2" s="6" t="inlineStr">
        <is>
          <t>Processed date</t>
        </is>
      </c>
      <c r="T2" s="6" t="inlineStr">
        <is>
          <t>365 days</t>
        </is>
      </c>
      <c r="U2" s="6" t="inlineStr">
        <is>
          <t>Processed date</t>
        </is>
      </c>
      <c r="V2" s="6" t="inlineStr">
        <is>
          <t>59, 26</t>
        </is>
      </c>
      <c r="W2" s="6" t="inlineStr">
        <is>
          <t>XU, RT</t>
        </is>
      </c>
      <c r="X2" s="6" t="inlineStr">
        <is>
          <t>RT</t>
        </is>
      </c>
      <c r="Y2" s="6" t="inlineStr">
        <is>
          <t>3, 5, 1</t>
        </is>
      </c>
      <c r="Z2" s="9" t="n">
        <v>70557.69</v>
      </c>
      <c r="AA2" s="9" t="n">
        <v>0</v>
      </c>
      <c r="AB2" s="9" t="n">
        <v>0</v>
      </c>
      <c r="AC2" s="7" t="n"/>
      <c r="AD2" s="9" t="n">
        <v>70557.69</v>
      </c>
      <c r="AE2" s="5" t="n">
        <v>68</v>
      </c>
      <c r="AF2" s="6" t="inlineStr">
        <is>
          <t>M1711</t>
        </is>
      </c>
      <c r="AG2" s="6" t="inlineStr">
        <is>
          <t>I798</t>
        </is>
      </c>
      <c r="AH2" s="6" t="inlineStr">
        <is>
          <t>M25561</t>
        </is>
      </c>
      <c r="AI2" s="6" t="n"/>
      <c r="AJ2" s="5" t="n"/>
      <c r="AK2" s="6" t="inlineStr">
        <is>
          <t>HUNTER, DREW</t>
        </is>
      </c>
      <c r="AL2" s="6" t="inlineStr">
        <is>
          <t>Premier Endoscopy Center, LLC</t>
        </is>
      </c>
      <c r="AM2" s="7" t="n">
        <v>46193</v>
      </c>
      <c r="AN2" s="6" t="inlineStr">
        <is>
          <t>GAE</t>
        </is>
      </c>
      <c r="AO2" s="6" t="inlineStr">
        <is>
          <t>928, 929, 930, 931, 933, 934, 935</t>
        </is>
      </c>
    </row>
    <row r="3">
      <c r="A3" s="2" t="n"/>
      <c r="B3" s="3" t="n"/>
      <c r="C3" s="4" t="n"/>
      <c r="D3" s="5" t="n">
        <v>565100484</v>
      </c>
      <c r="E3" s="6" t="inlineStr">
        <is>
          <t>HF552622415</t>
        </is>
      </c>
      <c r="F3" s="7" t="n">
        <v>46174</v>
      </c>
      <c r="G3" s="6" t="inlineStr">
        <is>
          <t>UHC Group Medicare Advantage</t>
        </is>
      </c>
      <c r="H3" s="6" t="inlineStr">
        <is>
          <t>UHC Group Medicare Advantage</t>
        </is>
      </c>
      <c r="I3" s="6" t="inlineStr">
        <is>
          <t>No Payer</t>
        </is>
      </c>
      <c r="J3" s="8" t="inlineStr">
        <is>
          <t>75774+26+XU x4; 36245+59 x1; 36248+59 x2; 76937+26 x1; 75710+26+XU+RT x1; 37242 x1; 36246+59+RT x1</t>
        </is>
      </c>
      <c r="K3" s="4" t="n"/>
      <c r="L3" s="5">
        <f>IF($O3="","",$O3-TODAY())</f>
        <v/>
      </c>
      <c r="M3" s="5">
        <f>IF($C3="","",$C3+180-TODAY())</f>
        <v/>
      </c>
      <c r="N3" s="5">
        <f>IF($C3="","",$C3+365-TODAY())</f>
        <v/>
      </c>
      <c r="O3" s="7" t="n">
        <v>46264</v>
      </c>
      <c r="P3" s="6" t="inlineStr">
        <is>
          <t>90 days</t>
        </is>
      </c>
      <c r="Q3" s="6" t="inlineStr">
        <is>
          <t>UHC MA</t>
        </is>
      </c>
      <c r="R3" s="6" t="inlineStr">
        <is>
          <t>180 days</t>
        </is>
      </c>
      <c r="S3" s="6" t="inlineStr">
        <is>
          <t>Processed date</t>
        </is>
      </c>
      <c r="T3" s="6" t="inlineStr">
        <is>
          <t>365 days</t>
        </is>
      </c>
      <c r="U3" s="6" t="inlineStr">
        <is>
          <t>Processed date</t>
        </is>
      </c>
      <c r="V3" s="6" t="inlineStr">
        <is>
          <t>26, 59</t>
        </is>
      </c>
      <c r="W3" s="6" t="inlineStr">
        <is>
          <t>XU, RT</t>
        </is>
      </c>
      <c r="X3" s="6" t="inlineStr">
        <is>
          <t>RT</t>
        </is>
      </c>
      <c r="Y3" s="6" t="inlineStr">
        <is>
          <t>4, 1, 2</t>
        </is>
      </c>
      <c r="Z3" s="9" t="n">
        <v>69078.8</v>
      </c>
      <c r="AA3" s="9" t="n">
        <v>0</v>
      </c>
      <c r="AB3" s="9" t="n">
        <v>0</v>
      </c>
      <c r="AC3" s="7" t="n"/>
      <c r="AD3" s="9" t="n">
        <v>69078.8</v>
      </c>
      <c r="AE3" s="5" t="n">
        <v>68</v>
      </c>
      <c r="AF3" s="6" t="inlineStr">
        <is>
          <t>M1711</t>
        </is>
      </c>
      <c r="AG3" s="6" t="inlineStr">
        <is>
          <t>I798</t>
        </is>
      </c>
      <c r="AH3" s="6" t="inlineStr">
        <is>
          <t>M25561</t>
        </is>
      </c>
      <c r="AI3" s="6" t="n"/>
      <c r="AJ3" s="5" t="n"/>
      <c r="AK3" s="6" t="inlineStr">
        <is>
          <t>HUNTER, DREW</t>
        </is>
      </c>
      <c r="AL3" s="6" t="inlineStr">
        <is>
          <t>Premier Endoscopy Center, LLC</t>
        </is>
      </c>
      <c r="AM3" s="7" t="n">
        <v>46216</v>
      </c>
      <c r="AN3" s="6" t="inlineStr">
        <is>
          <t>GAE</t>
        </is>
      </c>
      <c r="AO3" s="6" t="inlineStr">
        <is>
          <t>330, 331, 332, 333, 334, 335, 336</t>
        </is>
      </c>
    </row>
    <row r="4">
      <c r="A4" s="2" t="n"/>
      <c r="B4" s="3" t="n"/>
      <c r="C4" s="4" t="n"/>
      <c r="D4" s="5" t="n">
        <v>565101780</v>
      </c>
      <c r="E4" s="6" t="inlineStr">
        <is>
          <t>HF525787835</t>
        </is>
      </c>
      <c r="F4" s="7" t="n">
        <v>46181</v>
      </c>
      <c r="G4" s="6" t="inlineStr">
        <is>
          <t>UHC Group Medicare Advantage</t>
        </is>
      </c>
      <c r="H4" s="6" t="inlineStr">
        <is>
          <t>UHC Group Medicare Advantage</t>
        </is>
      </c>
      <c r="I4" s="6" t="inlineStr">
        <is>
          <t>No Payer</t>
        </is>
      </c>
      <c r="J4" s="8" t="inlineStr">
        <is>
          <t>36245+59 x1; 75774+26+XU x4; 75710+26+XU+LT x1; 37242 x1; 36246+59 x1; 76937+26 x1; 36246+59+LT x1</t>
        </is>
      </c>
      <c r="K4" s="4" t="n"/>
      <c r="L4" s="5">
        <f>IF($O4="","",$O4-TODAY())</f>
        <v/>
      </c>
      <c r="M4" s="5">
        <f>IF($C4="","",$C4+180-TODAY())</f>
        <v/>
      </c>
      <c r="N4" s="5">
        <f>IF($C4="","",$C4+365-TODAY())</f>
        <v/>
      </c>
      <c r="O4" s="7" t="n">
        <v>46271</v>
      </c>
      <c r="P4" s="6" t="inlineStr">
        <is>
          <t>90 days</t>
        </is>
      </c>
      <c r="Q4" s="6" t="inlineStr">
        <is>
          <t>UHC MA</t>
        </is>
      </c>
      <c r="R4" s="6" t="inlineStr">
        <is>
          <t>180 days</t>
        </is>
      </c>
      <c r="S4" s="6" t="inlineStr">
        <is>
          <t>Processed date</t>
        </is>
      </c>
      <c r="T4" s="6" t="inlineStr">
        <is>
          <t>365 days</t>
        </is>
      </c>
      <c r="U4" s="6" t="inlineStr">
        <is>
          <t>Processed date</t>
        </is>
      </c>
      <c r="V4" s="6" t="inlineStr">
        <is>
          <t>59, 26</t>
        </is>
      </c>
      <c r="W4" s="6" t="inlineStr">
        <is>
          <t>XU, LT</t>
        </is>
      </c>
      <c r="X4" s="6" t="inlineStr">
        <is>
          <t>LT</t>
        </is>
      </c>
      <c r="Y4" s="6" t="inlineStr">
        <is>
          <t>1, 4</t>
        </is>
      </c>
      <c r="Z4" s="9" t="n">
        <v>73204.81</v>
      </c>
      <c r="AA4" s="9" t="n">
        <v>0</v>
      </c>
      <c r="AB4" s="9" t="n">
        <v>0</v>
      </c>
      <c r="AC4" s="7" t="n"/>
      <c r="AD4" s="9" t="n">
        <v>73204.81</v>
      </c>
      <c r="AE4" s="5" t="n">
        <v>61</v>
      </c>
      <c r="AF4" s="6" t="inlineStr">
        <is>
          <t>M1712</t>
        </is>
      </c>
      <c r="AG4" s="6" t="inlineStr">
        <is>
          <t>I798</t>
        </is>
      </c>
      <c r="AH4" s="6" t="inlineStr">
        <is>
          <t>M25562</t>
        </is>
      </c>
      <c r="AI4" s="6" t="n"/>
      <c r="AJ4" s="5" t="n"/>
      <c r="AK4" s="6" t="inlineStr">
        <is>
          <t>HUNTER, DREW</t>
        </is>
      </c>
      <c r="AL4" s="6" t="inlineStr">
        <is>
          <t>ASAP Surgery Centers North Valley LLC</t>
        </is>
      </c>
      <c r="AM4" s="7" t="n">
        <v>46216</v>
      </c>
      <c r="AN4" s="6" t="inlineStr">
        <is>
          <t>GAE</t>
        </is>
      </c>
      <c r="AO4" s="6" t="inlineStr">
        <is>
          <t>988, 989, 991, 992, 993, 994, 995</t>
        </is>
      </c>
    </row>
    <row r="5">
      <c r="A5" s="2" t="n"/>
      <c r="B5" s="3" t="n"/>
      <c r="C5" s="4" t="n">
        <v>46225</v>
      </c>
      <c r="D5" s="5" t="n">
        <v>565104372</v>
      </c>
      <c r="E5" s="6" t="inlineStr">
        <is>
          <t>HF330028627</t>
        </is>
      </c>
      <c r="F5" s="7" t="n">
        <v>46181</v>
      </c>
      <c r="G5" s="6" t="inlineStr">
        <is>
          <t>HealthSpring Medicare Advantage</t>
        </is>
      </c>
      <c r="H5" s="6" t="inlineStr">
        <is>
          <t>HealthSpring Medicare Advantage</t>
        </is>
      </c>
      <c r="I5" s="6" t="inlineStr">
        <is>
          <t>No Payer</t>
        </is>
      </c>
      <c r="J5" s="8" t="inlineStr">
        <is>
          <t>36248+59 x3; 75710+26+XU+RT x1; 36246+59+RT x1; 36245+59 x1; 75774+26+XU x5</t>
        </is>
      </c>
      <c r="K5" s="4" t="n"/>
      <c r="L5" s="5">
        <f>IF($O5="","",$O5-TODAY())</f>
        <v/>
      </c>
      <c r="M5" s="5">
        <f>IF($F5="","",$F5+90-TODAY())</f>
        <v/>
      </c>
      <c r="N5" s="5">
        <f>IF($C5="","",$C5+180-TODAY())</f>
        <v/>
      </c>
      <c r="O5" s="7" t="n">
        <v>46271</v>
      </c>
      <c r="P5" s="6" t="inlineStr">
        <is>
          <t>90 days</t>
        </is>
      </c>
      <c r="Q5" s="6" t="inlineStr">
        <is>
          <t>CIGNA / CIGNA MEDICARE</t>
        </is>
      </c>
      <c r="R5" s="6" t="inlineStr">
        <is>
          <t>90 days</t>
        </is>
      </c>
      <c r="S5" s="6" t="inlineStr">
        <is>
          <t>Date of service</t>
        </is>
      </c>
      <c r="T5" s="6" t="inlineStr">
        <is>
          <t>180 days</t>
        </is>
      </c>
      <c r="U5" s="6" t="inlineStr">
        <is>
          <t>Processed date</t>
        </is>
      </c>
      <c r="V5" s="6" t="inlineStr">
        <is>
          <t>59, 26</t>
        </is>
      </c>
      <c r="W5" s="6" t="inlineStr">
        <is>
          <t>XU, RT</t>
        </is>
      </c>
      <c r="X5" s="6" t="inlineStr">
        <is>
          <t>RT</t>
        </is>
      </c>
      <c r="Y5" s="6" t="inlineStr">
        <is>
          <t>3, 1, 5</t>
        </is>
      </c>
      <c r="Z5" s="9" t="n">
        <v>21123.69</v>
      </c>
      <c r="AA5" s="9" t="n">
        <v>0</v>
      </c>
      <c r="AB5" s="9" t="n">
        <v>0</v>
      </c>
      <c r="AC5" s="7" t="n">
        <v>46225</v>
      </c>
      <c r="AD5" s="9" t="n">
        <v>21123.69</v>
      </c>
      <c r="AE5" s="5" t="n">
        <v>61</v>
      </c>
      <c r="AF5" s="6" t="inlineStr">
        <is>
          <t>M1711</t>
        </is>
      </c>
      <c r="AG5" s="6" t="inlineStr">
        <is>
          <t>I798</t>
        </is>
      </c>
      <c r="AH5" s="6" t="inlineStr">
        <is>
          <t>M25561</t>
        </is>
      </c>
      <c r="AI5" s="6" t="n"/>
      <c r="AJ5" s="5" t="n"/>
      <c r="AK5" s="6" t="inlineStr">
        <is>
          <t>HUNTER, DREW</t>
        </is>
      </c>
      <c r="AL5" s="6" t="inlineStr">
        <is>
          <t>ASAP Surgery Centers North Valley LLC</t>
        </is>
      </c>
      <c r="AM5" s="7" t="n">
        <v>46216</v>
      </c>
      <c r="AN5" s="6" t="inlineStr">
        <is>
          <t>GAE</t>
        </is>
      </c>
      <c r="AO5" s="6" t="inlineStr">
        <is>
          <t>293, 294, 295, 304, 305</t>
        </is>
      </c>
    </row>
    <row r="6">
      <c r="A6" s="2" t="n"/>
      <c r="B6" s="3" t="n"/>
      <c r="C6" s="4" t="n">
        <v>46224</v>
      </c>
      <c r="D6" s="5" t="n">
        <v>565107861</v>
      </c>
      <c r="E6" s="6" t="inlineStr">
        <is>
          <t>HF386554880</t>
        </is>
      </c>
      <c r="F6" s="7" t="n">
        <v>46181</v>
      </c>
      <c r="G6" s="6" t="inlineStr">
        <is>
          <t>UnitedHealthcare Community Plan / Arizona Long Term Care</t>
        </is>
      </c>
      <c r="H6" s="6" t="inlineStr">
        <is>
          <t>UnitedHealthcare Community Plan / Arizona Long Term Care</t>
        </is>
      </c>
      <c r="I6" s="6" t="inlineStr">
        <is>
          <t>No Payer</t>
        </is>
      </c>
      <c r="J6" s="8" t="inlineStr">
        <is>
          <t>76937 x1; 37242 x1; 36245+59 x1; 36248+59 x3; 75774+XU x5; 75710+XU+LT x1; 36246+59+LT x1</t>
        </is>
      </c>
      <c r="K6" s="4" t="n"/>
      <c r="L6" s="5">
        <f>IF($O6="","",$O6-TODAY())</f>
        <v/>
      </c>
      <c r="M6" s="5">
        <f>IF($C6="","",$C6+180-TODAY())</f>
        <v/>
      </c>
      <c r="N6" s="5">
        <f>IF($C6="","",$C6+365-TODAY())</f>
        <v/>
      </c>
      <c r="O6" s="7" t="n">
        <v>46271</v>
      </c>
      <c r="P6" s="6" t="inlineStr">
        <is>
          <t>90 days</t>
        </is>
      </c>
      <c r="Q6" s="6" t="inlineStr">
        <is>
          <t>UHC COMMUNITY</t>
        </is>
      </c>
      <c r="R6" s="6" t="inlineStr">
        <is>
          <t>180 days</t>
        </is>
      </c>
      <c r="S6" s="6" t="inlineStr">
        <is>
          <t>Processed date</t>
        </is>
      </c>
      <c r="T6" s="6" t="inlineStr">
        <is>
          <t>365 days</t>
        </is>
      </c>
      <c r="U6" s="6" t="inlineStr">
        <is>
          <t>Processed date</t>
        </is>
      </c>
      <c r="V6" s="6" t="inlineStr">
        <is>
          <t>59, XU</t>
        </is>
      </c>
      <c r="W6" s="6" t="inlineStr">
        <is>
          <t>LT</t>
        </is>
      </c>
      <c r="X6" s="6" t="n"/>
      <c r="Y6" s="6" t="inlineStr">
        <is>
          <t>1, 3, 5</t>
        </is>
      </c>
      <c r="Z6" s="9" t="n">
        <v>70557.69</v>
      </c>
      <c r="AA6" s="9" t="n">
        <v>0</v>
      </c>
      <c r="AB6" s="9" t="n">
        <v>0</v>
      </c>
      <c r="AC6" s="7" t="n">
        <v>46224</v>
      </c>
      <c r="AD6" s="9" t="n">
        <v>70557.69</v>
      </c>
      <c r="AE6" s="5" t="n">
        <v>61</v>
      </c>
      <c r="AF6" s="6" t="inlineStr">
        <is>
          <t>M1712</t>
        </is>
      </c>
      <c r="AG6" s="6" t="inlineStr">
        <is>
          <t>I798</t>
        </is>
      </c>
      <c r="AH6" s="6" t="inlineStr">
        <is>
          <t>M25562</t>
        </is>
      </c>
      <c r="AI6" s="6" t="n"/>
      <c r="AJ6" s="5" t="n"/>
      <c r="AK6" s="6" t="inlineStr">
        <is>
          <t>HUNTER, DREW</t>
        </is>
      </c>
      <c r="AL6" s="6" t="inlineStr">
        <is>
          <t>ASAP - DEER VALLEY</t>
        </is>
      </c>
      <c r="AM6" s="7" t="n">
        <v>46216</v>
      </c>
      <c r="AN6" s="6" t="inlineStr">
        <is>
          <t>GAE</t>
        </is>
      </c>
      <c r="AO6" s="6" t="inlineStr">
        <is>
          <t>337, 338, 339, 340, 341, 342, 343</t>
        </is>
      </c>
    </row>
    <row r="7">
      <c r="A7" s="2" t="n"/>
      <c r="B7" s="3" t="n"/>
      <c r="C7" s="4" t="n"/>
      <c r="D7" s="5" t="n">
        <v>565102380</v>
      </c>
      <c r="E7" s="6" t="inlineStr">
        <is>
          <t>HF525787835</t>
        </is>
      </c>
      <c r="F7" s="7" t="n">
        <v>46195</v>
      </c>
      <c r="G7" s="6" t="inlineStr">
        <is>
          <t>UHC Group Medicare Advantage</t>
        </is>
      </c>
      <c r="H7" s="6" t="inlineStr">
        <is>
          <t>UHC Group Medicare Advantage</t>
        </is>
      </c>
      <c r="I7" s="6" t="inlineStr">
        <is>
          <t>No Payer</t>
        </is>
      </c>
      <c r="J7" s="8" t="inlineStr">
        <is>
          <t>76937+26 x1; 75774+26+XU x4; 36245+59 x4; 75710+26+XU+RT x1; 37242 x1</t>
        </is>
      </c>
      <c r="K7" s="4" t="n"/>
      <c r="L7" s="5">
        <f>IF($O7="","",$O7-TODAY())</f>
        <v/>
      </c>
      <c r="M7" s="5">
        <f>IF($C7="","",$C7+180-TODAY())</f>
        <v/>
      </c>
      <c r="N7" s="5">
        <f>IF($C7="","",$C7+365-TODAY())</f>
        <v/>
      </c>
      <c r="O7" s="7" t="n">
        <v>46285</v>
      </c>
      <c r="P7" s="6" t="inlineStr">
        <is>
          <t>90 days</t>
        </is>
      </c>
      <c r="Q7" s="6" t="inlineStr">
        <is>
          <t>UHC MA</t>
        </is>
      </c>
      <c r="R7" s="6" t="inlineStr">
        <is>
          <t>180 days</t>
        </is>
      </c>
      <c r="S7" s="6" t="inlineStr">
        <is>
          <t>Processed date</t>
        </is>
      </c>
      <c r="T7" s="6" t="inlineStr">
        <is>
          <t>365 days</t>
        </is>
      </c>
      <c r="U7" s="6" t="inlineStr">
        <is>
          <t>Processed date</t>
        </is>
      </c>
      <c r="V7" s="6" t="inlineStr">
        <is>
          <t>26, 59</t>
        </is>
      </c>
      <c r="W7" s="6" t="inlineStr">
        <is>
          <t>XU</t>
        </is>
      </c>
      <c r="X7" s="6" t="inlineStr">
        <is>
          <t>RT</t>
        </is>
      </c>
      <c r="Y7" s="6" t="inlineStr">
        <is>
          <t>1, 4</t>
        </is>
      </c>
      <c r="Z7" s="9" t="n">
        <v>87420.55</v>
      </c>
      <c r="AA7" s="9" t="n">
        <v>0</v>
      </c>
      <c r="AB7" s="9" t="n">
        <v>0</v>
      </c>
      <c r="AC7" s="7" t="n"/>
      <c r="AD7" s="9" t="n">
        <v>87420.55</v>
      </c>
      <c r="AE7" s="5" t="n">
        <v>47</v>
      </c>
      <c r="AF7" s="6" t="inlineStr">
        <is>
          <t>M1711</t>
        </is>
      </c>
      <c r="AG7" s="6" t="inlineStr">
        <is>
          <t>I798</t>
        </is>
      </c>
      <c r="AH7" s="6" t="inlineStr">
        <is>
          <t>M25561</t>
        </is>
      </c>
      <c r="AI7" s="6" t="n"/>
      <c r="AJ7" s="5" t="n"/>
      <c r="AK7" s="6" t="inlineStr">
        <is>
          <t>HUNTER, DREW</t>
        </is>
      </c>
      <c r="AL7" s="6" t="inlineStr">
        <is>
          <t>ASAP Surgery Centers North Valley LLC</t>
        </is>
      </c>
      <c r="AM7" s="7" t="n">
        <v>46216</v>
      </c>
      <c r="AN7" s="6" t="inlineStr">
        <is>
          <t>GAE</t>
        </is>
      </c>
      <c r="AO7" s="6" t="inlineStr">
        <is>
          <t>1069, 1070, 1071, 1072, 1073</t>
        </is>
      </c>
    </row>
    <row r="8">
      <c r="A8" s="2" t="n"/>
      <c r="B8" s="3" t="n"/>
      <c r="C8" s="4" t="n"/>
      <c r="D8" s="5" t="n">
        <v>565108599</v>
      </c>
      <c r="E8" s="6" t="inlineStr">
        <is>
          <t>HF534608085</t>
        </is>
      </c>
      <c r="F8" s="7" t="n">
        <v>46195</v>
      </c>
      <c r="G8" s="6" t="inlineStr">
        <is>
          <t>Humana Gold Plus HMO</t>
        </is>
      </c>
      <c r="H8" s="6" t="inlineStr">
        <is>
          <t>Humana Gold Plus HMO</t>
        </is>
      </c>
      <c r="I8" s="6" t="inlineStr">
        <is>
          <t>No Payer</t>
        </is>
      </c>
      <c r="J8" s="8" t="inlineStr">
        <is>
          <t>37242 x1; 75774+XU x4; 36245+59 x4; 76937 x1; 75710+XU+LT x1</t>
        </is>
      </c>
      <c r="K8" s="4" t="n"/>
      <c r="L8" s="5">
        <f>IF($O8="","",$O8-TODAY())</f>
        <v/>
      </c>
      <c r="M8" s="5">
        <f>IF($F8="","",$F8+90-TODAY())</f>
        <v/>
      </c>
      <c r="N8" s="5">
        <f>IF($C8="","",$C8+60-TODAY())</f>
        <v/>
      </c>
      <c r="O8" s="7" t="n">
        <v>46285</v>
      </c>
      <c r="P8" s="6" t="inlineStr">
        <is>
          <t>90 days</t>
        </is>
      </c>
      <c r="Q8" s="6" t="inlineStr">
        <is>
          <t>HUMANA MA</t>
        </is>
      </c>
      <c r="R8" s="6" t="inlineStr">
        <is>
          <t>90 days</t>
        </is>
      </c>
      <c r="S8" s="6" t="inlineStr">
        <is>
          <t>Date of service</t>
        </is>
      </c>
      <c r="T8" s="6" t="inlineStr">
        <is>
          <t>60 days</t>
        </is>
      </c>
      <c r="U8" s="6" t="inlineStr">
        <is>
          <t>Processed date</t>
        </is>
      </c>
      <c r="V8" s="6" t="inlineStr">
        <is>
          <t>XU, 59</t>
        </is>
      </c>
      <c r="W8" s="6" t="inlineStr">
        <is>
          <t>LT</t>
        </is>
      </c>
      <c r="X8" s="6" t="n"/>
      <c r="Y8" s="6" t="inlineStr">
        <is>
          <t>1, 4</t>
        </is>
      </c>
      <c r="Z8" s="9" t="n">
        <v>87420.55</v>
      </c>
      <c r="AA8" s="9" t="n">
        <v>0</v>
      </c>
      <c r="AB8" s="9" t="n">
        <v>0</v>
      </c>
      <c r="AC8" s="7" t="n"/>
      <c r="AD8" s="9" t="n">
        <v>87420.55</v>
      </c>
      <c r="AE8" s="5" t="n">
        <v>47</v>
      </c>
      <c r="AF8" s="6" t="inlineStr">
        <is>
          <t>M1712</t>
        </is>
      </c>
      <c r="AG8" s="6" t="inlineStr">
        <is>
          <t>I798</t>
        </is>
      </c>
      <c r="AH8" s="6" t="inlineStr">
        <is>
          <t>M25562</t>
        </is>
      </c>
      <c r="AI8" s="6" t="n"/>
      <c r="AJ8" s="5" t="n"/>
      <c r="AK8" s="6" t="inlineStr">
        <is>
          <t>HUNTER, DREW</t>
        </is>
      </c>
      <c r="AL8" s="6" t="inlineStr">
        <is>
          <t>ASAP - DEER VALLEY</t>
        </is>
      </c>
      <c r="AM8" s="7" t="n">
        <v>46216</v>
      </c>
      <c r="AN8" s="6" t="inlineStr">
        <is>
          <t>GAE</t>
        </is>
      </c>
      <c r="AO8" s="6" t="inlineStr">
        <is>
          <t>1043, 1044, 1045, 1046, 1047</t>
        </is>
      </c>
    </row>
    <row r="9">
      <c r="A9" s="2" t="n"/>
      <c r="B9" s="3" t="n"/>
      <c r="C9" s="4" t="n"/>
      <c r="D9" s="5" t="n">
        <v>564903174</v>
      </c>
      <c r="E9" s="6" t="inlineStr">
        <is>
          <t>HF556068803</t>
        </is>
      </c>
      <c r="F9" s="7" t="n">
        <v>46202</v>
      </c>
      <c r="G9" s="6" t="inlineStr">
        <is>
          <t>Optum Care Medical Network of Arizona, Utah, &amp; Washington (LifePrint)</t>
        </is>
      </c>
      <c r="H9" s="6" t="inlineStr">
        <is>
          <t>Optum Care Medical Network of Arizona, Utah, &amp; Washington (LifePrint)</t>
        </is>
      </c>
      <c r="I9" s="6" t="inlineStr">
        <is>
          <t>No Payer</t>
        </is>
      </c>
      <c r="J9" s="8" t="inlineStr">
        <is>
          <t>76937+26 x1; 37242+LT x1; 36247+LT x1</t>
        </is>
      </c>
      <c r="K9" s="4" t="n"/>
      <c r="L9" s="5">
        <f>IF($O9="","",$O9-TODAY())</f>
        <v/>
      </c>
      <c r="M9" s="5">
        <f>IF($C9="","",$C9+365-TODAY())</f>
        <v/>
      </c>
      <c r="N9" s="5">
        <f>IF($C9="","",$C9+365-TODAY())</f>
        <v/>
      </c>
      <c r="O9" s="7" t="n">
        <v>46292</v>
      </c>
      <c r="P9" s="6" t="inlineStr">
        <is>
          <t>90 days</t>
        </is>
      </c>
      <c r="Q9" s="6" t="inlineStr">
        <is>
          <t>OPTUM</t>
        </is>
      </c>
      <c r="R9" s="6" t="inlineStr">
        <is>
          <t>365 days</t>
        </is>
      </c>
      <c r="S9" s="6" t="inlineStr">
        <is>
          <t>Processed date</t>
        </is>
      </c>
      <c r="T9" s="6" t="inlineStr">
        <is>
          <t>365 days</t>
        </is>
      </c>
      <c r="U9" s="6" t="inlineStr">
        <is>
          <t>Processed date</t>
        </is>
      </c>
      <c r="V9" s="6" t="inlineStr">
        <is>
          <t>26, LT</t>
        </is>
      </c>
      <c r="W9" s="6" t="n"/>
      <c r="X9" s="6" t="n"/>
      <c r="Y9" s="6" t="inlineStr">
        <is>
          <t>1</t>
        </is>
      </c>
      <c r="Z9" s="9" t="n">
        <v>59230.99</v>
      </c>
      <c r="AA9" s="9" t="n">
        <v>0</v>
      </c>
      <c r="AB9" s="9" t="n">
        <v>0</v>
      </c>
      <c r="AC9" s="7" t="n"/>
      <c r="AD9" s="9" t="n">
        <v>59230.99</v>
      </c>
      <c r="AE9" s="5" t="n">
        <v>40</v>
      </c>
      <c r="AF9" s="6" t="inlineStr">
        <is>
          <t>M722</t>
        </is>
      </c>
      <c r="AG9" s="6" t="n"/>
      <c r="AH9" s="6" t="n"/>
      <c r="AI9" s="6" t="n"/>
      <c r="AJ9" s="5" t="n"/>
      <c r="AK9" s="6" t="inlineStr">
        <is>
          <t>KOMINSKY, STEPHEN</t>
        </is>
      </c>
      <c r="AL9" s="6" t="inlineStr">
        <is>
          <t>ASAP Surgery Centers North Valley LLC</t>
        </is>
      </c>
      <c r="AM9" s="7" t="n">
        <v>46225</v>
      </c>
      <c r="AN9" s="6" t="inlineStr">
        <is>
          <t>GAE</t>
        </is>
      </c>
      <c r="AO9" s="6" t="inlineStr">
        <is>
          <t>530, 531, 532</t>
        </is>
      </c>
    </row>
    <row r="10">
      <c r="A10" s="2" t="n"/>
      <c r="B10" s="3" t="n"/>
      <c r="C10" s="4" t="n"/>
      <c r="D10" s="5" t="n">
        <v>565098609</v>
      </c>
      <c r="E10" s="6" t="inlineStr">
        <is>
          <t>HF498472279</t>
        </is>
      </c>
      <c r="F10" s="7" t="n">
        <v>46202</v>
      </c>
      <c r="G10" s="6" t="inlineStr">
        <is>
          <t>Humana Gold Plus HMO</t>
        </is>
      </c>
      <c r="H10" s="6" t="inlineStr">
        <is>
          <t>Humana Gold Plus HMO</t>
        </is>
      </c>
      <c r="I10" s="6" t="inlineStr">
        <is>
          <t>No Payer</t>
        </is>
      </c>
      <c r="J10" s="8" t="inlineStr">
        <is>
          <t>75774+26+XU x4; 36245+59 x4; 37242 x1; 75710+26+XU+RT x1; 76937+26 x1</t>
        </is>
      </c>
      <c r="K10" s="4" t="n"/>
      <c r="L10" s="5">
        <f>IF($O10="","",$O10-TODAY())</f>
        <v/>
      </c>
      <c r="M10" s="5">
        <f>IF($F10="","",$F10+90-TODAY())</f>
        <v/>
      </c>
      <c r="N10" s="5">
        <f>IF($C10="","",$C10+60-TODAY())</f>
        <v/>
      </c>
      <c r="O10" s="7" t="n">
        <v>46292</v>
      </c>
      <c r="P10" s="6" t="inlineStr">
        <is>
          <t>90 days</t>
        </is>
      </c>
      <c r="Q10" s="6" t="inlineStr">
        <is>
          <t>HUMANA MA</t>
        </is>
      </c>
      <c r="R10" s="6" t="inlineStr">
        <is>
          <t>90 days</t>
        </is>
      </c>
      <c r="S10" s="6" t="inlineStr">
        <is>
          <t>Date of service</t>
        </is>
      </c>
      <c r="T10" s="6" t="inlineStr">
        <is>
          <t>60 days</t>
        </is>
      </c>
      <c r="U10" s="6" t="inlineStr">
        <is>
          <t>Processed date</t>
        </is>
      </c>
      <c r="V10" s="6" t="inlineStr">
        <is>
          <t>26, 59</t>
        </is>
      </c>
      <c r="W10" s="6" t="inlineStr">
        <is>
          <t>XU</t>
        </is>
      </c>
      <c r="X10" s="6" t="inlineStr">
        <is>
          <t>RT</t>
        </is>
      </c>
      <c r="Y10" s="6" t="inlineStr">
        <is>
          <t>4, 1</t>
        </is>
      </c>
      <c r="Z10" s="9" t="n">
        <v>87420.55</v>
      </c>
      <c r="AA10" s="9" t="n">
        <v>0</v>
      </c>
      <c r="AB10" s="9" t="n">
        <v>0</v>
      </c>
      <c r="AC10" s="7" t="n"/>
      <c r="AD10" s="9" t="n">
        <v>87420.55</v>
      </c>
      <c r="AE10" s="5" t="n">
        <v>40</v>
      </c>
      <c r="AF10" s="6" t="inlineStr">
        <is>
          <t>M1711</t>
        </is>
      </c>
      <c r="AG10" s="6" t="inlineStr">
        <is>
          <t>I798</t>
        </is>
      </c>
      <c r="AH10" s="6" t="inlineStr">
        <is>
          <t>M25561</t>
        </is>
      </c>
      <c r="AI10" s="6" t="n"/>
      <c r="AJ10" s="5" t="n"/>
      <c r="AK10" s="6" t="inlineStr">
        <is>
          <t>HUNTER, DREW</t>
        </is>
      </c>
      <c r="AL10" s="6" t="inlineStr">
        <is>
          <t>Premier Endoscopy Center, LLC</t>
        </is>
      </c>
      <c r="AM10" s="7" t="n">
        <v>46216</v>
      </c>
      <c r="AN10" s="6" t="inlineStr">
        <is>
          <t>GAE</t>
        </is>
      </c>
      <c r="AO10" s="6" t="inlineStr">
        <is>
          <t>622, 623, 624, 625, 626</t>
        </is>
      </c>
    </row>
    <row r="11">
      <c r="A11" s="2" t="n"/>
      <c r="B11" s="3" t="n"/>
      <c r="C11" s="4" t="n"/>
      <c r="D11" s="5" t="n">
        <v>566323683</v>
      </c>
      <c r="E11" s="6" t="inlineStr">
        <is>
          <t>HF559271684</t>
        </is>
      </c>
      <c r="F11" s="7" t="n">
        <v>46202</v>
      </c>
      <c r="G11" s="6" t="inlineStr">
        <is>
          <t>Blue Cross Blue Shield of Arizona (BCBS AZ)</t>
        </is>
      </c>
      <c r="H11" s="6" t="inlineStr">
        <is>
          <t>Blue Cross Blue Shield of Arizona (BCBS AZ)</t>
        </is>
      </c>
      <c r="I11" s="6" t="inlineStr">
        <is>
          <t>No Payer</t>
        </is>
      </c>
      <c r="J11" s="8" t="inlineStr">
        <is>
          <t>37242+LT x1; 76937 x1; 36247+LT x1</t>
        </is>
      </c>
      <c r="K11" s="4" t="n"/>
      <c r="L11" s="5">
        <f>IF($O11="","",$O11-TODAY())</f>
        <v/>
      </c>
      <c r="M11" s="5">
        <f>IF($C11="","",$C11+365-TODAY())</f>
        <v/>
      </c>
      <c r="N11" s="5">
        <f>IF($C11="","",$C11+365-TODAY())</f>
        <v/>
      </c>
      <c r="O11" s="7" t="n">
        <v>46292</v>
      </c>
      <c r="P11" s="6" t="inlineStr">
        <is>
          <t>90 days</t>
        </is>
      </c>
      <c r="Q11" s="6" t="inlineStr">
        <is>
          <t>BCBS</t>
        </is>
      </c>
      <c r="R11" s="6" t="inlineStr">
        <is>
          <t>365 days</t>
        </is>
      </c>
      <c r="S11" s="6" t="inlineStr">
        <is>
          <t>Processed date</t>
        </is>
      </c>
      <c r="T11" s="6" t="inlineStr">
        <is>
          <t>365 days</t>
        </is>
      </c>
      <c r="U11" s="6" t="inlineStr">
        <is>
          <t>Processed date</t>
        </is>
      </c>
      <c r="V11" s="6" t="inlineStr">
        <is>
          <t>LT</t>
        </is>
      </c>
      <c r="W11" s="6" t="n"/>
      <c r="X11" s="6" t="n"/>
      <c r="Y11" s="6" t="inlineStr">
        <is>
          <t>1</t>
        </is>
      </c>
      <c r="Z11" s="9" t="n">
        <v>59230.99</v>
      </c>
      <c r="AA11" s="9" t="n">
        <v>0</v>
      </c>
      <c r="AB11" s="9" t="n">
        <v>0</v>
      </c>
      <c r="AC11" s="7" t="n"/>
      <c r="AD11" s="9" t="n">
        <v>59230.99</v>
      </c>
      <c r="AE11" s="5" t="n">
        <v>40</v>
      </c>
      <c r="AF11" s="6" t="inlineStr">
        <is>
          <t>M722</t>
        </is>
      </c>
      <c r="AG11" s="6" t="n"/>
      <c r="AH11" s="6" t="n"/>
      <c r="AI11" s="6" t="n"/>
      <c r="AJ11" s="5" t="n"/>
      <c r="AK11" s="6" t="inlineStr">
        <is>
          <t>BURGHER, ABRAM</t>
        </is>
      </c>
      <c r="AL11" s="6" t="inlineStr">
        <is>
          <t>ASAP Surgery Centers North Valley LLC</t>
        </is>
      </c>
      <c r="AM11" s="7" t="n">
        <v>46225</v>
      </c>
      <c r="AN11" s="6" t="inlineStr">
        <is>
          <t>GAE</t>
        </is>
      </c>
      <c r="AO11" s="6" t="inlineStr">
        <is>
          <t>375, 376, 377</t>
        </is>
      </c>
    </row>
    <row r="12">
      <c r="A12" s="2" t="n"/>
      <c r="B12" s="3" t="n"/>
      <c r="C12" s="4" t="n"/>
      <c r="D12" s="5" t="n">
        <v>566323995</v>
      </c>
      <c r="E12" s="6" t="inlineStr">
        <is>
          <t>HF540421253</t>
        </is>
      </c>
      <c r="F12" s="7" t="n">
        <v>46202</v>
      </c>
      <c r="G12" s="6" t="inlineStr">
        <is>
          <t>UnitedHealthcare Community Plan / Arizona Long Term Care</t>
        </is>
      </c>
      <c r="H12" s="6" t="inlineStr">
        <is>
          <t>UnitedHealthcare Community Plan / Arizona Long Term Care</t>
        </is>
      </c>
      <c r="I12" s="6" t="inlineStr">
        <is>
          <t>No Payer</t>
        </is>
      </c>
      <c r="J12" s="8" t="inlineStr">
        <is>
          <t>76937 x1; 37242+LT x1; 36247+LT x1</t>
        </is>
      </c>
      <c r="K12" s="4" t="n"/>
      <c r="L12" s="5">
        <f>IF($O12="","",$O12-TODAY())</f>
        <v/>
      </c>
      <c r="M12" s="5">
        <f>IF($C12="","",$C12+180-TODAY())</f>
        <v/>
      </c>
      <c r="N12" s="5">
        <f>IF($C12="","",$C12+365-TODAY())</f>
        <v/>
      </c>
      <c r="O12" s="7" t="n">
        <v>46292</v>
      </c>
      <c r="P12" s="6" t="inlineStr">
        <is>
          <t>90 days</t>
        </is>
      </c>
      <c r="Q12" s="6" t="inlineStr">
        <is>
          <t>UHC COMMUNITY</t>
        </is>
      </c>
      <c r="R12" s="6" t="inlineStr">
        <is>
          <t>180 days</t>
        </is>
      </c>
      <c r="S12" s="6" t="inlineStr">
        <is>
          <t>Processed date</t>
        </is>
      </c>
      <c r="T12" s="6" t="inlineStr">
        <is>
          <t>365 days</t>
        </is>
      </c>
      <c r="U12" s="6" t="inlineStr">
        <is>
          <t>Processed date</t>
        </is>
      </c>
      <c r="V12" s="6" t="inlineStr">
        <is>
          <t>LT</t>
        </is>
      </c>
      <c r="W12" s="6" t="n"/>
      <c r="X12" s="6" t="n"/>
      <c r="Y12" s="6" t="inlineStr">
        <is>
          <t>1</t>
        </is>
      </c>
      <c r="Z12" s="9" t="n">
        <v>59230.99</v>
      </c>
      <c r="AA12" s="9" t="n">
        <v>0</v>
      </c>
      <c r="AB12" s="9" t="n">
        <v>0</v>
      </c>
      <c r="AC12" s="7" t="n"/>
      <c r="AD12" s="9" t="n">
        <v>59230.99</v>
      </c>
      <c r="AE12" s="5" t="n">
        <v>40</v>
      </c>
      <c r="AF12" s="6" t="inlineStr">
        <is>
          <t>M722</t>
        </is>
      </c>
      <c r="AG12" s="6" t="n"/>
      <c r="AH12" s="6" t="n"/>
      <c r="AI12" s="6" t="n"/>
      <c r="AJ12" s="5" t="n"/>
      <c r="AK12" s="6" t="inlineStr">
        <is>
          <t>KOMINSKY, STEPHEN</t>
        </is>
      </c>
      <c r="AL12" s="6" t="inlineStr">
        <is>
          <t>ASAP Surgery Centers North Valley LLC</t>
        </is>
      </c>
      <c r="AM12" s="7" t="n">
        <v>46225</v>
      </c>
      <c r="AN12" s="6" t="inlineStr">
        <is>
          <t>GAE</t>
        </is>
      </c>
      <c r="AO12" s="6" t="inlineStr">
        <is>
          <t>985, 986, 987</t>
        </is>
      </c>
    </row>
    <row r="13">
      <c r="A13" s="2" t="n"/>
      <c r="B13" s="3" t="n"/>
      <c r="C13" s="4" t="n"/>
      <c r="D13" s="5" t="n">
        <v>565101339</v>
      </c>
      <c r="E13" s="6" t="inlineStr">
        <is>
          <t>HF524772530</t>
        </is>
      </c>
      <c r="F13" s="7" t="n">
        <v>46181</v>
      </c>
      <c r="G13" s="6" t="inlineStr">
        <is>
          <t>Aetna Legacy</t>
        </is>
      </c>
      <c r="H13" s="6" t="inlineStr">
        <is>
          <t>Aetna Legacy</t>
        </is>
      </c>
      <c r="I13" s="6" t="inlineStr">
        <is>
          <t>No Payer</t>
        </is>
      </c>
      <c r="J13" s="8" t="inlineStr">
        <is>
          <t>36245+59 x1; 37242 x1; 75774+26+XU x5; 36246+59+RT x1; 36248+59 x3; 75710+26+XU+RT x1; 76937+26 x1</t>
        </is>
      </c>
      <c r="K13" s="4" t="n"/>
      <c r="L13" s="5">
        <f>IF($O13="","",$O13-TODAY())</f>
        <v/>
      </c>
      <c r="M13" s="5">
        <f>IF($C13="","",$C13+180-TODAY())</f>
        <v/>
      </c>
      <c r="N13" s="5">
        <f>IF($C13="","",$C13+180-TODAY())</f>
        <v/>
      </c>
      <c r="O13" s="7" t="n">
        <v>46301</v>
      </c>
      <c r="P13" s="6" t="inlineStr">
        <is>
          <t>120 days</t>
        </is>
      </c>
      <c r="Q13" s="6" t="inlineStr">
        <is>
          <t>AETNA</t>
        </is>
      </c>
      <c r="R13" s="6" t="inlineStr">
        <is>
          <t>180 days</t>
        </is>
      </c>
      <c r="S13" s="6" t="inlineStr">
        <is>
          <t>Processed date</t>
        </is>
      </c>
      <c r="T13" s="6" t="inlineStr">
        <is>
          <t>180 days</t>
        </is>
      </c>
      <c r="U13" s="6" t="inlineStr">
        <is>
          <t>Processed date</t>
        </is>
      </c>
      <c r="V13" s="6" t="inlineStr">
        <is>
          <t>59, 26</t>
        </is>
      </c>
      <c r="W13" s="6" t="inlineStr">
        <is>
          <t>XU, RT</t>
        </is>
      </c>
      <c r="X13" s="6" t="inlineStr">
        <is>
          <t>RT</t>
        </is>
      </c>
      <c r="Y13" s="6" t="inlineStr">
        <is>
          <t>1, 5, 3</t>
        </is>
      </c>
      <c r="Z13" s="9" t="n">
        <v>70557.69</v>
      </c>
      <c r="AA13" s="9" t="n">
        <v>0</v>
      </c>
      <c r="AB13" s="9" t="n">
        <v>0</v>
      </c>
      <c r="AC13" s="7" t="n"/>
      <c r="AD13" s="9" t="n">
        <v>70557.69</v>
      </c>
      <c r="AE13" s="5" t="n">
        <v>61</v>
      </c>
      <c r="AF13" s="6" t="inlineStr">
        <is>
          <t>M1711</t>
        </is>
      </c>
      <c r="AG13" s="6" t="inlineStr">
        <is>
          <t>I798</t>
        </is>
      </c>
      <c r="AH13" s="6" t="inlineStr">
        <is>
          <t>M25561</t>
        </is>
      </c>
      <c r="AI13" s="6" t="n"/>
      <c r="AJ13" s="5" t="n"/>
      <c r="AK13" s="6" t="inlineStr">
        <is>
          <t>HUNTER, DREW</t>
        </is>
      </c>
      <c r="AL13" s="6" t="inlineStr">
        <is>
          <t>ASAP Surgery Centers North Valley LLC</t>
        </is>
      </c>
      <c r="AM13" s="7" t="n">
        <v>46216</v>
      </c>
      <c r="AN13" s="6" t="inlineStr">
        <is>
          <t>GAE</t>
        </is>
      </c>
      <c r="AO13" s="6" t="inlineStr">
        <is>
          <t>246, 247, 248, 249, 250, 251, 252</t>
        </is>
      </c>
    </row>
    <row r="14">
      <c r="A14" s="2" t="n"/>
      <c r="B14" s="3" t="n"/>
      <c r="C14" s="4" t="n"/>
      <c r="D14" s="5" t="n">
        <v>565104933</v>
      </c>
      <c r="E14" s="6" t="inlineStr">
        <is>
          <t>HF546406685</t>
        </is>
      </c>
      <c r="F14" s="7" t="n">
        <v>46188</v>
      </c>
      <c r="G14" s="6" t="inlineStr">
        <is>
          <t>Aetna Legacy</t>
        </is>
      </c>
      <c r="H14" s="6" t="inlineStr">
        <is>
          <t>Aetna Legacy</t>
        </is>
      </c>
      <c r="I14" s="6" t="inlineStr">
        <is>
          <t>No Payer</t>
        </is>
      </c>
      <c r="J14" s="8" t="inlineStr">
        <is>
          <t>36246+59+RT x1; 36245+59 x1; 76937+26 x1; 37242 x1; 36248+59 x3; 75774+26+XU x5; 75710+26+XU+RT x1</t>
        </is>
      </c>
      <c r="K14" s="4" t="n"/>
      <c r="L14" s="5">
        <f>IF($O14="","",$O14-TODAY())</f>
        <v/>
      </c>
      <c r="M14" s="5">
        <f>IF($C14="","",$C14+180-TODAY())</f>
        <v/>
      </c>
      <c r="N14" s="5">
        <f>IF($C14="","",$C14+180-TODAY())</f>
        <v/>
      </c>
      <c r="O14" s="7" t="n">
        <v>46308</v>
      </c>
      <c r="P14" s="6" t="inlineStr">
        <is>
          <t>120 days</t>
        </is>
      </c>
      <c r="Q14" s="6" t="inlineStr">
        <is>
          <t>AETNA</t>
        </is>
      </c>
      <c r="R14" s="6" t="inlineStr">
        <is>
          <t>180 days</t>
        </is>
      </c>
      <c r="S14" s="6" t="inlineStr">
        <is>
          <t>Processed date</t>
        </is>
      </c>
      <c r="T14" s="6" t="inlineStr">
        <is>
          <t>180 days</t>
        </is>
      </c>
      <c r="U14" s="6" t="inlineStr">
        <is>
          <t>Processed date</t>
        </is>
      </c>
      <c r="V14" s="6" t="inlineStr">
        <is>
          <t>59, 26</t>
        </is>
      </c>
      <c r="W14" s="6" t="inlineStr">
        <is>
          <t>RT, XU</t>
        </is>
      </c>
      <c r="X14" s="6" t="inlineStr">
        <is>
          <t>RT</t>
        </is>
      </c>
      <c r="Y14" s="6" t="inlineStr">
        <is>
          <t>1, 3, 5</t>
        </is>
      </c>
      <c r="Z14" s="9" t="n">
        <v>70557.69</v>
      </c>
      <c r="AA14" s="9" t="n">
        <v>0</v>
      </c>
      <c r="AB14" s="9" t="n">
        <v>0</v>
      </c>
      <c r="AC14" s="7" t="n"/>
      <c r="AD14" s="9" t="n">
        <v>70557.69</v>
      </c>
      <c r="AE14" s="5" t="n">
        <v>54</v>
      </c>
      <c r="AF14" s="6" t="inlineStr">
        <is>
          <t>M1711</t>
        </is>
      </c>
      <c r="AG14" s="6" t="inlineStr">
        <is>
          <t>I798</t>
        </is>
      </c>
      <c r="AH14" s="6" t="inlineStr">
        <is>
          <t>M25561</t>
        </is>
      </c>
      <c r="AI14" s="6" t="n"/>
      <c r="AJ14" s="5" t="n"/>
      <c r="AK14" s="6" t="inlineStr">
        <is>
          <t>HUNTER, DREW</t>
        </is>
      </c>
      <c r="AL14" s="6" t="inlineStr">
        <is>
          <t>Premier Endoscopy Center, LLC</t>
        </is>
      </c>
      <c r="AM14" s="7" t="n">
        <v>46216</v>
      </c>
      <c r="AN14" s="6" t="inlineStr">
        <is>
          <t>GAE</t>
        </is>
      </c>
      <c r="AO14" s="6" t="inlineStr">
        <is>
          <t>834, 836, 838, 839, 841, 842, 1018</t>
        </is>
      </c>
    </row>
    <row r="15">
      <c r="A15" s="2" t="n"/>
      <c r="B15" s="3" t="n"/>
      <c r="C15" s="4" t="n"/>
      <c r="D15" s="5" t="n">
        <v>565098145</v>
      </c>
      <c r="E15" s="6" t="inlineStr">
        <is>
          <t>HF559340413</t>
        </is>
      </c>
      <c r="F15" s="7" t="n">
        <v>46202</v>
      </c>
      <c r="G15" s="6" t="inlineStr">
        <is>
          <t>Aetna Medicare HMO</t>
        </is>
      </c>
      <c r="H15" s="6" t="inlineStr">
        <is>
          <t>Aetna Medicare HMO</t>
        </is>
      </c>
      <c r="I15" s="6" t="inlineStr">
        <is>
          <t>No Payer</t>
        </is>
      </c>
      <c r="J15" s="8" t="inlineStr">
        <is>
          <t>75774+26+XU x5; 36245+59 x5; 76937+26 x1; 75710+26+XU+RT x1; 37242 x1</t>
        </is>
      </c>
      <c r="K15" s="4" t="n"/>
      <c r="L15" s="5">
        <f>IF($O15="","",$O15-TODAY())</f>
        <v/>
      </c>
      <c r="M15" s="5">
        <f>IF($C15="","",$C15+180-TODAY())</f>
        <v/>
      </c>
      <c r="N15" s="5">
        <f>IF($C15="","",$C15+180-TODAY())</f>
        <v/>
      </c>
      <c r="O15" s="7" t="n">
        <v>46322</v>
      </c>
      <c r="P15" s="6" t="inlineStr">
        <is>
          <t>120 days</t>
        </is>
      </c>
      <c r="Q15" s="6" t="inlineStr">
        <is>
          <t>AETNA</t>
        </is>
      </c>
      <c r="R15" s="6" t="inlineStr">
        <is>
          <t>180 days</t>
        </is>
      </c>
      <c r="S15" s="6" t="inlineStr">
        <is>
          <t>Processed date</t>
        </is>
      </c>
      <c r="T15" s="6" t="inlineStr">
        <is>
          <t>180 days</t>
        </is>
      </c>
      <c r="U15" s="6" t="inlineStr">
        <is>
          <t>Processed date</t>
        </is>
      </c>
      <c r="V15" s="6" t="inlineStr">
        <is>
          <t>26, 59</t>
        </is>
      </c>
      <c r="W15" s="6" t="inlineStr">
        <is>
          <t>XU</t>
        </is>
      </c>
      <c r="X15" s="6" t="inlineStr">
        <is>
          <t>RT</t>
        </is>
      </c>
      <c r="Y15" s="6" t="inlineStr">
        <is>
          <t>5, 1</t>
        </is>
      </c>
      <c r="Z15" s="9" t="n">
        <v>96657.89</v>
      </c>
      <c r="AA15" s="9" t="n">
        <v>0</v>
      </c>
      <c r="AB15" s="9" t="n">
        <v>0</v>
      </c>
      <c r="AC15" s="7" t="n"/>
      <c r="AD15" s="9" t="n">
        <v>96657.89</v>
      </c>
      <c r="AE15" s="5" t="n">
        <v>40</v>
      </c>
      <c r="AF15" s="6" t="inlineStr">
        <is>
          <t>M1711</t>
        </is>
      </c>
      <c r="AG15" s="6" t="inlineStr">
        <is>
          <t>I798</t>
        </is>
      </c>
      <c r="AH15" s="6" t="inlineStr">
        <is>
          <t>M25561</t>
        </is>
      </c>
      <c r="AI15" s="6" t="n"/>
      <c r="AJ15" s="5" t="n"/>
      <c r="AK15" s="6" t="inlineStr">
        <is>
          <t>HUNTER, DREW</t>
        </is>
      </c>
      <c r="AL15" s="6" t="inlineStr">
        <is>
          <t>Premier Endoscopy Center, LLC</t>
        </is>
      </c>
      <c r="AM15" s="7" t="n">
        <v>46216</v>
      </c>
      <c r="AN15" s="6" t="inlineStr">
        <is>
          <t>GAE</t>
        </is>
      </c>
      <c r="AO15" s="6" t="inlineStr">
        <is>
          <t>897, 898, 899, 1054, 1055</t>
        </is>
      </c>
    </row>
    <row r="16">
      <c r="A16" s="2" t="n"/>
      <c r="B16" s="3" t="n"/>
      <c r="C16" s="4" t="n"/>
      <c r="D16" s="5" t="n">
        <v>565096314</v>
      </c>
      <c r="E16" s="6" t="inlineStr">
        <is>
          <t>HF552241760</t>
        </is>
      </c>
      <c r="F16" s="7" t="n">
        <v>46174</v>
      </c>
      <c r="G16" s="6" t="inlineStr">
        <is>
          <t>Mercy Care Plan (AHCCCS) - Complete Care &amp; Long Term Care (LTC)</t>
        </is>
      </c>
      <c r="H16" s="6" t="inlineStr">
        <is>
          <t>Mercy Care Plan (AHCCCS) - Complete Care &amp; Long Term Care (LTC)</t>
        </is>
      </c>
      <c r="I16" s="6" t="inlineStr">
        <is>
          <t>No Payer</t>
        </is>
      </c>
      <c r="J16" s="8" t="inlineStr">
        <is>
          <t>37242 x1; 75710+XU+RT x1; 75774+XU x5; 76937 x1; 36246+59+RT x1; 36248+59 x3; 36245+59 x1</t>
        </is>
      </c>
      <c r="K16" s="4" t="n"/>
      <c r="L16" s="5">
        <f>IF($O16="","",$O16-TODAY())</f>
        <v/>
      </c>
      <c r="M16" s="5">
        <f>IF($F16="","",$F16+365-TODAY())</f>
        <v/>
      </c>
      <c r="N16" s="5">
        <f>IF($F16="","",$F16+365-TODAY())</f>
        <v/>
      </c>
      <c r="O16" s="7" t="n">
        <v>46354</v>
      </c>
      <c r="P16" s="6" t="inlineStr">
        <is>
          <t>180 days</t>
        </is>
      </c>
      <c r="Q16" s="6" t="inlineStr">
        <is>
          <t>MERCY CARE MEDICAID</t>
        </is>
      </c>
      <c r="R16" s="6" t="inlineStr">
        <is>
          <t>365 days</t>
        </is>
      </c>
      <c r="S16" s="6" t="inlineStr">
        <is>
          <t>Date of service</t>
        </is>
      </c>
      <c r="T16" s="6" t="inlineStr">
        <is>
          <t>365 days</t>
        </is>
      </c>
      <c r="U16" s="6" t="inlineStr">
        <is>
          <t>Date of service</t>
        </is>
      </c>
      <c r="V16" s="6" t="inlineStr">
        <is>
          <t>XU, 59</t>
        </is>
      </c>
      <c r="W16" s="6" t="inlineStr">
        <is>
          <t>RT</t>
        </is>
      </c>
      <c r="X16" s="6" t="n"/>
      <c r="Y16" s="6" t="inlineStr">
        <is>
          <t>1, 5, 3</t>
        </is>
      </c>
      <c r="Z16" s="9" t="n">
        <v>70557.69</v>
      </c>
      <c r="AA16" s="9" t="n">
        <v>0</v>
      </c>
      <c r="AB16" s="9" t="n">
        <v>0</v>
      </c>
      <c r="AC16" s="7" t="n"/>
      <c r="AD16" s="9" t="n">
        <v>70557.69</v>
      </c>
      <c r="AE16" s="5" t="n">
        <v>68</v>
      </c>
      <c r="AF16" s="6" t="inlineStr">
        <is>
          <t>M1711</t>
        </is>
      </c>
      <c r="AG16" s="6" t="inlineStr">
        <is>
          <t>I798</t>
        </is>
      </c>
      <c r="AH16" s="6" t="inlineStr">
        <is>
          <t>M25561</t>
        </is>
      </c>
      <c r="AI16" s="6" t="n"/>
      <c r="AJ16" s="5" t="n"/>
      <c r="AK16" s="6" t="inlineStr">
        <is>
          <t>HUNTER, DREW</t>
        </is>
      </c>
      <c r="AL16" s="6" t="inlineStr">
        <is>
          <t>ASAP - Gilbert</t>
        </is>
      </c>
      <c r="AM16" s="7" t="n">
        <v>46216</v>
      </c>
      <c r="AN16" s="6" t="inlineStr">
        <is>
          <t>GAE</t>
        </is>
      </c>
      <c r="AO16" s="6" t="inlineStr">
        <is>
          <t>416, 417, 418, 419, 420, 421, 726</t>
        </is>
      </c>
    </row>
    <row r="17">
      <c r="A17" s="2" t="n"/>
      <c r="B17" s="3" t="n"/>
      <c r="C17" s="4" t="n"/>
      <c r="D17" s="5" t="n">
        <v>565105811</v>
      </c>
      <c r="E17" s="6" t="inlineStr">
        <is>
          <t>HF494572444</t>
        </is>
      </c>
      <c r="F17" s="7" t="n">
        <v>46188</v>
      </c>
      <c r="G17" s="6" t="inlineStr">
        <is>
          <t>Mercy Care Plan (AHCCCS) - Complete Care &amp; Long Term Care (LTC)</t>
        </is>
      </c>
      <c r="H17" s="6" t="inlineStr">
        <is>
          <t>Mercy Care Plan (AHCCCS) - Complete Care &amp; Long Term Care (LTC)</t>
        </is>
      </c>
      <c r="I17" s="6" t="inlineStr">
        <is>
          <t>No Payer</t>
        </is>
      </c>
      <c r="J17" s="8" t="inlineStr">
        <is>
          <t>75710+26+XU+LT x1; 76937+26 x1; 36246+59+LT x1; 37242 x1; 36245+59 x1; 75774+26+XU x4; 36248+59 x2</t>
        </is>
      </c>
      <c r="K17" s="4" t="n"/>
      <c r="L17" s="5">
        <f>IF($O17="","",$O17-TODAY())</f>
        <v/>
      </c>
      <c r="M17" s="5">
        <f>IF($F17="","",$F17+365-TODAY())</f>
        <v/>
      </c>
      <c r="N17" s="5">
        <f>IF($F17="","",$F17+365-TODAY())</f>
        <v/>
      </c>
      <c r="O17" s="7" t="n">
        <v>46368</v>
      </c>
      <c r="P17" s="6" t="inlineStr">
        <is>
          <t>180 days</t>
        </is>
      </c>
      <c r="Q17" s="6" t="inlineStr">
        <is>
          <t>MERCY CARE MEDICAID</t>
        </is>
      </c>
      <c r="R17" s="6" t="inlineStr">
        <is>
          <t>365 days</t>
        </is>
      </c>
      <c r="S17" s="6" t="inlineStr">
        <is>
          <t>Date of service</t>
        </is>
      </c>
      <c r="T17" s="6" t="inlineStr">
        <is>
          <t>365 days</t>
        </is>
      </c>
      <c r="U17" s="6" t="inlineStr">
        <is>
          <t>Date of service</t>
        </is>
      </c>
      <c r="V17" s="6" t="inlineStr">
        <is>
          <t>26, 59</t>
        </is>
      </c>
      <c r="W17" s="6" t="inlineStr">
        <is>
          <t>XU, LT</t>
        </is>
      </c>
      <c r="X17" s="6" t="inlineStr">
        <is>
          <t>LT</t>
        </is>
      </c>
      <c r="Y17" s="6" t="inlineStr">
        <is>
          <t>1, 4, 2</t>
        </is>
      </c>
      <c r="Z17" s="9" t="n">
        <v>69078.8</v>
      </c>
      <c r="AA17" s="9" t="n">
        <v>0</v>
      </c>
      <c r="AB17" s="9" t="n">
        <v>0</v>
      </c>
      <c r="AC17" s="7" t="n"/>
      <c r="AD17" s="9" t="n">
        <v>69078.8</v>
      </c>
      <c r="AE17" s="5" t="n">
        <v>54</v>
      </c>
      <c r="AF17" s="6" t="inlineStr">
        <is>
          <t>M1712</t>
        </is>
      </c>
      <c r="AG17" s="6" t="inlineStr">
        <is>
          <t>I798</t>
        </is>
      </c>
      <c r="AH17" s="6" t="inlineStr">
        <is>
          <t>M25562</t>
        </is>
      </c>
      <c r="AI17" s="6" t="n"/>
      <c r="AJ17" s="5" t="n"/>
      <c r="AK17" s="6" t="inlineStr">
        <is>
          <t>HUNTER, DREW</t>
        </is>
      </c>
      <c r="AL17" s="6" t="inlineStr">
        <is>
          <t>Premier Endoscopy Center, LLC</t>
        </is>
      </c>
      <c r="AM17" s="7" t="n">
        <v>46216</v>
      </c>
      <c r="AN17" s="6" t="inlineStr">
        <is>
          <t>GAE</t>
        </is>
      </c>
      <c r="AO17" s="6" t="inlineStr">
        <is>
          <t>959, 960, 961, 962, 964, 965, 966</t>
        </is>
      </c>
    </row>
    <row r="18">
      <c r="A18" s="2" t="n"/>
      <c r="B18" s="3" t="n"/>
      <c r="C18" s="4" t="n">
        <v>46225</v>
      </c>
      <c r="D18" s="5" t="n">
        <v>565108232</v>
      </c>
      <c r="E18" s="6" t="inlineStr">
        <is>
          <t>HF495515510</t>
        </is>
      </c>
      <c r="F18" s="7" t="n">
        <v>46195</v>
      </c>
      <c r="G18" s="6" t="inlineStr">
        <is>
          <t>Health Choice Arizona</t>
        </is>
      </c>
      <c r="H18" s="6" t="inlineStr">
        <is>
          <t>Health Choice Arizona</t>
        </is>
      </c>
      <c r="I18" s="6" t="inlineStr">
        <is>
          <t>No Payer</t>
        </is>
      </c>
      <c r="J18" s="8" t="inlineStr">
        <is>
          <t>75710+XU+LT x1; 75774+XU x5</t>
        </is>
      </c>
      <c r="K18" s="4" t="n"/>
      <c r="L18" s="5">
        <f>IF($O18="","",$O18-TODAY())</f>
        <v/>
      </c>
      <c r="M18" s="5">
        <f>IF($F18="","",$F18+365-TODAY())</f>
        <v/>
      </c>
      <c r="N18" s="5">
        <f>IF($F18="","",$F18+365-TODAY())</f>
        <v/>
      </c>
      <c r="O18" s="7" t="n">
        <v>46375</v>
      </c>
      <c r="P18" s="6" t="inlineStr">
        <is>
          <t>180 days</t>
        </is>
      </c>
      <c r="Q18" s="6" t="inlineStr">
        <is>
          <t>HEALTH CHOICE MEDICAID</t>
        </is>
      </c>
      <c r="R18" s="6" t="inlineStr">
        <is>
          <t>365 days</t>
        </is>
      </c>
      <c r="S18" s="6" t="inlineStr">
        <is>
          <t>Date of service</t>
        </is>
      </c>
      <c r="T18" s="6" t="inlineStr">
        <is>
          <t>365 days</t>
        </is>
      </c>
      <c r="U18" s="6" t="inlineStr">
        <is>
          <t>Date of service</t>
        </is>
      </c>
      <c r="V18" s="6" t="inlineStr">
        <is>
          <t>XU</t>
        </is>
      </c>
      <c r="W18" s="6" t="inlineStr">
        <is>
          <t>LT</t>
        </is>
      </c>
      <c r="X18" s="6" t="n"/>
      <c r="Y18" s="6" t="inlineStr">
        <is>
          <t>1, 5</t>
        </is>
      </c>
      <c r="Z18" s="9" t="n">
        <v>4393.69</v>
      </c>
      <c r="AA18" s="9" t="n">
        <v>0</v>
      </c>
      <c r="AB18" s="9" t="n">
        <v>0</v>
      </c>
      <c r="AC18" s="7" t="n">
        <v>46225</v>
      </c>
      <c r="AD18" s="9" t="n">
        <v>4393.69</v>
      </c>
      <c r="AE18" s="5" t="n">
        <v>47</v>
      </c>
      <c r="AF18" s="6" t="inlineStr">
        <is>
          <t>M1712</t>
        </is>
      </c>
      <c r="AG18" s="6" t="inlineStr">
        <is>
          <t>I798</t>
        </is>
      </c>
      <c r="AH18" s="6" t="inlineStr">
        <is>
          <t>M25562</t>
        </is>
      </c>
      <c r="AI18" s="6" t="n"/>
      <c r="AJ18" s="5" t="n"/>
      <c r="AK18" s="6" t="inlineStr">
        <is>
          <t>HUNTER, DREW</t>
        </is>
      </c>
      <c r="AL18" s="6" t="inlineStr">
        <is>
          <t>ASAP - DEER VALLEY</t>
        </is>
      </c>
      <c r="AM18" s="7" t="n">
        <v>46216</v>
      </c>
      <c r="AN18" s="6" t="inlineStr">
        <is>
          <t>GAE</t>
        </is>
      </c>
      <c r="AO18" s="6" t="inlineStr">
        <is>
          <t>948, 949</t>
        </is>
      </c>
    </row>
    <row r="19">
      <c r="A19" s="2" t="n"/>
      <c r="B19" s="3" t="n"/>
      <c r="C19" s="4" t="n">
        <v>46225</v>
      </c>
      <c r="D19" s="5" t="n">
        <v>562932709</v>
      </c>
      <c r="E19" s="6" t="inlineStr">
        <is>
          <t>HF456620712</t>
        </is>
      </c>
      <c r="F19" s="7" t="n">
        <v>46174</v>
      </c>
      <c r="G19" s="6" t="inlineStr">
        <is>
          <t>United HealthCare Dual Complete</t>
        </is>
      </c>
      <c r="H19" s="6" t="inlineStr">
        <is>
          <t>United HealthCare Dual Complete</t>
        </is>
      </c>
      <c r="I19" s="6" t="inlineStr">
        <is>
          <t>UnitedHealthcare Community Plan / Arizona Long Term Care</t>
        </is>
      </c>
      <c r="J19" s="8" t="inlineStr">
        <is>
          <t>75774+26+XU x3; 76937+26 x1; 36248+59 x1; 37242 x1; 36245+59 x1; 36246+59+LT x1; 75710+26+XU+LT x1</t>
        </is>
      </c>
      <c r="K19" s="4" t="n"/>
      <c r="L19" s="5">
        <f>IF($O19="","",$O19-TODAY())</f>
        <v/>
      </c>
      <c r="M19" s="5">
        <f>IF($C19="","",$C19+180-TODAY())</f>
        <v/>
      </c>
      <c r="N19" s="5">
        <f>IF($C19="","",$C19+365-TODAY())</f>
        <v/>
      </c>
      <c r="O19" s="7" t="n">
        <v>46539</v>
      </c>
      <c r="P19" s="6" t="inlineStr">
        <is>
          <t>365 days</t>
        </is>
      </c>
      <c r="Q19" s="6" t="inlineStr">
        <is>
          <t>UHC DUAL COMPLETE</t>
        </is>
      </c>
      <c r="R19" s="6" t="inlineStr">
        <is>
          <t>180 days</t>
        </is>
      </c>
      <c r="S19" s="6" t="inlineStr">
        <is>
          <t>Processed date</t>
        </is>
      </c>
      <c r="T19" s="6" t="inlineStr">
        <is>
          <t>365 days</t>
        </is>
      </c>
      <c r="U19" s="6" t="inlineStr">
        <is>
          <t>Processed date</t>
        </is>
      </c>
      <c r="V19" s="6" t="inlineStr">
        <is>
          <t>26, 59</t>
        </is>
      </c>
      <c r="W19" s="6" t="inlineStr">
        <is>
          <t>XU, LT</t>
        </is>
      </c>
      <c r="X19" s="6" t="inlineStr">
        <is>
          <t>LT</t>
        </is>
      </c>
      <c r="Y19" s="6" t="inlineStr">
        <is>
          <t>3, 1</t>
        </is>
      </c>
      <c r="Z19" s="9" t="n">
        <v>67599.91</v>
      </c>
      <c r="AA19" s="9" t="n">
        <v>0</v>
      </c>
      <c r="AB19" s="9" t="n">
        <v>0</v>
      </c>
      <c r="AC19" s="7" t="n">
        <v>46225</v>
      </c>
      <c r="AD19" s="9" t="n">
        <v>67599.91</v>
      </c>
      <c r="AE19" s="5" t="n">
        <v>68</v>
      </c>
      <c r="AF19" s="6" t="inlineStr">
        <is>
          <t>M1712</t>
        </is>
      </c>
      <c r="AG19" s="6" t="inlineStr">
        <is>
          <t>I798</t>
        </is>
      </c>
      <c r="AH19" s="6" t="inlineStr">
        <is>
          <t>M25562</t>
        </is>
      </c>
      <c r="AI19" s="6" t="n"/>
      <c r="AJ19" s="5" t="n"/>
      <c r="AK19" s="6" t="inlineStr">
        <is>
          <t>HUNTER, DREW</t>
        </is>
      </c>
      <c r="AL19" s="6" t="inlineStr">
        <is>
          <t>Premier Endoscopy Center, LLC</t>
        </is>
      </c>
      <c r="AM19" s="7" t="n">
        <v>46193</v>
      </c>
      <c r="AN19" s="6" t="inlineStr">
        <is>
          <t>GAE</t>
        </is>
      </c>
      <c r="AO19" s="6" t="inlineStr">
        <is>
          <t>189, 190, 191, 203, 204, 205, 206</t>
        </is>
      </c>
    </row>
    <row r="20">
      <c r="A20" s="2" t="n"/>
      <c r="B20" s="3" t="n"/>
      <c r="C20" s="4" t="n"/>
      <c r="D20" s="5" t="n">
        <v>565105413</v>
      </c>
      <c r="E20" s="6" t="inlineStr">
        <is>
          <t>HF556732512</t>
        </is>
      </c>
      <c r="F20" s="7" t="n">
        <v>46188</v>
      </c>
      <c r="G20" s="6" t="inlineStr">
        <is>
          <t>Medicare Part B Arizona *</t>
        </is>
      </c>
      <c r="H20" s="6" t="inlineStr">
        <is>
          <t>Medicare Part B Arizona *</t>
        </is>
      </c>
      <c r="I20" s="6" t="inlineStr">
        <is>
          <t>CIGNA</t>
        </is>
      </c>
      <c r="J20" s="8" t="inlineStr">
        <is>
          <t>36246+59+RT x1; 36248+59 x3; 37242 x1; 76937+26 x1; 75774+26+XU x5; 75710+26+XU+RT x1; 36245+59 x1</t>
        </is>
      </c>
      <c r="K20" s="4" t="n"/>
      <c r="L20" s="5">
        <f>IF($O20="","",$O20-TODAY())</f>
        <v/>
      </c>
      <c r="M20" s="5">
        <f>IF($C20="","",$C20+365-TODAY())</f>
        <v/>
      </c>
      <c r="N20" s="5">
        <f>IF($C20="","",$C20+120-TODAY())</f>
        <v/>
      </c>
      <c r="O20" s="7" t="n">
        <v>46553</v>
      </c>
      <c r="P20" s="6" t="inlineStr">
        <is>
          <t>365 days</t>
        </is>
      </c>
      <c r="Q20" s="6" t="inlineStr">
        <is>
          <t>MEDICARE</t>
        </is>
      </c>
      <c r="R20" s="6" t="inlineStr">
        <is>
          <t>365 days</t>
        </is>
      </c>
      <c r="S20" s="6" t="inlineStr">
        <is>
          <t>Processed date</t>
        </is>
      </c>
      <c r="T20" s="6" t="inlineStr">
        <is>
          <t>120 days</t>
        </is>
      </c>
      <c r="U20" s="6" t="inlineStr">
        <is>
          <t>Processed date</t>
        </is>
      </c>
      <c r="V20" s="6" t="inlineStr">
        <is>
          <t>59, 26</t>
        </is>
      </c>
      <c r="W20" s="6" t="inlineStr">
        <is>
          <t>RT, XU</t>
        </is>
      </c>
      <c r="X20" s="6" t="inlineStr">
        <is>
          <t>RT</t>
        </is>
      </c>
      <c r="Y20" s="6" t="inlineStr">
        <is>
          <t>1, 3, 5</t>
        </is>
      </c>
      <c r="Z20" s="9" t="n">
        <v>70557.69</v>
      </c>
      <c r="AA20" s="9" t="n">
        <v>0</v>
      </c>
      <c r="AB20" s="9" t="n">
        <v>0</v>
      </c>
      <c r="AC20" s="7" t="n"/>
      <c r="AD20" s="9" t="n">
        <v>70557.69</v>
      </c>
      <c r="AE20" s="5" t="n">
        <v>54</v>
      </c>
      <c r="AF20" s="6" t="inlineStr">
        <is>
          <t>M1711</t>
        </is>
      </c>
      <c r="AG20" s="6" t="inlineStr">
        <is>
          <t>I798</t>
        </is>
      </c>
      <c r="AH20" s="6" t="inlineStr">
        <is>
          <t>M25561</t>
        </is>
      </c>
      <c r="AI20" s="6" t="n"/>
      <c r="AJ20" s="5" t="n"/>
      <c r="AK20" s="6" t="inlineStr">
        <is>
          <t>HUNTER, DREW</t>
        </is>
      </c>
      <c r="AL20" s="6" t="inlineStr">
        <is>
          <t>Premier Endoscopy Center, LLC</t>
        </is>
      </c>
      <c r="AM20" s="7" t="n">
        <v>46216</v>
      </c>
      <c r="AN20" s="6" t="inlineStr">
        <is>
          <t>GAE</t>
        </is>
      </c>
      <c r="AO20" s="6" t="inlineStr">
        <is>
          <t>877, 878, 920, 921, 922, 923, 924</t>
        </is>
      </c>
    </row>
    <row r="21">
      <c r="A21" s="2" t="n"/>
      <c r="B21" s="3" t="n"/>
      <c r="C21" s="4" t="n"/>
      <c r="D21" s="5" t="n">
        <v>565103359</v>
      </c>
      <c r="E21" s="6" t="inlineStr">
        <is>
          <t>HF541743150</t>
        </is>
      </c>
      <c r="F21" s="7" t="n">
        <v>46195</v>
      </c>
      <c r="G21" s="6" t="inlineStr">
        <is>
          <t>Medicare Part B Arizona *</t>
        </is>
      </c>
      <c r="H21" s="6" t="inlineStr">
        <is>
          <t>Medicare Part B Arizona *</t>
        </is>
      </c>
      <c r="I21" s="6" t="inlineStr">
        <is>
          <t>Cigna Medicare Supplemental Benefit Plans - Relay Health 13193</t>
        </is>
      </c>
      <c r="J21" s="8" t="inlineStr">
        <is>
          <t>36245+59 x5; 75774+26+XU x5; 75710+26+XU+RT x1; 76937+26 x1; 37242 x1</t>
        </is>
      </c>
      <c r="K21" s="4" t="n"/>
      <c r="L21" s="5">
        <f>IF($O21="","",$O21-TODAY())</f>
        <v/>
      </c>
      <c r="M21" s="5">
        <f>IF($C21="","",$C21+365-TODAY())</f>
        <v/>
      </c>
      <c r="N21" s="5">
        <f>IF($C21="","",$C21+120-TODAY())</f>
        <v/>
      </c>
      <c r="O21" s="7" t="n">
        <v>46560</v>
      </c>
      <c r="P21" s="6" t="inlineStr">
        <is>
          <t>365 days</t>
        </is>
      </c>
      <c r="Q21" s="6" t="inlineStr">
        <is>
          <t>MEDICARE</t>
        </is>
      </c>
      <c r="R21" s="6" t="inlineStr">
        <is>
          <t>365 days</t>
        </is>
      </c>
      <c r="S21" s="6" t="inlineStr">
        <is>
          <t>Processed date</t>
        </is>
      </c>
      <c r="T21" s="6" t="inlineStr">
        <is>
          <t>120 days</t>
        </is>
      </c>
      <c r="U21" s="6" t="inlineStr">
        <is>
          <t>Processed date</t>
        </is>
      </c>
      <c r="V21" s="6" t="inlineStr">
        <is>
          <t>59, 26</t>
        </is>
      </c>
      <c r="W21" s="6" t="inlineStr">
        <is>
          <t>XU</t>
        </is>
      </c>
      <c r="X21" s="6" t="inlineStr">
        <is>
          <t>RT</t>
        </is>
      </c>
      <c r="Y21" s="6" t="inlineStr">
        <is>
          <t>5, 1</t>
        </is>
      </c>
      <c r="Z21" s="9" t="n">
        <v>96657.89</v>
      </c>
      <c r="AA21" s="9" t="n">
        <v>0</v>
      </c>
      <c r="AB21" s="9" t="n">
        <v>0</v>
      </c>
      <c r="AC21" s="7" t="n"/>
      <c r="AD21" s="9" t="n">
        <v>96657.89</v>
      </c>
      <c r="AE21" s="5" t="n">
        <v>47</v>
      </c>
      <c r="AF21" s="6" t="inlineStr">
        <is>
          <t>M1711</t>
        </is>
      </c>
      <c r="AG21" s="6" t="inlineStr">
        <is>
          <t>I798</t>
        </is>
      </c>
      <c r="AH21" s="6" t="inlineStr">
        <is>
          <t>M25561</t>
        </is>
      </c>
      <c r="AI21" s="6" t="n"/>
      <c r="AJ21" s="5" t="n"/>
      <c r="AK21" s="6" t="inlineStr">
        <is>
          <t>HUNTER, DREW</t>
        </is>
      </c>
      <c r="AL21" s="6" t="inlineStr">
        <is>
          <t>ASAP Surgery Centers North Valley LLC</t>
        </is>
      </c>
      <c r="AM21" s="7" t="n">
        <v>46216</v>
      </c>
      <c r="AN21" s="6" t="inlineStr">
        <is>
          <t>GAE</t>
        </is>
      </c>
      <c r="AO21" s="6" t="inlineStr">
        <is>
          <t>308, 309, 312, 313, 314</t>
        </is>
      </c>
    </row>
    <row r="22">
      <c r="A22" s="2" t="n"/>
      <c r="B22" s="3" t="n"/>
      <c r="C22" s="4" t="n"/>
      <c r="D22" s="5" t="n">
        <v>566102944</v>
      </c>
      <c r="E22" s="6" t="inlineStr">
        <is>
          <t>HF562630958</t>
        </is>
      </c>
      <c r="F22" s="7" t="n">
        <v>46202</v>
      </c>
      <c r="G22" s="6" t="inlineStr">
        <is>
          <t>Medicare Part B Arizona *</t>
        </is>
      </c>
      <c r="H22" s="6" t="inlineStr">
        <is>
          <t>Medicare Part B Arizona *</t>
        </is>
      </c>
      <c r="I22" s="6" t="inlineStr">
        <is>
          <t>USAA Life Insurance Company</t>
        </is>
      </c>
      <c r="J22" s="8" t="inlineStr">
        <is>
          <t>36247+59+RT x1; 76937+26 x1; 37242 x1; 75710+26+XU+RT x1; 36248+59 x4; 75774+26+XU x5</t>
        </is>
      </c>
      <c r="K22" s="4" t="n"/>
      <c r="L22" s="5">
        <f>IF($O22="","",$O22-TODAY())</f>
        <v/>
      </c>
      <c r="M22" s="5">
        <f>IF($C22="","",$C22+365-TODAY())</f>
        <v/>
      </c>
      <c r="N22" s="5">
        <f>IF($C22="","",$C22+120-TODAY())</f>
        <v/>
      </c>
      <c r="O22" s="7" t="n">
        <v>46567</v>
      </c>
      <c r="P22" s="6" t="inlineStr">
        <is>
          <t>365 days</t>
        </is>
      </c>
      <c r="Q22" s="6" t="inlineStr">
        <is>
          <t>MEDICARE</t>
        </is>
      </c>
      <c r="R22" s="6" t="inlineStr">
        <is>
          <t>365 days</t>
        </is>
      </c>
      <c r="S22" s="6" t="inlineStr">
        <is>
          <t>Processed date</t>
        </is>
      </c>
      <c r="T22" s="6" t="inlineStr">
        <is>
          <t>120 days</t>
        </is>
      </c>
      <c r="U22" s="6" t="inlineStr">
        <is>
          <t>Processed date</t>
        </is>
      </c>
      <c r="V22" s="6" t="inlineStr">
        <is>
          <t>59, 26</t>
        </is>
      </c>
      <c r="W22" s="6" t="inlineStr">
        <is>
          <t>RT, XU</t>
        </is>
      </c>
      <c r="X22" s="6" t="inlineStr">
        <is>
          <t>RT</t>
        </is>
      </c>
      <c r="Y22" s="6" t="inlineStr">
        <is>
          <t>1, 4, 5</t>
        </is>
      </c>
      <c r="Z22" s="9" t="n">
        <v>66855.03999999999</v>
      </c>
      <c r="AA22" s="9" t="n">
        <v>0</v>
      </c>
      <c r="AB22" s="9" t="n">
        <v>0</v>
      </c>
      <c r="AC22" s="7" t="n"/>
      <c r="AD22" s="9" t="n">
        <v>66855.03999999999</v>
      </c>
      <c r="AE22" s="5" t="n">
        <v>40</v>
      </c>
      <c r="AF22" s="6" t="inlineStr">
        <is>
          <t>M1711</t>
        </is>
      </c>
      <c r="AG22" s="6" t="inlineStr">
        <is>
          <t>I798</t>
        </is>
      </c>
      <c r="AH22" s="6" t="inlineStr">
        <is>
          <t>M25561</t>
        </is>
      </c>
      <c r="AI22" s="6" t="n"/>
      <c r="AJ22" s="5" t="n"/>
      <c r="AK22" s="6" t="inlineStr">
        <is>
          <t>HUNTER, DREW</t>
        </is>
      </c>
      <c r="AL22" s="6" t="inlineStr">
        <is>
          <t>Premier Endoscopy Center, LLC</t>
        </is>
      </c>
      <c r="AM22" s="7" t="n">
        <v>46216</v>
      </c>
      <c r="AN22" s="6" t="inlineStr">
        <is>
          <t>GAE</t>
        </is>
      </c>
      <c r="AO22" s="6" t="inlineStr">
        <is>
          <t>950, 1021, 1022, 1023, 1024, 1025</t>
        </is>
      </c>
    </row>
    <row r="23">
      <c r="A23" s="2" t="n"/>
      <c r="B23" s="3" t="n"/>
      <c r="C23" s="4" t="n">
        <v>46223</v>
      </c>
      <c r="D23" s="5" t="n">
        <v>565099868</v>
      </c>
      <c r="E23" s="6" t="inlineStr">
        <is>
          <t>HF548665870</t>
        </is>
      </c>
      <c r="F23" s="7" t="n">
        <v>46174</v>
      </c>
      <c r="G23" s="6" t="inlineStr">
        <is>
          <t>Devoted Health Plan</t>
        </is>
      </c>
      <c r="H23" s="6" t="inlineStr">
        <is>
          <t>Devoted Health Plan</t>
        </is>
      </c>
      <c r="I23" s="6" t="inlineStr">
        <is>
          <t>No Payer</t>
        </is>
      </c>
      <c r="J23" s="8" t="inlineStr">
        <is>
          <t>36246+59+RT x1; 36245+59 x1; 75710+26+XU+RT x1; 37242 x1; 36248+59 x3; 76937+26 x1; 75774+26+XU x5</t>
        </is>
      </c>
      <c r="K23" s="4" t="n"/>
      <c r="L23" s="5">
        <f>IF($O23="","",$O23-TODAY())</f>
        <v/>
      </c>
      <c r="M23" s="5">
        <f>IF($C23="","",$C23+365-TODAY())</f>
        <v/>
      </c>
      <c r="N23" s="5">
        <f>IF($C23="","",$C23+90-TODAY())</f>
        <v/>
      </c>
      <c r="O23" s="7" t="n">
        <v>46234</v>
      </c>
      <c r="P23" s="6" t="inlineStr">
        <is>
          <t>60 days</t>
        </is>
      </c>
      <c r="Q23" s="6" t="inlineStr">
        <is>
          <t>DEVOTED</t>
        </is>
      </c>
      <c r="R23" s="6" t="inlineStr">
        <is>
          <t>365 days</t>
        </is>
      </c>
      <c r="S23" s="6" t="inlineStr">
        <is>
          <t>Processed date</t>
        </is>
      </c>
      <c r="T23" s="6" t="inlineStr">
        <is>
          <t>90 days</t>
        </is>
      </c>
      <c r="U23" s="6" t="inlineStr">
        <is>
          <t>Processed date</t>
        </is>
      </c>
      <c r="V23" s="6" t="inlineStr">
        <is>
          <t>59, 26</t>
        </is>
      </c>
      <c r="W23" s="6" t="inlineStr">
        <is>
          <t>RT, XU</t>
        </is>
      </c>
      <c r="X23" s="6" t="inlineStr">
        <is>
          <t>RT</t>
        </is>
      </c>
      <c r="Y23" s="6" t="inlineStr">
        <is>
          <t>1, 3, 5</t>
        </is>
      </c>
      <c r="Z23" s="9" t="n">
        <v>70557.69</v>
      </c>
      <c r="AA23" s="9" t="n">
        <v>0</v>
      </c>
      <c r="AB23" s="9" t="n">
        <v>0</v>
      </c>
      <c r="AC23" s="7" t="n">
        <v>46223</v>
      </c>
      <c r="AD23" s="9" t="n">
        <v>70557.69</v>
      </c>
      <c r="AE23" s="5" t="n">
        <v>68</v>
      </c>
      <c r="AF23" s="6" t="inlineStr">
        <is>
          <t>M1711</t>
        </is>
      </c>
      <c r="AG23" s="6" t="inlineStr">
        <is>
          <t>I798</t>
        </is>
      </c>
      <c r="AH23" s="6" t="inlineStr">
        <is>
          <t>M25561</t>
        </is>
      </c>
      <c r="AI23" s="6" t="n"/>
      <c r="AJ23" s="5" t="n"/>
      <c r="AK23" s="6" t="inlineStr">
        <is>
          <t>HUNTER, DREW</t>
        </is>
      </c>
      <c r="AL23" s="6" t="inlineStr">
        <is>
          <t>Premier Endoscopy Center, LLC</t>
        </is>
      </c>
      <c r="AM23" s="7" t="n">
        <v>46216</v>
      </c>
      <c r="AN23" s="6" t="inlineStr">
        <is>
          <t>GAE</t>
        </is>
      </c>
      <c r="AO23" s="6" t="inlineStr">
        <is>
          <t>533, 534, 535, 536, 537, 538, 539</t>
        </is>
      </c>
    </row>
  </sheetData>
  <autoFilter ref="A1:AO23"/>
  <conditionalFormatting sqref="L2:L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3">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3">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3">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O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inlineStr">
        <is>
          <t>PAID</t>
        </is>
      </c>
      <c r="B2" s="3" t="inlineStr">
        <is>
          <t>Pending posting</t>
        </is>
      </c>
      <c r="C2" s="4" t="n"/>
      <c r="D2" s="5" t="n">
        <v>565931559</v>
      </c>
      <c r="E2" s="6" t="inlineStr">
        <is>
          <t>HF549060053</t>
        </is>
      </c>
      <c r="F2" s="7" t="n">
        <v>46190</v>
      </c>
      <c r="G2" s="6" t="inlineStr">
        <is>
          <t>Devoted Health Plan</t>
        </is>
      </c>
      <c r="H2" s="6" t="inlineStr">
        <is>
          <t>Devoted Health Plan</t>
        </is>
      </c>
      <c r="I2" s="6" t="inlineStr">
        <is>
          <t>No Payer</t>
        </is>
      </c>
      <c r="J2" s="8" t="inlineStr">
        <is>
          <t>63047 x1; 63048 x1</t>
        </is>
      </c>
      <c r="K2" s="4" t="n"/>
      <c r="L2" s="5">
        <f>IF($O2="","",$O2-TODAY())</f>
        <v/>
      </c>
      <c r="M2" s="5">
        <f>IF($C2="","",$C2+365-TODAY())</f>
        <v/>
      </c>
      <c r="N2" s="5">
        <f>IF($C2="","",$C2+90-TODAY())</f>
        <v/>
      </c>
      <c r="O2" s="7" t="n">
        <v>46250</v>
      </c>
      <c r="P2" s="6" t="inlineStr">
        <is>
          <t>60 days</t>
        </is>
      </c>
      <c r="Q2" s="6" t="inlineStr">
        <is>
          <t>DEVOTED</t>
        </is>
      </c>
      <c r="R2" s="6" t="inlineStr">
        <is>
          <t>365 days</t>
        </is>
      </c>
      <c r="S2" s="6" t="inlineStr">
        <is>
          <t>Processed date</t>
        </is>
      </c>
      <c r="T2" s="6" t="inlineStr">
        <is>
          <t>90 days</t>
        </is>
      </c>
      <c r="U2" s="6" t="inlineStr">
        <is>
          <t>Processed date</t>
        </is>
      </c>
      <c r="V2" s="6" t="n"/>
      <c r="W2" s="6" t="n"/>
      <c r="X2" s="6" t="n"/>
      <c r="Y2" s="6" t="inlineStr">
        <is>
          <t>1</t>
        </is>
      </c>
      <c r="Z2" s="9" t="n">
        <v>9056.389999999999</v>
      </c>
      <c r="AA2" s="9" t="n">
        <v>0</v>
      </c>
      <c r="AB2" s="9" t="n">
        <v>0</v>
      </c>
      <c r="AC2" s="7" t="n"/>
      <c r="AD2" s="9" t="n">
        <v>9056.389999999999</v>
      </c>
      <c r="AE2" s="5" t="n">
        <v>52</v>
      </c>
      <c r="AF2" s="6" t="inlineStr">
        <is>
          <t>M48062</t>
        </is>
      </c>
      <c r="AG2" s="6" t="n"/>
      <c r="AH2" s="6" t="n"/>
      <c r="AI2" s="6" t="n"/>
      <c r="AJ2" s="5" t="n"/>
      <c r="AK2" s="6" t="inlineStr">
        <is>
          <t>MAYURAN, VIKRAM</t>
        </is>
      </c>
      <c r="AL2" s="6" t="inlineStr">
        <is>
          <t>ASAP Surgery Centers North Valley LLC</t>
        </is>
      </c>
      <c r="AM2" s="7" t="n">
        <v>46210</v>
      </c>
      <c r="AN2" s="6" t="inlineStr">
        <is>
          <t>ORTHO</t>
        </is>
      </c>
      <c r="AO2" s="6" t="inlineStr">
        <is>
          <t>865, 866</t>
        </is>
      </c>
    </row>
    <row r="3">
      <c r="A3" s="2" t="n"/>
      <c r="B3" s="3" t="n"/>
      <c r="C3" s="4" t="n"/>
      <c r="D3" s="5" t="n">
        <v>562557056</v>
      </c>
      <c r="E3" s="6" t="inlineStr">
        <is>
          <t>HF548971165</t>
        </is>
      </c>
      <c r="F3" s="7" t="n">
        <v>46174</v>
      </c>
      <c r="G3" s="6" t="inlineStr">
        <is>
          <t>UnitedHealthcare Community Plan / Arizona Long Term Care</t>
        </is>
      </c>
      <c r="H3" s="6" t="inlineStr">
        <is>
          <t>UnitedHealthcare Community Plan / Arizona Long Term Care</t>
        </is>
      </c>
      <c r="I3" s="6" t="inlineStr">
        <is>
          <t>Mercy Care Plan (AHCCCS) - Complete Care &amp; Long Term Care (LTC)</t>
        </is>
      </c>
      <c r="J3" s="8" t="inlineStr">
        <is>
          <t>63047 x1; 63048 x1</t>
        </is>
      </c>
      <c r="K3" s="4" t="n"/>
      <c r="L3" s="5">
        <f>IF($O3="","",$O3-TODAY())</f>
        <v/>
      </c>
      <c r="M3" s="5">
        <f>IF($C3="","",$C3+180-TODAY())</f>
        <v/>
      </c>
      <c r="N3" s="5">
        <f>IF($C3="","",$C3+365-TODAY())</f>
        <v/>
      </c>
      <c r="O3" s="7" t="n">
        <v>46264</v>
      </c>
      <c r="P3" s="6" t="inlineStr">
        <is>
          <t>90 days</t>
        </is>
      </c>
      <c r="Q3" s="6" t="inlineStr">
        <is>
          <t>UHC COMMUNITY</t>
        </is>
      </c>
      <c r="R3" s="6" t="inlineStr">
        <is>
          <t>180 days</t>
        </is>
      </c>
      <c r="S3" s="6" t="inlineStr">
        <is>
          <t>Processed date</t>
        </is>
      </c>
      <c r="T3" s="6" t="inlineStr">
        <is>
          <t>365 days</t>
        </is>
      </c>
      <c r="U3" s="6" t="inlineStr">
        <is>
          <t>Processed date</t>
        </is>
      </c>
      <c r="V3" s="6" t="n"/>
      <c r="W3" s="6" t="n"/>
      <c r="X3" s="6" t="n"/>
      <c r="Y3" s="6" t="inlineStr">
        <is>
          <t>1</t>
        </is>
      </c>
      <c r="Z3" s="9" t="n">
        <v>9056.389999999999</v>
      </c>
      <c r="AA3" s="9" t="n">
        <v>0</v>
      </c>
      <c r="AB3" s="9" t="n">
        <v>0</v>
      </c>
      <c r="AC3" s="7" t="n"/>
      <c r="AD3" s="9" t="n">
        <v>9056.389999999999</v>
      </c>
      <c r="AE3" s="5" t="n">
        <v>68</v>
      </c>
      <c r="AF3" s="6" t="inlineStr">
        <is>
          <t>M4316</t>
        </is>
      </c>
      <c r="AG3" s="6" t="inlineStr">
        <is>
          <t>M48062</t>
        </is>
      </c>
      <c r="AH3" s="6" t="inlineStr">
        <is>
          <t>M51362</t>
        </is>
      </c>
      <c r="AI3" s="6" t="inlineStr">
        <is>
          <t>M4726</t>
        </is>
      </c>
      <c r="AJ3" s="5" t="n"/>
      <c r="AK3" s="6" t="inlineStr">
        <is>
          <t>MCCUNNIFF, PETER</t>
        </is>
      </c>
      <c r="AL3" s="6" t="inlineStr">
        <is>
          <t>ASAP Surgery Centers North Valley LLC</t>
        </is>
      </c>
      <c r="AM3" s="7" t="n">
        <v>46190</v>
      </c>
      <c r="AN3" s="6" t="inlineStr">
        <is>
          <t>ORTHO</t>
        </is>
      </c>
      <c r="AO3" s="6" t="inlineStr">
        <is>
          <t>835, 837</t>
        </is>
      </c>
    </row>
    <row r="4">
      <c r="A4" s="2" t="n"/>
      <c r="B4" s="3" t="n"/>
      <c r="C4" s="4" t="n">
        <v>46197</v>
      </c>
      <c r="D4" s="5" t="n">
        <v>562559783</v>
      </c>
      <c r="E4" s="6" t="inlineStr">
        <is>
          <t>HF554317461</t>
        </is>
      </c>
      <c r="F4" s="7" t="n">
        <v>46177</v>
      </c>
      <c r="G4" s="6" t="inlineStr">
        <is>
          <t>UnitedHealthcare Community Plan / Arizona Long Term Care</t>
        </is>
      </c>
      <c r="H4" s="6" t="inlineStr">
        <is>
          <t>UnitedHealthcare Community Plan / Arizona Long Term Care</t>
        </is>
      </c>
      <c r="I4" s="6" t="inlineStr">
        <is>
          <t>No Payer</t>
        </is>
      </c>
      <c r="J4" s="8" t="inlineStr">
        <is>
          <t>63048 x1; 63047 x1</t>
        </is>
      </c>
      <c r="K4" s="4" t="n"/>
      <c r="L4" s="5">
        <f>IF($O4="","",$O4-TODAY())</f>
        <v/>
      </c>
      <c r="M4" s="5">
        <f>IF($C4="","",$C4+180-TODAY())</f>
        <v/>
      </c>
      <c r="N4" s="5">
        <f>IF($C4="","",$C4+365-TODAY())</f>
        <v/>
      </c>
      <c r="O4" s="7" t="n">
        <v>46267</v>
      </c>
      <c r="P4" s="6" t="inlineStr">
        <is>
          <t>90 days</t>
        </is>
      </c>
      <c r="Q4" s="6" t="inlineStr">
        <is>
          <t>UHC COMMUNITY</t>
        </is>
      </c>
      <c r="R4" s="6" t="inlineStr">
        <is>
          <t>180 days</t>
        </is>
      </c>
      <c r="S4" s="6" t="inlineStr">
        <is>
          <t>Processed date</t>
        </is>
      </c>
      <c r="T4" s="6" t="inlineStr">
        <is>
          <t>365 days</t>
        </is>
      </c>
      <c r="U4" s="6" t="inlineStr">
        <is>
          <t>Processed date</t>
        </is>
      </c>
      <c r="V4" s="6" t="n"/>
      <c r="W4" s="6" t="n"/>
      <c r="X4" s="6" t="n"/>
      <c r="Y4" s="6" t="inlineStr">
        <is>
          <t>1</t>
        </is>
      </c>
      <c r="Z4" s="9" t="n">
        <v>9056.389999999999</v>
      </c>
      <c r="AA4" s="9" t="n">
        <v>0</v>
      </c>
      <c r="AB4" s="9" t="n">
        <v>0</v>
      </c>
      <c r="AC4" s="7" t="n">
        <v>46197</v>
      </c>
      <c r="AD4" s="9" t="n">
        <v>9056.389999999999</v>
      </c>
      <c r="AE4" s="5" t="n">
        <v>65</v>
      </c>
      <c r="AF4" s="6" t="inlineStr">
        <is>
          <t>M48062</t>
        </is>
      </c>
      <c r="AG4" s="6" t="inlineStr">
        <is>
          <t>M4726</t>
        </is>
      </c>
      <c r="AH4" s="6" t="inlineStr">
        <is>
          <t>M5416</t>
        </is>
      </c>
      <c r="AI4" s="6" t="inlineStr">
        <is>
          <t>Q7649</t>
        </is>
      </c>
      <c r="AJ4" s="5" t="n"/>
      <c r="AK4" s="6" t="inlineStr">
        <is>
          <t>MCCUNNIFF, PETER</t>
        </is>
      </c>
      <c r="AL4" s="6" t="inlineStr">
        <is>
          <t>ASAP Surgery Centers North Valley LLC</t>
        </is>
      </c>
      <c r="AM4" s="7" t="n">
        <v>46190</v>
      </c>
      <c r="AN4" s="6" t="inlineStr">
        <is>
          <t>ORTHO</t>
        </is>
      </c>
      <c r="AO4" s="6" t="inlineStr">
        <is>
          <t>211, 212</t>
        </is>
      </c>
    </row>
    <row r="5">
      <c r="A5" s="2" t="n"/>
      <c r="B5" s="3" t="n"/>
      <c r="C5" s="4" t="n"/>
      <c r="D5" s="5" t="n">
        <v>563834859</v>
      </c>
      <c r="E5" s="6" t="inlineStr">
        <is>
          <t>HF557358588</t>
        </is>
      </c>
      <c r="F5" s="7" t="n">
        <v>46177</v>
      </c>
      <c r="G5" s="6" t="inlineStr">
        <is>
          <t>UHC Group Medicare Advantage</t>
        </is>
      </c>
      <c r="H5" s="6" t="inlineStr">
        <is>
          <t>UHC Group Medicare Advantage</t>
        </is>
      </c>
      <c r="I5" s="6" t="inlineStr">
        <is>
          <t>No Payer</t>
        </is>
      </c>
      <c r="J5" s="8" t="inlineStr">
        <is>
          <t>63655 x1; 63685 x1</t>
        </is>
      </c>
      <c r="K5" s="4" t="n"/>
      <c r="L5" s="5">
        <f>IF($O5="","",$O5-TODAY())</f>
        <v/>
      </c>
      <c r="M5" s="5">
        <f>IF($C5="","",$C5+180-TODAY())</f>
        <v/>
      </c>
      <c r="N5" s="5">
        <f>IF($C5="","",$C5+365-TODAY())</f>
        <v/>
      </c>
      <c r="O5" s="7" t="n">
        <v>46267</v>
      </c>
      <c r="P5" s="6" t="inlineStr">
        <is>
          <t>90 days</t>
        </is>
      </c>
      <c r="Q5" s="6" t="inlineStr">
        <is>
          <t>UHC MA</t>
        </is>
      </c>
      <c r="R5" s="6" t="inlineStr">
        <is>
          <t>180 days</t>
        </is>
      </c>
      <c r="S5" s="6" t="inlineStr">
        <is>
          <t>Processed date</t>
        </is>
      </c>
      <c r="T5" s="6" t="inlineStr">
        <is>
          <t>365 days</t>
        </is>
      </c>
      <c r="U5" s="6" t="inlineStr">
        <is>
          <t>Processed date</t>
        </is>
      </c>
      <c r="V5" s="6" t="n"/>
      <c r="W5" s="6" t="n"/>
      <c r="X5" s="6" t="n"/>
      <c r="Y5" s="6" t="inlineStr">
        <is>
          <t>1</t>
        </is>
      </c>
      <c r="Z5" s="9" t="n">
        <v>8277.57</v>
      </c>
      <c r="AA5" s="9" t="n">
        <v>0</v>
      </c>
      <c r="AB5" s="9" t="n">
        <v>0</v>
      </c>
      <c r="AC5" s="7" t="n"/>
      <c r="AD5" s="9" t="n">
        <v>8277.57</v>
      </c>
      <c r="AE5" s="5" t="n">
        <v>65</v>
      </c>
      <c r="AF5" s="6" t="inlineStr">
        <is>
          <t>M5450</t>
        </is>
      </c>
      <c r="AG5" s="6" t="inlineStr">
        <is>
          <t>G894</t>
        </is>
      </c>
      <c r="AH5" s="6" t="inlineStr">
        <is>
          <t>M4316</t>
        </is>
      </c>
      <c r="AI5" s="6" t="n"/>
      <c r="AJ5" s="5" t="n"/>
      <c r="AK5" s="6" t="inlineStr">
        <is>
          <t>MAYURAN, VIKRAM</t>
        </is>
      </c>
      <c r="AL5" s="6" t="inlineStr">
        <is>
          <t>ASAP Surgery Centers North Valley LLC</t>
        </is>
      </c>
      <c r="AM5" s="7" t="n">
        <v>46203</v>
      </c>
      <c r="AN5" s="6" t="inlineStr">
        <is>
          <t>ORTHO</t>
        </is>
      </c>
      <c r="AO5" s="6" t="inlineStr">
        <is>
          <t>219, 220</t>
        </is>
      </c>
    </row>
    <row r="6">
      <c r="A6" s="2" t="n"/>
      <c r="B6" s="3" t="n"/>
      <c r="C6" s="4" t="n"/>
      <c r="D6" s="5" t="n">
        <v>562567344</v>
      </c>
      <c r="E6" s="6" t="inlineStr">
        <is>
          <t>HF329403331</t>
        </is>
      </c>
      <c r="F6" s="7" t="n">
        <v>46181</v>
      </c>
      <c r="G6" s="6" t="inlineStr">
        <is>
          <t>Optum Care Medical Network of Arizona, Utah, &amp; Washington (LifePrint)</t>
        </is>
      </c>
      <c r="H6" s="6" t="inlineStr">
        <is>
          <t>Optum Care Medical Network of Arizona, Utah, &amp; Washington (LifePrint)</t>
        </is>
      </c>
      <c r="I6" s="6" t="inlineStr">
        <is>
          <t>No Payer</t>
        </is>
      </c>
      <c r="J6" s="8" t="inlineStr">
        <is>
          <t>22845+59 x1; 22853+59 x1; 22853 x1; 22551 x1</t>
        </is>
      </c>
      <c r="K6" s="4" t="n"/>
      <c r="L6" s="5">
        <f>IF($O6="","",$O6-TODAY())</f>
        <v/>
      </c>
      <c r="M6" s="5">
        <f>IF($C6="","",$C6+365-TODAY())</f>
        <v/>
      </c>
      <c r="N6" s="5">
        <f>IF($C6="","",$C6+365-TODAY())</f>
        <v/>
      </c>
      <c r="O6" s="7" t="n">
        <v>46271</v>
      </c>
      <c r="P6" s="6" t="inlineStr">
        <is>
          <t>90 days</t>
        </is>
      </c>
      <c r="Q6" s="6" t="inlineStr">
        <is>
          <t>OPTUM</t>
        </is>
      </c>
      <c r="R6" s="6" t="inlineStr">
        <is>
          <t>365 days</t>
        </is>
      </c>
      <c r="S6" s="6" t="inlineStr">
        <is>
          <t>Processed date</t>
        </is>
      </c>
      <c r="T6" s="6" t="inlineStr">
        <is>
          <t>365 days</t>
        </is>
      </c>
      <c r="U6" s="6" t="inlineStr">
        <is>
          <t>Processed date</t>
        </is>
      </c>
      <c r="V6" s="6" t="inlineStr">
        <is>
          <t>59</t>
        </is>
      </c>
      <c r="W6" s="6" t="n"/>
      <c r="X6" s="6" t="n"/>
      <c r="Y6" s="6" t="inlineStr">
        <is>
          <t>1</t>
        </is>
      </c>
      <c r="Z6" s="9" t="n">
        <v>20158.46</v>
      </c>
      <c r="AA6" s="9" t="n">
        <v>0</v>
      </c>
      <c r="AB6" s="9" t="n">
        <v>0</v>
      </c>
      <c r="AC6" s="7" t="n"/>
      <c r="AD6" s="9" t="n">
        <v>20158.46</v>
      </c>
      <c r="AE6" s="5" t="n">
        <v>61</v>
      </c>
      <c r="AF6" s="6" t="inlineStr">
        <is>
          <t>M50021, M50022</t>
        </is>
      </c>
      <c r="AG6" s="6" t="inlineStr">
        <is>
          <t>M50022, M5412</t>
        </is>
      </c>
      <c r="AH6" s="6" t="inlineStr">
        <is>
          <t>M5412, M542</t>
        </is>
      </c>
      <c r="AI6" s="6" t="inlineStr">
        <is>
          <t>M542</t>
        </is>
      </c>
      <c r="AJ6" s="5" t="n"/>
      <c r="AK6" s="6" t="inlineStr">
        <is>
          <t>MCCUNNIFF, PETER</t>
        </is>
      </c>
      <c r="AL6" s="6" t="inlineStr">
        <is>
          <t>ASAP Surgery Centers North Valley LLC</t>
        </is>
      </c>
      <c r="AM6" s="7" t="n">
        <v>46190</v>
      </c>
      <c r="AN6" s="6" t="inlineStr">
        <is>
          <t>ORTHO</t>
        </is>
      </c>
      <c r="AO6" s="6" t="inlineStr">
        <is>
          <t>399, 400, 401, 402</t>
        </is>
      </c>
    </row>
    <row r="7">
      <c r="A7" s="2" t="n"/>
      <c r="B7" s="3" t="n"/>
      <c r="C7" s="4" t="n">
        <v>46197</v>
      </c>
      <c r="D7" s="5" t="n">
        <v>562573309</v>
      </c>
      <c r="E7" s="6" t="inlineStr">
        <is>
          <t>HF537490920</t>
        </is>
      </c>
      <c r="F7" s="7" t="n">
        <v>46181</v>
      </c>
      <c r="G7" s="6" t="inlineStr">
        <is>
          <t>Blue Cross Blue Shield of Arizona (BCBS AZ)</t>
        </is>
      </c>
      <c r="H7" s="6" t="inlineStr">
        <is>
          <t>Blue Cross Blue Shield of Arizona (BCBS AZ)</t>
        </is>
      </c>
      <c r="I7" s="6" t="inlineStr">
        <is>
          <t>No Payer</t>
        </is>
      </c>
      <c r="J7" s="8" t="inlineStr">
        <is>
          <t>22856 x1</t>
        </is>
      </c>
      <c r="K7" s="4" t="n"/>
      <c r="L7" s="5">
        <f>IF($O7="","",$O7-TODAY())</f>
        <v/>
      </c>
      <c r="M7" s="5">
        <f>IF($C7="","",$C7+365-TODAY())</f>
        <v/>
      </c>
      <c r="N7" s="5">
        <f>IF($C7="","",$C7+365-TODAY())</f>
        <v/>
      </c>
      <c r="O7" s="7" t="n">
        <v>46271</v>
      </c>
      <c r="P7" s="6" t="inlineStr">
        <is>
          <t>90 days</t>
        </is>
      </c>
      <c r="Q7" s="6" t="inlineStr">
        <is>
          <t>BCBS</t>
        </is>
      </c>
      <c r="R7" s="6" t="inlineStr">
        <is>
          <t>365 days</t>
        </is>
      </c>
      <c r="S7" s="6" t="inlineStr">
        <is>
          <t>Processed date</t>
        </is>
      </c>
      <c r="T7" s="6" t="inlineStr">
        <is>
          <t>365 days</t>
        </is>
      </c>
      <c r="U7" s="6" t="inlineStr">
        <is>
          <t>Processed date</t>
        </is>
      </c>
      <c r="V7" s="6" t="n"/>
      <c r="W7" s="6" t="n"/>
      <c r="X7" s="6" t="n"/>
      <c r="Y7" s="6" t="inlineStr">
        <is>
          <t>1</t>
        </is>
      </c>
      <c r="Z7" s="9" t="n">
        <v>11163.74</v>
      </c>
      <c r="AA7" s="9" t="n">
        <v>0</v>
      </c>
      <c r="AB7" s="9" t="n">
        <v>0</v>
      </c>
      <c r="AC7" s="7" t="n">
        <v>46197</v>
      </c>
      <c r="AD7" s="9" t="n">
        <v>11163.74</v>
      </c>
      <c r="AE7" s="5" t="n">
        <v>61</v>
      </c>
      <c r="AF7" s="6" t="inlineStr">
        <is>
          <t>M5412</t>
        </is>
      </c>
      <c r="AG7" s="6" t="inlineStr">
        <is>
          <t>M5010</t>
        </is>
      </c>
      <c r="AH7" s="6" t="inlineStr">
        <is>
          <t>M4802</t>
        </is>
      </c>
      <c r="AI7" s="6" t="inlineStr">
        <is>
          <t>M542</t>
        </is>
      </c>
      <c r="AJ7" s="5" t="n"/>
      <c r="AK7" s="6" t="inlineStr">
        <is>
          <t>BURGHER, ABRAM</t>
        </is>
      </c>
      <c r="AL7" s="6" t="inlineStr">
        <is>
          <t>ASAP Surgery Centers North Valley LLC</t>
        </is>
      </c>
      <c r="AM7" s="7" t="n">
        <v>46190</v>
      </c>
      <c r="AN7" s="6" t="inlineStr">
        <is>
          <t>ORTHO</t>
        </is>
      </c>
      <c r="AO7" s="6" t="inlineStr">
        <is>
          <t>291</t>
        </is>
      </c>
    </row>
    <row r="8">
      <c r="A8" s="2" t="n"/>
      <c r="B8" s="3" t="n"/>
      <c r="C8" s="4" t="n"/>
      <c r="D8" s="5" t="n">
        <v>562578639</v>
      </c>
      <c r="E8" s="6" t="inlineStr">
        <is>
          <t>HF545081997</t>
        </is>
      </c>
      <c r="F8" s="7" t="n">
        <v>46181</v>
      </c>
      <c r="G8" s="6" t="inlineStr">
        <is>
          <t>Humana Gold Plus HMO</t>
        </is>
      </c>
      <c r="H8" s="6" t="inlineStr">
        <is>
          <t>Humana Gold Plus HMO</t>
        </is>
      </c>
      <c r="I8" s="6" t="inlineStr">
        <is>
          <t>No Payer</t>
        </is>
      </c>
      <c r="J8" s="8" t="inlineStr">
        <is>
          <t>20930 x1; 22612 x1; 63042+59+LT x1</t>
        </is>
      </c>
      <c r="K8" s="4" t="n"/>
      <c r="L8" s="5">
        <f>IF($O8="","",$O8-TODAY())</f>
        <v/>
      </c>
      <c r="M8" s="5">
        <f>IF($F8="","",$F8+90-TODAY())</f>
        <v/>
      </c>
      <c r="N8" s="5">
        <f>IF($C8="","",$C8+60-TODAY())</f>
        <v/>
      </c>
      <c r="O8" s="7" t="n">
        <v>46271</v>
      </c>
      <c r="P8" s="6" t="inlineStr">
        <is>
          <t>90 days</t>
        </is>
      </c>
      <c r="Q8" s="6" t="inlineStr">
        <is>
          <t>HUMANA MA</t>
        </is>
      </c>
      <c r="R8" s="6" t="inlineStr">
        <is>
          <t>90 days</t>
        </is>
      </c>
      <c r="S8" s="6" t="inlineStr">
        <is>
          <t>Date of service</t>
        </is>
      </c>
      <c r="T8" s="6" t="inlineStr">
        <is>
          <t>60 days</t>
        </is>
      </c>
      <c r="U8" s="6" t="inlineStr">
        <is>
          <t>Processed date</t>
        </is>
      </c>
      <c r="V8" s="6" t="inlineStr">
        <is>
          <t>59</t>
        </is>
      </c>
      <c r="W8" s="6" t="inlineStr">
        <is>
          <t>LT</t>
        </is>
      </c>
      <c r="X8" s="6" t="n"/>
      <c r="Y8" s="6" t="inlineStr">
        <is>
          <t>1</t>
        </is>
      </c>
      <c r="Z8" s="9" t="n">
        <v>25252.06</v>
      </c>
      <c r="AA8" s="9" t="n">
        <v>0</v>
      </c>
      <c r="AB8" s="9" t="n">
        <v>0</v>
      </c>
      <c r="AC8" s="7" t="n"/>
      <c r="AD8" s="9" t="n">
        <v>25252.06</v>
      </c>
      <c r="AE8" s="5" t="n">
        <v>61</v>
      </c>
      <c r="AF8" s="6" t="inlineStr">
        <is>
          <t>M5416</t>
        </is>
      </c>
      <c r="AG8" s="6" t="inlineStr">
        <is>
          <t>M48062</t>
        </is>
      </c>
      <c r="AH8" s="6" t="inlineStr">
        <is>
          <t>M4126</t>
        </is>
      </c>
      <c r="AI8" s="6" t="inlineStr">
        <is>
          <t>M4316</t>
        </is>
      </c>
      <c r="AJ8" s="5" t="n"/>
      <c r="AK8" s="6" t="inlineStr">
        <is>
          <t>MCCUNNIFF, PETER</t>
        </is>
      </c>
      <c r="AL8" s="6" t="inlineStr">
        <is>
          <t>ASAP Surgery Centers North Valley LLC</t>
        </is>
      </c>
      <c r="AM8" s="7" t="n">
        <v>46190</v>
      </c>
      <c r="AN8" s="6" t="inlineStr">
        <is>
          <t>ORTHO</t>
        </is>
      </c>
      <c r="AO8" s="6" t="inlineStr">
        <is>
          <t>816, 817, 818</t>
        </is>
      </c>
    </row>
    <row r="9">
      <c r="A9" s="2" t="n"/>
      <c r="B9" s="3" t="n"/>
      <c r="C9" s="4" t="n">
        <v>46197</v>
      </c>
      <c r="D9" s="5" t="n">
        <v>562086355</v>
      </c>
      <c r="E9" s="6" t="inlineStr">
        <is>
          <t>HF556915332</t>
        </is>
      </c>
      <c r="F9" s="7" t="n">
        <v>46184</v>
      </c>
      <c r="G9" s="6" t="inlineStr">
        <is>
          <t>Blue Cross Blue Shield of Arizona (BCBS AZ)</t>
        </is>
      </c>
      <c r="H9" s="6" t="inlineStr">
        <is>
          <t>Blue Cross Blue Shield of Arizona (BCBS AZ)</t>
        </is>
      </c>
      <c r="I9" s="6" t="inlineStr">
        <is>
          <t>No Payer</t>
        </is>
      </c>
      <c r="J9" s="8" t="inlineStr">
        <is>
          <t>63685 x1</t>
        </is>
      </c>
      <c r="K9" s="4" t="n"/>
      <c r="L9" s="5">
        <f>IF($O9="","",$O9-TODAY())</f>
        <v/>
      </c>
      <c r="M9" s="5">
        <f>IF($C9="","",$C9+365-TODAY())</f>
        <v/>
      </c>
      <c r="N9" s="5">
        <f>IF($C9="","",$C9+365-TODAY())</f>
        <v/>
      </c>
      <c r="O9" s="7" t="n">
        <v>46274</v>
      </c>
      <c r="P9" s="6" t="inlineStr">
        <is>
          <t>90 days</t>
        </is>
      </c>
      <c r="Q9" s="6" t="inlineStr">
        <is>
          <t>BCBS</t>
        </is>
      </c>
      <c r="R9" s="6" t="inlineStr">
        <is>
          <t>365 days</t>
        </is>
      </c>
      <c r="S9" s="6" t="inlineStr">
        <is>
          <t>Processed date</t>
        </is>
      </c>
      <c r="T9" s="6" t="inlineStr">
        <is>
          <t>365 days</t>
        </is>
      </c>
      <c r="U9" s="6" t="inlineStr">
        <is>
          <t>Processed date</t>
        </is>
      </c>
      <c r="V9" s="6" t="n"/>
      <c r="W9" s="6" t="n"/>
      <c r="X9" s="6" t="n"/>
      <c r="Y9" s="6" t="inlineStr">
        <is>
          <t>1</t>
        </is>
      </c>
      <c r="Z9" s="9" t="n">
        <v>2493.33</v>
      </c>
      <c r="AA9" s="9" t="n">
        <v>0</v>
      </c>
      <c r="AB9" s="9" t="n">
        <v>0</v>
      </c>
      <c r="AC9" s="7" t="n">
        <v>46197</v>
      </c>
      <c r="AD9" s="9" t="n">
        <v>2493.33</v>
      </c>
      <c r="AE9" s="5" t="n">
        <v>58</v>
      </c>
      <c r="AF9" s="6" t="inlineStr">
        <is>
          <t>G90523</t>
        </is>
      </c>
      <c r="AG9" s="6" t="inlineStr">
        <is>
          <t>G894</t>
        </is>
      </c>
      <c r="AH9" s="6" t="n"/>
      <c r="AI9" s="6" t="n"/>
      <c r="AJ9" s="5" t="n"/>
      <c r="AK9" s="6" t="inlineStr">
        <is>
          <t>LEATHEM, JARRETT</t>
        </is>
      </c>
      <c r="AL9" s="6" t="inlineStr">
        <is>
          <t>Premier Endoscopy Center, LLC</t>
        </is>
      </c>
      <c r="AM9" s="7" t="n">
        <v>46188</v>
      </c>
      <c r="AN9" s="6" t="inlineStr">
        <is>
          <t>ORTHO</t>
        </is>
      </c>
      <c r="AO9" s="6" t="inlineStr">
        <is>
          <t>210</t>
        </is>
      </c>
    </row>
    <row r="10">
      <c r="A10" s="2" t="n"/>
      <c r="B10" s="3" t="n"/>
      <c r="C10" s="4" t="n">
        <v>46196</v>
      </c>
      <c r="D10" s="5" t="n">
        <v>562553945</v>
      </c>
      <c r="E10" s="6" t="inlineStr">
        <is>
          <t>HF492208813</t>
        </is>
      </c>
      <c r="F10" s="7" t="n">
        <v>46184</v>
      </c>
      <c r="G10" s="6" t="inlineStr">
        <is>
          <t>Blue Cross Blue Shield of Arizona (BCBS AZ)</t>
        </is>
      </c>
      <c r="H10" s="6" t="inlineStr">
        <is>
          <t>Blue Cross Blue Shield of Arizona (BCBS AZ)</t>
        </is>
      </c>
      <c r="I10" s="6" t="inlineStr">
        <is>
          <t>Blue Cross Blue Shield of Arizona (BCBS AZ)</t>
        </is>
      </c>
      <c r="J10" s="8" t="inlineStr">
        <is>
          <t>64708 x1; 63047 x1</t>
        </is>
      </c>
      <c r="K10" s="4" t="n"/>
      <c r="L10" s="5">
        <f>IF($O10="","",$O10-TODAY())</f>
        <v/>
      </c>
      <c r="M10" s="5">
        <f>IF($C10="","",$C10+365-TODAY())</f>
        <v/>
      </c>
      <c r="N10" s="5">
        <f>IF($C10="","",$C10+365-TODAY())</f>
        <v/>
      </c>
      <c r="O10" s="7" t="n">
        <v>46274</v>
      </c>
      <c r="P10" s="6" t="inlineStr">
        <is>
          <t>90 days</t>
        </is>
      </c>
      <c r="Q10" s="6" t="inlineStr">
        <is>
          <t>BCBS</t>
        </is>
      </c>
      <c r="R10" s="6" t="inlineStr">
        <is>
          <t>365 days</t>
        </is>
      </c>
      <c r="S10" s="6" t="inlineStr">
        <is>
          <t>Processed date</t>
        </is>
      </c>
      <c r="T10" s="6" t="inlineStr">
        <is>
          <t>365 days</t>
        </is>
      </c>
      <c r="U10" s="6" t="inlineStr">
        <is>
          <t>Processed date</t>
        </is>
      </c>
      <c r="V10" s="6" t="n"/>
      <c r="W10" s="6" t="n"/>
      <c r="X10" s="6" t="n"/>
      <c r="Y10" s="6" t="inlineStr">
        <is>
          <t>1</t>
        </is>
      </c>
      <c r="Z10" s="9" t="n">
        <v>11094.23</v>
      </c>
      <c r="AA10" s="9" t="n">
        <v>0</v>
      </c>
      <c r="AB10" s="9" t="n">
        <v>0</v>
      </c>
      <c r="AC10" s="7" t="n">
        <v>46196</v>
      </c>
      <c r="AD10" s="9" t="n">
        <v>11094.23</v>
      </c>
      <c r="AE10" s="5" t="n">
        <v>58</v>
      </c>
      <c r="AF10" s="6" t="inlineStr">
        <is>
          <t>M4807</t>
        </is>
      </c>
      <c r="AG10" s="6" t="inlineStr">
        <is>
          <t>M5417</t>
        </is>
      </c>
      <c r="AH10" s="6" t="inlineStr">
        <is>
          <t>G549</t>
        </is>
      </c>
      <c r="AI10" s="6" t="n"/>
      <c r="AJ10" s="5" t="n"/>
      <c r="AK10" s="6" t="inlineStr">
        <is>
          <t>LUKE, TIMOTHY</t>
        </is>
      </c>
      <c r="AL10" s="6" t="inlineStr">
        <is>
          <t>ASAP Surgery Centers North Valley LLC</t>
        </is>
      </c>
      <c r="AM10" s="7" t="n">
        <v>46190</v>
      </c>
      <c r="AN10" s="6" t="inlineStr">
        <is>
          <t>ORTHO</t>
        </is>
      </c>
      <c r="AO10" s="6" t="inlineStr">
        <is>
          <t>591, 592</t>
        </is>
      </c>
    </row>
    <row r="11">
      <c r="A11" s="2" t="n"/>
      <c r="B11" s="3" t="n"/>
      <c r="C11" s="4" t="n">
        <v>46197</v>
      </c>
      <c r="D11" s="5" t="n">
        <v>562198452</v>
      </c>
      <c r="E11" s="6" t="inlineStr">
        <is>
          <t>HF519300380</t>
        </is>
      </c>
      <c r="F11" s="7" t="n">
        <v>46185</v>
      </c>
      <c r="G11" s="6" t="inlineStr">
        <is>
          <t>UnitedHealthcare Community Plan / Arizona Long Term Care</t>
        </is>
      </c>
      <c r="H11" s="6" t="inlineStr">
        <is>
          <t>UnitedHealthcare Community Plan / Arizona Long Term Care</t>
        </is>
      </c>
      <c r="I11" s="6" t="inlineStr">
        <is>
          <t>No Payer</t>
        </is>
      </c>
      <c r="J11" s="8" t="inlineStr">
        <is>
          <t>27279 x1</t>
        </is>
      </c>
      <c r="K11" s="4" t="n"/>
      <c r="L11" s="5">
        <f>IF($O11="","",$O11-TODAY())</f>
        <v/>
      </c>
      <c r="M11" s="5">
        <f>IF($C11="","",$C11+180-TODAY())</f>
        <v/>
      </c>
      <c r="N11" s="5">
        <f>IF($C11="","",$C11+365-TODAY())</f>
        <v/>
      </c>
      <c r="O11" s="7" t="n">
        <v>46275</v>
      </c>
      <c r="P11" s="6" t="inlineStr">
        <is>
          <t>90 days</t>
        </is>
      </c>
      <c r="Q11" s="6" t="inlineStr">
        <is>
          <t>UHC COMMUNITY</t>
        </is>
      </c>
      <c r="R11" s="6" t="inlineStr">
        <is>
          <t>180 days</t>
        </is>
      </c>
      <c r="S11" s="6" t="inlineStr">
        <is>
          <t>Processed date</t>
        </is>
      </c>
      <c r="T11" s="6" t="inlineStr">
        <is>
          <t>365 days</t>
        </is>
      </c>
      <c r="U11" s="6" t="inlineStr">
        <is>
          <t>Processed date</t>
        </is>
      </c>
      <c r="V11" s="6" t="n"/>
      <c r="W11" s="6" t="n"/>
      <c r="X11" s="6" t="n"/>
      <c r="Y11" s="6" t="inlineStr">
        <is>
          <t>1</t>
        </is>
      </c>
      <c r="Z11" s="9" t="n">
        <v>5614.63</v>
      </c>
      <c r="AA11" s="9" t="n">
        <v>0</v>
      </c>
      <c r="AB11" s="9" t="n">
        <v>0</v>
      </c>
      <c r="AC11" s="7" t="n">
        <v>46197</v>
      </c>
      <c r="AD11" s="9" t="n">
        <v>5614.63</v>
      </c>
      <c r="AE11" s="5" t="n">
        <v>57</v>
      </c>
      <c r="AF11" s="6" t="inlineStr">
        <is>
          <t>M461</t>
        </is>
      </c>
      <c r="AG11" s="6" t="n"/>
      <c r="AH11" s="6" t="n"/>
      <c r="AI11" s="6" t="n"/>
      <c r="AJ11" s="5" t="n"/>
      <c r="AK11" s="6" t="inlineStr">
        <is>
          <t>KRAUSE, JEFFREY</t>
        </is>
      </c>
      <c r="AL11" s="6" t="inlineStr">
        <is>
          <t>ASAP Surgery Centers North Valley LLC</t>
        </is>
      </c>
      <c r="AM11" s="7" t="n">
        <v>46189</v>
      </c>
      <c r="AN11" s="6" t="inlineStr">
        <is>
          <t>ORTHO</t>
        </is>
      </c>
      <c r="AO11" s="6" t="inlineStr">
        <is>
          <t>590</t>
        </is>
      </c>
    </row>
    <row r="12">
      <c r="A12" s="2" t="n"/>
      <c r="B12" s="3" t="n"/>
      <c r="C12" s="4" t="n">
        <v>46210</v>
      </c>
      <c r="D12" s="5" t="n">
        <v>562206136</v>
      </c>
      <c r="E12" s="6" t="inlineStr">
        <is>
          <t>HF546187849</t>
        </is>
      </c>
      <c r="F12" s="7" t="n">
        <v>46185</v>
      </c>
      <c r="G12" s="6" t="inlineStr">
        <is>
          <t>Optum Care Medical Network of Arizona, Utah, &amp; Washington (LifePrint)</t>
        </is>
      </c>
      <c r="H12" s="6" t="inlineStr">
        <is>
          <t>Optum Care Medical Network of Arizona, Utah, &amp; Washington (LifePrint)</t>
        </is>
      </c>
      <c r="I12" s="6" t="inlineStr">
        <is>
          <t>No Payer</t>
        </is>
      </c>
      <c r="J12" s="8" t="inlineStr">
        <is>
          <t>27279+LT x1</t>
        </is>
      </c>
      <c r="K12" s="4" t="n"/>
      <c r="L12" s="5">
        <f>IF($O12="","",$O12-TODAY())</f>
        <v/>
      </c>
      <c r="M12" s="5">
        <f>IF($C12="","",$C12+365-TODAY())</f>
        <v/>
      </c>
      <c r="N12" s="5">
        <f>IF($C12="","",$C12+365-TODAY())</f>
        <v/>
      </c>
      <c r="O12" s="7" t="n">
        <v>46275</v>
      </c>
      <c r="P12" s="6" t="inlineStr">
        <is>
          <t>90 days</t>
        </is>
      </c>
      <c r="Q12" s="6" t="inlineStr">
        <is>
          <t>OPTUM</t>
        </is>
      </c>
      <c r="R12" s="6" t="inlineStr">
        <is>
          <t>365 days</t>
        </is>
      </c>
      <c r="S12" s="6" t="inlineStr">
        <is>
          <t>Processed date</t>
        </is>
      </c>
      <c r="T12" s="6" t="inlineStr">
        <is>
          <t>365 days</t>
        </is>
      </c>
      <c r="U12" s="6" t="inlineStr">
        <is>
          <t>Processed date</t>
        </is>
      </c>
      <c r="V12" s="6" t="inlineStr">
        <is>
          <t>LT</t>
        </is>
      </c>
      <c r="W12" s="6" t="n"/>
      <c r="X12" s="6" t="n"/>
      <c r="Y12" s="6" t="inlineStr">
        <is>
          <t>1</t>
        </is>
      </c>
      <c r="Z12" s="9" t="n">
        <v>5614.63</v>
      </c>
      <c r="AA12" s="9" t="n">
        <v>0</v>
      </c>
      <c r="AB12" s="9" t="n">
        <v>0</v>
      </c>
      <c r="AC12" s="7" t="n">
        <v>46210</v>
      </c>
      <c r="AD12" s="9" t="n">
        <v>5614.63</v>
      </c>
      <c r="AE12" s="5" t="n">
        <v>57</v>
      </c>
      <c r="AF12" s="6" t="inlineStr">
        <is>
          <t>M461</t>
        </is>
      </c>
      <c r="AG12" s="6" t="n"/>
      <c r="AH12" s="6" t="n"/>
      <c r="AI12" s="6" t="n"/>
      <c r="AJ12" s="5" t="n"/>
      <c r="AK12" s="6" t="inlineStr">
        <is>
          <t>LEATHEM, JARRETT</t>
        </is>
      </c>
      <c r="AL12" s="6" t="inlineStr">
        <is>
          <t>Premier Endoscopy Center, LLC</t>
        </is>
      </c>
      <c r="AM12" s="7" t="n">
        <v>46189</v>
      </c>
      <c r="AN12" s="6" t="inlineStr">
        <is>
          <t>ORTHO</t>
        </is>
      </c>
      <c r="AO12" s="6" t="inlineStr">
        <is>
          <t>738</t>
        </is>
      </c>
    </row>
    <row r="13">
      <c r="A13" s="2" t="n"/>
      <c r="B13" s="3" t="n"/>
      <c r="C13" s="4" t="n"/>
      <c r="D13" s="5" t="n">
        <v>564509654</v>
      </c>
      <c r="E13" s="6" t="inlineStr">
        <is>
          <t>HF342712719</t>
        </is>
      </c>
      <c r="F13" s="7" t="n">
        <v>46191</v>
      </c>
      <c r="G13" s="6" t="inlineStr">
        <is>
          <t>United Healthcare</t>
        </is>
      </c>
      <c r="H13" s="6" t="inlineStr">
        <is>
          <t>United Healthcare</t>
        </is>
      </c>
      <c r="I13" s="6" t="inlineStr">
        <is>
          <t>No Payer</t>
        </is>
      </c>
      <c r="J13" s="8" t="inlineStr">
        <is>
          <t>20930 x1; 22840+59 x1; 22840 x1</t>
        </is>
      </c>
      <c r="K13" s="4" t="n"/>
      <c r="L13" s="5">
        <f>IF($O13="","",$O13-TODAY())</f>
        <v/>
      </c>
      <c r="M13" s="5">
        <f>IF($C13="","",$C13+180-TODAY())</f>
        <v/>
      </c>
      <c r="N13" s="5">
        <f>IF($C13="","",$C13+365-TODAY())</f>
        <v/>
      </c>
      <c r="O13" s="7" t="n">
        <v>46281</v>
      </c>
      <c r="P13" s="6" t="inlineStr">
        <is>
          <t>90 days</t>
        </is>
      </c>
      <c r="Q13" s="6" t="inlineStr">
        <is>
          <t>UHC COMMERCIAL</t>
        </is>
      </c>
      <c r="R13" s="6" t="inlineStr">
        <is>
          <t>180 days</t>
        </is>
      </c>
      <c r="S13" s="6" t="inlineStr">
        <is>
          <t>Processed date</t>
        </is>
      </c>
      <c r="T13" s="6" t="inlineStr">
        <is>
          <t>365 days</t>
        </is>
      </c>
      <c r="U13" s="6" t="inlineStr">
        <is>
          <t>Processed date</t>
        </is>
      </c>
      <c r="V13" s="6" t="inlineStr">
        <is>
          <t>59</t>
        </is>
      </c>
      <c r="W13" s="6" t="n"/>
      <c r="X13" s="6" t="n"/>
      <c r="Y13" s="6" t="inlineStr">
        <is>
          <t>1</t>
        </is>
      </c>
      <c r="Z13" s="9" t="n">
        <v>15769.79</v>
      </c>
      <c r="AA13" s="9" t="n">
        <v>0</v>
      </c>
      <c r="AB13" s="9" t="n">
        <v>0</v>
      </c>
      <c r="AC13" s="7" t="n"/>
      <c r="AD13" s="9" t="n">
        <v>15769.79</v>
      </c>
      <c r="AE13" s="5" t="n">
        <v>51</v>
      </c>
      <c r="AF13" s="6" t="inlineStr">
        <is>
          <t>M5412</t>
        </is>
      </c>
      <c r="AG13" s="6" t="inlineStr">
        <is>
          <t>M4692</t>
        </is>
      </c>
      <c r="AH13" s="6" t="inlineStr">
        <is>
          <t>M4322</t>
        </is>
      </c>
      <c r="AI13" s="6" t="n"/>
      <c r="AJ13" s="5" t="n"/>
      <c r="AK13" s="6" t="inlineStr">
        <is>
          <t>LUKE, TIMOTHY</t>
        </is>
      </c>
      <c r="AL13" s="6" t="inlineStr">
        <is>
          <t>ASAP Surgery Centers North Valley LLC</t>
        </is>
      </c>
      <c r="AM13" s="7" t="n">
        <v>46210</v>
      </c>
      <c r="AN13" s="6" t="inlineStr">
        <is>
          <t>ORTHO</t>
        </is>
      </c>
      <c r="AO13" s="6" t="inlineStr">
        <is>
          <t>772, 773, 774</t>
        </is>
      </c>
    </row>
    <row r="14">
      <c r="A14" s="2" t="n"/>
      <c r="B14" s="3" t="n"/>
      <c r="C14" s="4" t="n"/>
      <c r="D14" s="5" t="n">
        <v>562921641</v>
      </c>
      <c r="E14" s="6" t="inlineStr">
        <is>
          <t>HF458717535</t>
        </is>
      </c>
      <c r="F14" s="7" t="n">
        <v>46192</v>
      </c>
      <c r="G14" s="6" t="inlineStr">
        <is>
          <t>Blue Cross Blue Shield of Arizona (BCBS AZ)</t>
        </is>
      </c>
      <c r="H14" s="6" t="inlineStr">
        <is>
          <t>Blue Cross Blue Shield of Arizona (BCBS AZ)</t>
        </is>
      </c>
      <c r="I14" s="6" t="inlineStr">
        <is>
          <t>No Payer</t>
        </is>
      </c>
      <c r="J14" s="8" t="inlineStr">
        <is>
          <t>63685 x1</t>
        </is>
      </c>
      <c r="K14" s="4" t="n"/>
      <c r="L14" s="5">
        <f>IF($O14="","",$O14-TODAY())</f>
        <v/>
      </c>
      <c r="M14" s="5">
        <f>IF($C14="","",$C14+365-TODAY())</f>
        <v/>
      </c>
      <c r="N14" s="5">
        <f>IF($C14="","",$C14+365-TODAY())</f>
        <v/>
      </c>
      <c r="O14" s="7" t="n">
        <v>46282</v>
      </c>
      <c r="P14" s="6" t="inlineStr">
        <is>
          <t>90 days</t>
        </is>
      </c>
      <c r="Q14" s="6" t="inlineStr">
        <is>
          <t>BCBS</t>
        </is>
      </c>
      <c r="R14" s="6" t="inlineStr">
        <is>
          <t>365 days</t>
        </is>
      </c>
      <c r="S14" s="6" t="inlineStr">
        <is>
          <t>Processed date</t>
        </is>
      </c>
      <c r="T14" s="6" t="inlineStr">
        <is>
          <t>365 days</t>
        </is>
      </c>
      <c r="U14" s="6" t="inlineStr">
        <is>
          <t>Processed date</t>
        </is>
      </c>
      <c r="V14" s="6" t="n"/>
      <c r="W14" s="6" t="n"/>
      <c r="X14" s="6" t="n"/>
      <c r="Y14" s="6" t="inlineStr">
        <is>
          <t>1</t>
        </is>
      </c>
      <c r="Z14" s="9" t="n">
        <v>2493.33</v>
      </c>
      <c r="AA14" s="9" t="n">
        <v>0</v>
      </c>
      <c r="AB14" s="9" t="n">
        <v>0</v>
      </c>
      <c r="AC14" s="7" t="n"/>
      <c r="AD14" s="9" t="n">
        <v>2493.33</v>
      </c>
      <c r="AE14" s="5" t="n">
        <v>50</v>
      </c>
      <c r="AF14" s="6" t="inlineStr">
        <is>
          <t>G90523</t>
        </is>
      </c>
      <c r="AG14" s="6" t="inlineStr">
        <is>
          <t>M961</t>
        </is>
      </c>
      <c r="AH14" s="6" t="n"/>
      <c r="AI14" s="6" t="n"/>
      <c r="AJ14" s="5" t="n"/>
      <c r="AK14" s="6" t="inlineStr">
        <is>
          <t>SARKAR, AWNIK</t>
        </is>
      </c>
      <c r="AL14" s="6" t="inlineStr">
        <is>
          <t>ASAP Surgery Centers North Valley LLC</t>
        </is>
      </c>
      <c r="AM14" s="7" t="n">
        <v>46196</v>
      </c>
      <c r="AN14" s="6" t="inlineStr">
        <is>
          <t>ORTHO</t>
        </is>
      </c>
      <c r="AO14" s="6" t="inlineStr">
        <is>
          <t>403</t>
        </is>
      </c>
    </row>
    <row r="15">
      <c r="A15" s="2" t="inlineStr">
        <is>
          <t>Received</t>
        </is>
      </c>
      <c r="B15" s="3" t="n"/>
      <c r="C15" s="4" t="n">
        <v>46213</v>
      </c>
      <c r="D15" s="5" t="n">
        <v>563945696</v>
      </c>
      <c r="E15" s="6" t="inlineStr">
        <is>
          <t>HF538566755</t>
        </is>
      </c>
      <c r="F15" s="7" t="n">
        <v>46193</v>
      </c>
      <c r="G15" s="6" t="inlineStr">
        <is>
          <t>Blue Cross Blue Shield of Arizona (BCBS AZ)</t>
        </is>
      </c>
      <c r="H15" s="6" t="inlineStr">
        <is>
          <t>Blue Cross Blue Shield of Arizona (BCBS AZ)</t>
        </is>
      </c>
      <c r="I15" s="6" t="inlineStr">
        <is>
          <t>No Payer</t>
        </is>
      </c>
      <c r="J15" s="8" t="inlineStr">
        <is>
          <t>63047+LT x1</t>
        </is>
      </c>
      <c r="K15" s="4" t="n"/>
      <c r="L15" s="5">
        <f>IF($O15="","",$O15-TODAY())</f>
        <v/>
      </c>
      <c r="M15" s="5">
        <f>IF($C15="","",$C15+365-TODAY())</f>
        <v/>
      </c>
      <c r="N15" s="5">
        <f>IF($C15="","",$C15+365-TODAY())</f>
        <v/>
      </c>
      <c r="O15" s="7" t="n">
        <v>46283</v>
      </c>
      <c r="P15" s="6" t="inlineStr">
        <is>
          <t>90 days</t>
        </is>
      </c>
      <c r="Q15" s="6" t="inlineStr">
        <is>
          <t>BCBS</t>
        </is>
      </c>
      <c r="R15" s="6" t="inlineStr">
        <is>
          <t>365 days</t>
        </is>
      </c>
      <c r="S15" s="6" t="inlineStr">
        <is>
          <t>Processed date</t>
        </is>
      </c>
      <c r="T15" s="6" t="inlineStr">
        <is>
          <t>365 days</t>
        </is>
      </c>
      <c r="U15" s="6" t="inlineStr">
        <is>
          <t>Processed date</t>
        </is>
      </c>
      <c r="V15" s="6" t="inlineStr">
        <is>
          <t>LT</t>
        </is>
      </c>
      <c r="W15" s="6" t="n"/>
      <c r="X15" s="6" t="n"/>
      <c r="Y15" s="6" t="inlineStr">
        <is>
          <t>1</t>
        </is>
      </c>
      <c r="Z15" s="9" t="n">
        <v>7623.07</v>
      </c>
      <c r="AA15" s="9" t="n">
        <v>0</v>
      </c>
      <c r="AB15" s="9" t="n">
        <v>0</v>
      </c>
      <c r="AC15" s="7" t="n">
        <v>46213</v>
      </c>
      <c r="AD15" s="9" t="n">
        <v>5911.47</v>
      </c>
      <c r="AE15" s="5" t="n">
        <v>49</v>
      </c>
      <c r="AF15" s="6" t="inlineStr">
        <is>
          <t>M48062</t>
        </is>
      </c>
      <c r="AG15" s="6" t="n"/>
      <c r="AH15" s="6" t="n"/>
      <c r="AI15" s="6" t="n"/>
      <c r="AJ15" s="5" t="n"/>
      <c r="AK15" s="6" t="inlineStr">
        <is>
          <t>O'NEIL, ROY</t>
        </is>
      </c>
      <c r="AL15" s="6" t="inlineStr">
        <is>
          <t>ASAP Surgery Centers North Valley LLC</t>
        </is>
      </c>
      <c r="AM15" s="7" t="n">
        <v>46209</v>
      </c>
      <c r="AN15" s="6" t="inlineStr">
        <is>
          <t>ORTHO</t>
        </is>
      </c>
      <c r="AO15" s="6" t="inlineStr">
        <is>
          <t>604</t>
        </is>
      </c>
    </row>
    <row r="16">
      <c r="A16" s="2" t="n"/>
      <c r="B16" s="3" t="n"/>
      <c r="C16" s="4" t="n"/>
      <c r="D16" s="5" t="n">
        <v>563839702</v>
      </c>
      <c r="E16" s="6" t="inlineStr">
        <is>
          <t>HF544048268</t>
        </is>
      </c>
      <c r="F16" s="7" t="n">
        <v>46197</v>
      </c>
      <c r="G16" s="6" t="inlineStr">
        <is>
          <t>UnitedHealthcare Community Plan / Arizona Long Term Care</t>
        </is>
      </c>
      <c r="H16" s="6" t="inlineStr">
        <is>
          <t>UnitedHealthcare Community Plan / Arizona Long Term Care</t>
        </is>
      </c>
      <c r="I16" s="6" t="inlineStr">
        <is>
          <t>Mercy Care Plan (AHCCCS) - Complete Care &amp; Long Term Care (LTC)</t>
        </is>
      </c>
      <c r="J16" s="8" t="inlineStr">
        <is>
          <t>22612 x1</t>
        </is>
      </c>
      <c r="K16" s="4" t="n"/>
      <c r="L16" s="5">
        <f>IF($O16="","",$O16-TODAY())</f>
        <v/>
      </c>
      <c r="M16" s="5">
        <f>IF($C16="","",$C16+180-TODAY())</f>
        <v/>
      </c>
      <c r="N16" s="5">
        <f>IF($C16="","",$C16+365-TODAY())</f>
        <v/>
      </c>
      <c r="O16" s="7" t="n">
        <v>46287</v>
      </c>
      <c r="P16" s="6" t="inlineStr">
        <is>
          <t>90 days</t>
        </is>
      </c>
      <c r="Q16" s="6" t="inlineStr">
        <is>
          <t>UHC COMMUNITY</t>
        </is>
      </c>
      <c r="R16" s="6" t="inlineStr">
        <is>
          <t>180 days</t>
        </is>
      </c>
      <c r="S16" s="6" t="inlineStr">
        <is>
          <t>Processed date</t>
        </is>
      </c>
      <c r="T16" s="6" t="inlineStr">
        <is>
          <t>365 days</t>
        </is>
      </c>
      <c r="U16" s="6" t="inlineStr">
        <is>
          <t>Processed date</t>
        </is>
      </c>
      <c r="V16" s="6" t="n"/>
      <c r="W16" s="6" t="n"/>
      <c r="X16" s="6" t="n"/>
      <c r="Y16" s="6" t="inlineStr">
        <is>
          <t>1</t>
        </is>
      </c>
      <c r="Z16" s="9" t="n">
        <v>10892.84</v>
      </c>
      <c r="AA16" s="9" t="n">
        <v>0</v>
      </c>
      <c r="AB16" s="9" t="n">
        <v>0</v>
      </c>
      <c r="AC16" s="7" t="n"/>
      <c r="AD16" s="9" t="n">
        <v>10892.84</v>
      </c>
      <c r="AE16" s="5" t="n">
        <v>45</v>
      </c>
      <c r="AF16" s="6" t="inlineStr">
        <is>
          <t>M48062</t>
        </is>
      </c>
      <c r="AG16" s="6" t="inlineStr">
        <is>
          <t>M5416</t>
        </is>
      </c>
      <c r="AH16" s="6" t="inlineStr">
        <is>
          <t>M7138</t>
        </is>
      </c>
      <c r="AI16" s="6" t="n"/>
      <c r="AJ16" s="5" t="n"/>
      <c r="AK16" s="6" t="inlineStr">
        <is>
          <t>MCCUNNIFF, PETER</t>
        </is>
      </c>
      <c r="AL16" s="6" t="inlineStr">
        <is>
          <t>ASAP Surgery Centers North Valley LLC</t>
        </is>
      </c>
      <c r="AM16" s="7" t="n">
        <v>46203</v>
      </c>
      <c r="AN16" s="6" t="inlineStr">
        <is>
          <t>ORTHO</t>
        </is>
      </c>
      <c r="AO16" s="6" t="inlineStr">
        <is>
          <t>1059</t>
        </is>
      </c>
    </row>
    <row r="17">
      <c r="A17" s="2" t="n"/>
      <c r="B17" s="3" t="n"/>
      <c r="C17" s="4" t="n"/>
      <c r="D17" s="5" t="n">
        <v>564441732</v>
      </c>
      <c r="E17" s="6" t="inlineStr">
        <is>
          <t>HF507823275</t>
        </is>
      </c>
      <c r="F17" s="7" t="n">
        <v>46197</v>
      </c>
      <c r="G17" s="6" t="inlineStr">
        <is>
          <t>Humana Gold Plus HMO</t>
        </is>
      </c>
      <c r="H17" s="6" t="inlineStr">
        <is>
          <t>Humana Gold Plus HMO</t>
        </is>
      </c>
      <c r="I17" s="6" t="inlineStr">
        <is>
          <t>No Payer</t>
        </is>
      </c>
      <c r="J17" s="8" t="inlineStr">
        <is>
          <t>63685 x1</t>
        </is>
      </c>
      <c r="K17" s="4" t="n"/>
      <c r="L17" s="5">
        <f>IF($O17="","",$O17-TODAY())</f>
        <v/>
      </c>
      <c r="M17" s="5">
        <f>IF($F17="","",$F17+90-TODAY())</f>
        <v/>
      </c>
      <c r="N17" s="5">
        <f>IF($C17="","",$C17+60-TODAY())</f>
        <v/>
      </c>
      <c r="O17" s="7" t="n">
        <v>46287</v>
      </c>
      <c r="P17" s="6" t="inlineStr">
        <is>
          <t>90 days</t>
        </is>
      </c>
      <c r="Q17" s="6" t="inlineStr">
        <is>
          <t>HUMANA MA</t>
        </is>
      </c>
      <c r="R17" s="6" t="inlineStr">
        <is>
          <t>90 days</t>
        </is>
      </c>
      <c r="S17" s="6" t="inlineStr">
        <is>
          <t>Date of service</t>
        </is>
      </c>
      <c r="T17" s="6" t="inlineStr">
        <is>
          <t>60 days</t>
        </is>
      </c>
      <c r="U17" s="6" t="inlineStr">
        <is>
          <t>Processed date</t>
        </is>
      </c>
      <c r="V17" s="6" t="n"/>
      <c r="W17" s="6" t="n"/>
      <c r="X17" s="6" t="n"/>
      <c r="Y17" s="6" t="inlineStr">
        <is>
          <t>1</t>
        </is>
      </c>
      <c r="Z17" s="9" t="n">
        <v>2493.33</v>
      </c>
      <c r="AA17" s="9" t="n">
        <v>0</v>
      </c>
      <c r="AB17" s="9" t="n">
        <v>0</v>
      </c>
      <c r="AC17" s="7" t="n"/>
      <c r="AD17" s="9" t="n">
        <v>2493.33</v>
      </c>
      <c r="AE17" s="5" t="n">
        <v>45</v>
      </c>
      <c r="AF17" s="6" t="inlineStr">
        <is>
          <t>M961</t>
        </is>
      </c>
      <c r="AG17" s="6" t="inlineStr">
        <is>
          <t>M48062</t>
        </is>
      </c>
      <c r="AH17" s="6" t="inlineStr">
        <is>
          <t>M47816</t>
        </is>
      </c>
      <c r="AI17" s="6" t="inlineStr">
        <is>
          <t>M4810</t>
        </is>
      </c>
      <c r="AJ17" s="5" t="n"/>
      <c r="AK17" s="6" t="inlineStr">
        <is>
          <t>CURRIE, DAVID</t>
        </is>
      </c>
      <c r="AL17" s="6" t="inlineStr">
        <is>
          <t>Premier Endoscopy Center, LLC</t>
        </is>
      </c>
      <c r="AM17" s="7" t="n">
        <v>46211</v>
      </c>
      <c r="AN17" s="6" t="inlineStr">
        <is>
          <t>ORTHO</t>
        </is>
      </c>
      <c r="AO17" s="6" t="inlineStr">
        <is>
          <t>875</t>
        </is>
      </c>
    </row>
    <row r="18">
      <c r="A18" s="2" t="n"/>
      <c r="B18" s="3" t="n"/>
      <c r="C18" s="4" t="n">
        <v>46220</v>
      </c>
      <c r="D18" s="5" t="n">
        <v>563844305</v>
      </c>
      <c r="E18" s="6" t="inlineStr">
        <is>
          <t>HF496850534</t>
        </is>
      </c>
      <c r="F18" s="7" t="n">
        <v>46198</v>
      </c>
      <c r="G18" s="6" t="inlineStr">
        <is>
          <t>Surest (A United Healthcare Company - Formerly BIND)</t>
        </is>
      </c>
      <c r="H18" s="6" t="inlineStr">
        <is>
          <t>Surest (A United Healthcare Company - Formerly BIND)</t>
        </is>
      </c>
      <c r="I18" s="6" t="inlineStr">
        <is>
          <t>No Payer</t>
        </is>
      </c>
      <c r="J18" s="8" t="inlineStr">
        <is>
          <t>22856 x1</t>
        </is>
      </c>
      <c r="K18" s="4" t="n"/>
      <c r="L18" s="5">
        <f>IF($O18="","",$O18-TODAY())</f>
        <v/>
      </c>
      <c r="M18" s="5">
        <f>IF($C18="","",$C18+180-TODAY())</f>
        <v/>
      </c>
      <c r="N18" s="5">
        <f>IF($C18="","",$C18+365-TODAY())</f>
        <v/>
      </c>
      <c r="O18" s="7" t="n">
        <v>46288</v>
      </c>
      <c r="P18" s="6" t="inlineStr">
        <is>
          <t>90 days</t>
        </is>
      </c>
      <c r="Q18" s="6" t="inlineStr">
        <is>
          <t>UHC COMMERCIAL</t>
        </is>
      </c>
      <c r="R18" s="6" t="inlineStr">
        <is>
          <t>180 days</t>
        </is>
      </c>
      <c r="S18" s="6" t="inlineStr">
        <is>
          <t>Processed date</t>
        </is>
      </c>
      <c r="T18" s="6" t="inlineStr">
        <is>
          <t>365 days</t>
        </is>
      </c>
      <c r="U18" s="6" t="inlineStr">
        <is>
          <t>Processed date</t>
        </is>
      </c>
      <c r="V18" s="6" t="n"/>
      <c r="W18" s="6" t="n"/>
      <c r="X18" s="6" t="n"/>
      <c r="Y18" s="6" t="inlineStr">
        <is>
          <t>1</t>
        </is>
      </c>
      <c r="Z18" s="9" t="n">
        <v>11163.74</v>
      </c>
      <c r="AA18" s="9" t="n">
        <v>0</v>
      </c>
      <c r="AB18" s="9" t="n">
        <v>0</v>
      </c>
      <c r="AC18" s="7" t="n">
        <v>46220</v>
      </c>
      <c r="AD18" s="9" t="n">
        <v>11163.74</v>
      </c>
      <c r="AE18" s="5" t="n">
        <v>44</v>
      </c>
      <c r="AF18" s="6" t="inlineStr">
        <is>
          <t>M4802</t>
        </is>
      </c>
      <c r="AG18" s="6" t="inlineStr">
        <is>
          <t>M5412</t>
        </is>
      </c>
      <c r="AH18" s="6" t="inlineStr">
        <is>
          <t>M9971</t>
        </is>
      </c>
      <c r="AI18" s="6" t="inlineStr">
        <is>
          <t>M50222</t>
        </is>
      </c>
      <c r="AJ18" s="5" t="n"/>
      <c r="AK18" s="6" t="inlineStr">
        <is>
          <t>LUKE, TIMOTHY</t>
        </is>
      </c>
      <c r="AL18" s="6" t="inlineStr">
        <is>
          <t>ASAP Surgery Centers North Valley LLC</t>
        </is>
      </c>
      <c r="AM18" s="7" t="n">
        <v>46203</v>
      </c>
      <c r="AN18" s="6" t="inlineStr">
        <is>
          <t>ORTHO</t>
        </is>
      </c>
      <c r="AO18" s="6" t="inlineStr">
        <is>
          <t>908</t>
        </is>
      </c>
    </row>
    <row r="19">
      <c r="A19" s="2" t="n"/>
      <c r="B19" s="3" t="n"/>
      <c r="C19" s="4" t="n"/>
      <c r="D19" s="5" t="n">
        <v>563854100</v>
      </c>
      <c r="E19" s="6" t="inlineStr">
        <is>
          <t>HF535371970</t>
        </is>
      </c>
      <c r="F19" s="7" t="n">
        <v>46198</v>
      </c>
      <c r="G19" s="6" t="inlineStr">
        <is>
          <t>United Healthcare</t>
        </is>
      </c>
      <c r="H19" s="6" t="inlineStr">
        <is>
          <t>United Healthcare</t>
        </is>
      </c>
      <c r="I19" s="6" t="inlineStr">
        <is>
          <t>No Payer</t>
        </is>
      </c>
      <c r="J19" s="8" t="inlineStr">
        <is>
          <t>63030+LT x1</t>
        </is>
      </c>
      <c r="K19" s="4" t="n"/>
      <c r="L19" s="5">
        <f>IF($O19="","",$O19-TODAY())</f>
        <v/>
      </c>
      <c r="M19" s="5">
        <f>IF($C19="","",$C19+180-TODAY())</f>
        <v/>
      </c>
      <c r="N19" s="5">
        <f>IF($C19="","",$C19+365-TODAY())</f>
        <v/>
      </c>
      <c r="O19" s="7" t="n">
        <v>46288</v>
      </c>
      <c r="P19" s="6" t="inlineStr">
        <is>
          <t>90 days</t>
        </is>
      </c>
      <c r="Q19" s="6" t="inlineStr">
        <is>
          <t>UHC COMMERCIAL</t>
        </is>
      </c>
      <c r="R19" s="6" t="inlineStr">
        <is>
          <t>180 days</t>
        </is>
      </c>
      <c r="S19" s="6" t="inlineStr">
        <is>
          <t>Processed date</t>
        </is>
      </c>
      <c r="T19" s="6" t="inlineStr">
        <is>
          <t>365 days</t>
        </is>
      </c>
      <c r="U19" s="6" t="inlineStr">
        <is>
          <t>Processed date</t>
        </is>
      </c>
      <c r="V19" s="6" t="inlineStr">
        <is>
          <t>LT</t>
        </is>
      </c>
      <c r="W19" s="6" t="n"/>
      <c r="X19" s="6" t="n"/>
      <c r="Y19" s="6" t="inlineStr">
        <is>
          <t>1</t>
        </is>
      </c>
      <c r="Z19" s="9" t="n">
        <v>6297.27</v>
      </c>
      <c r="AA19" s="9" t="n">
        <v>0</v>
      </c>
      <c r="AB19" s="9" t="n">
        <v>0</v>
      </c>
      <c r="AC19" s="7" t="n"/>
      <c r="AD19" s="9" t="n">
        <v>6297.27</v>
      </c>
      <c r="AE19" s="5" t="n">
        <v>44</v>
      </c>
      <c r="AF19" s="6" t="inlineStr">
        <is>
          <t>M48062</t>
        </is>
      </c>
      <c r="AG19" s="6" t="inlineStr">
        <is>
          <t>M5416</t>
        </is>
      </c>
      <c r="AH19" s="6" t="inlineStr">
        <is>
          <t>M5126</t>
        </is>
      </c>
      <c r="AI19" s="6" t="n"/>
      <c r="AJ19" s="5" t="n"/>
      <c r="AK19" s="6" t="inlineStr">
        <is>
          <t>LUKE, TIMOTHY</t>
        </is>
      </c>
      <c r="AL19" s="6" t="inlineStr">
        <is>
          <t>ASAP Surgery Centers North Valley LLC</t>
        </is>
      </c>
      <c r="AM19" s="7" t="n">
        <v>46203</v>
      </c>
      <c r="AN19" s="6" t="inlineStr">
        <is>
          <t>ORTHO</t>
        </is>
      </c>
      <c r="AO19" s="6" t="inlineStr">
        <is>
          <t>672</t>
        </is>
      </c>
    </row>
    <row r="20">
      <c r="A20" s="2" t="n"/>
      <c r="B20" s="3" t="n"/>
      <c r="C20" s="4" t="n"/>
      <c r="D20" s="5" t="n">
        <v>563939578</v>
      </c>
      <c r="E20" s="6" t="inlineStr">
        <is>
          <t>HF493215593</t>
        </is>
      </c>
      <c r="F20" s="7" t="n">
        <v>46203</v>
      </c>
      <c r="G20" s="6" t="inlineStr">
        <is>
          <t>Blue Cross Blue Shield of Arizona (BCBS AZ)</t>
        </is>
      </c>
      <c r="H20" s="6" t="inlineStr">
        <is>
          <t>Blue Cross Blue Shield of Arizona (BCBS AZ)</t>
        </is>
      </c>
      <c r="I20" s="6" t="inlineStr">
        <is>
          <t>No Payer</t>
        </is>
      </c>
      <c r="J20" s="8" t="inlineStr">
        <is>
          <t>27279+LT x1</t>
        </is>
      </c>
      <c r="K20" s="4" t="n"/>
      <c r="L20" s="5">
        <f>IF($O20="","",$O20-TODAY())</f>
        <v/>
      </c>
      <c r="M20" s="5">
        <f>IF($C20="","",$C20+365-TODAY())</f>
        <v/>
      </c>
      <c r="N20" s="5">
        <f>IF($C20="","",$C20+365-TODAY())</f>
        <v/>
      </c>
      <c r="O20" s="7" t="n">
        <v>46293</v>
      </c>
      <c r="P20" s="6" t="inlineStr">
        <is>
          <t>90 days</t>
        </is>
      </c>
      <c r="Q20" s="6" t="inlineStr">
        <is>
          <t>BCBS</t>
        </is>
      </c>
      <c r="R20" s="6" t="inlineStr">
        <is>
          <t>365 days</t>
        </is>
      </c>
      <c r="S20" s="6" t="inlineStr">
        <is>
          <t>Processed date</t>
        </is>
      </c>
      <c r="T20" s="6" t="inlineStr">
        <is>
          <t>365 days</t>
        </is>
      </c>
      <c r="U20" s="6" t="inlineStr">
        <is>
          <t>Processed date</t>
        </is>
      </c>
      <c r="V20" s="6" t="inlineStr">
        <is>
          <t>LT</t>
        </is>
      </c>
      <c r="W20" s="6" t="n"/>
      <c r="X20" s="6" t="n"/>
      <c r="Y20" s="6" t="inlineStr">
        <is>
          <t>1</t>
        </is>
      </c>
      <c r="Z20" s="9" t="n">
        <v>5614.63</v>
      </c>
      <c r="AA20" s="9" t="n">
        <v>0</v>
      </c>
      <c r="AB20" s="9" t="n">
        <v>0</v>
      </c>
      <c r="AC20" s="7" t="n"/>
      <c r="AD20" s="9" t="n">
        <v>5614.63</v>
      </c>
      <c r="AE20" s="5" t="n">
        <v>39</v>
      </c>
      <c r="AF20" s="6" t="inlineStr">
        <is>
          <t>M461</t>
        </is>
      </c>
      <c r="AG20" s="6" t="n"/>
      <c r="AH20" s="6" t="n"/>
      <c r="AI20" s="6" t="n"/>
      <c r="AJ20" s="5" t="n"/>
      <c r="AK20" s="6" t="inlineStr">
        <is>
          <t>KRAUSE, JEFFREY</t>
        </is>
      </c>
      <c r="AL20" s="6" t="inlineStr">
        <is>
          <t>ASAP Surgery Centers North Valley LLC</t>
        </is>
      </c>
      <c r="AM20" s="7" t="n">
        <v>46211</v>
      </c>
      <c r="AN20" s="6" t="inlineStr">
        <is>
          <t>ORTHO</t>
        </is>
      </c>
      <c r="AO20" s="6" t="inlineStr">
        <is>
          <t>426</t>
        </is>
      </c>
    </row>
    <row r="21">
      <c r="A21" s="2" t="n"/>
      <c r="B21" s="3" t="n"/>
      <c r="C21" s="4" t="n">
        <v>46223</v>
      </c>
      <c r="D21" s="5" t="n">
        <v>563941508</v>
      </c>
      <c r="E21" s="6" t="inlineStr">
        <is>
          <t>HF510131965</t>
        </is>
      </c>
      <c r="F21" s="7" t="n">
        <v>46203</v>
      </c>
      <c r="G21" s="6" t="inlineStr">
        <is>
          <t>HealthSpring Medicare Advantage</t>
        </is>
      </c>
      <c r="H21" s="6" t="inlineStr">
        <is>
          <t>HealthSpring Medicare Advantage</t>
        </is>
      </c>
      <c r="I21" s="6" t="inlineStr">
        <is>
          <t>No Payer</t>
        </is>
      </c>
      <c r="J21" s="8" t="inlineStr">
        <is>
          <t>63685 x1</t>
        </is>
      </c>
      <c r="K21" s="4" t="n"/>
      <c r="L21" s="5">
        <f>IF($O21="","",$O21-TODAY())</f>
        <v/>
      </c>
      <c r="M21" s="5">
        <f>IF($F21="","",$F21+90-TODAY())</f>
        <v/>
      </c>
      <c r="N21" s="5">
        <f>IF($C21="","",$C21+180-TODAY())</f>
        <v/>
      </c>
      <c r="O21" s="7" t="n">
        <v>46293</v>
      </c>
      <c r="P21" s="6" t="inlineStr">
        <is>
          <t>90 days</t>
        </is>
      </c>
      <c r="Q21" s="6" t="inlineStr">
        <is>
          <t>CIGNA / CIGNA MEDICARE</t>
        </is>
      </c>
      <c r="R21" s="6" t="inlineStr">
        <is>
          <t>90 days</t>
        </is>
      </c>
      <c r="S21" s="6" t="inlineStr">
        <is>
          <t>Date of service</t>
        </is>
      </c>
      <c r="T21" s="6" t="inlineStr">
        <is>
          <t>180 days</t>
        </is>
      </c>
      <c r="U21" s="6" t="inlineStr">
        <is>
          <t>Processed date</t>
        </is>
      </c>
      <c r="V21" s="6" t="n"/>
      <c r="W21" s="6" t="n"/>
      <c r="X21" s="6" t="n"/>
      <c r="Y21" s="6" t="inlineStr">
        <is>
          <t>1</t>
        </is>
      </c>
      <c r="Z21" s="9" t="n">
        <v>2493.33</v>
      </c>
      <c r="AA21" s="9" t="n">
        <v>0</v>
      </c>
      <c r="AB21" s="9" t="n">
        <v>0</v>
      </c>
      <c r="AC21" s="7" t="n">
        <v>46223</v>
      </c>
      <c r="AD21" s="9" t="n">
        <v>2493.33</v>
      </c>
      <c r="AE21" s="5" t="n">
        <v>39</v>
      </c>
      <c r="AF21" s="6" t="inlineStr">
        <is>
          <t>M961</t>
        </is>
      </c>
      <c r="AG21" s="6" t="inlineStr">
        <is>
          <t>M5416</t>
        </is>
      </c>
      <c r="AH21" s="6" t="n"/>
      <c r="AI21" s="6" t="n"/>
      <c r="AJ21" s="5" t="n"/>
      <c r="AK21" s="6" t="inlineStr">
        <is>
          <t>KALLGREN, MARK</t>
        </is>
      </c>
      <c r="AL21" s="6" t="inlineStr">
        <is>
          <t>Premier Endoscopy Center, LLC</t>
        </is>
      </c>
      <c r="AM21" s="7" t="n">
        <v>46213</v>
      </c>
      <c r="AN21" s="6" t="inlineStr">
        <is>
          <t>ORTHO</t>
        </is>
      </c>
      <c r="AO21" s="6" t="inlineStr">
        <is>
          <t>457</t>
        </is>
      </c>
    </row>
    <row r="22">
      <c r="A22" s="2" t="n"/>
      <c r="B22" s="3" t="n"/>
      <c r="C22" s="4" t="n"/>
      <c r="D22" s="5" t="n">
        <v>564121445</v>
      </c>
      <c r="E22" s="6" t="inlineStr">
        <is>
          <t>HF330426606</t>
        </is>
      </c>
      <c r="F22" s="7" t="n">
        <v>46203</v>
      </c>
      <c r="G22" s="6" t="inlineStr">
        <is>
          <t>Optum Care Medical Network of Arizona, Utah, &amp; Washington (LifePrint)</t>
        </is>
      </c>
      <c r="H22" s="6" t="inlineStr">
        <is>
          <t>Optum Care Medical Network of Arizona, Utah, &amp; Washington (LifePrint)</t>
        </is>
      </c>
      <c r="I22" s="6" t="inlineStr">
        <is>
          <t>No Payer</t>
        </is>
      </c>
      <c r="J22" s="8" t="inlineStr">
        <is>
          <t>27279+LT x1</t>
        </is>
      </c>
      <c r="K22" s="4" t="n"/>
      <c r="L22" s="5">
        <f>IF($O22="","",$O22-TODAY())</f>
        <v/>
      </c>
      <c r="M22" s="5">
        <f>IF($C22="","",$C22+365-TODAY())</f>
        <v/>
      </c>
      <c r="N22" s="5">
        <f>IF($C22="","",$C22+365-TODAY())</f>
        <v/>
      </c>
      <c r="O22" s="7" t="n">
        <v>46293</v>
      </c>
      <c r="P22" s="6" t="inlineStr">
        <is>
          <t>90 days</t>
        </is>
      </c>
      <c r="Q22" s="6" t="inlineStr">
        <is>
          <t>OPTUM</t>
        </is>
      </c>
      <c r="R22" s="6" t="inlineStr">
        <is>
          <t>365 days</t>
        </is>
      </c>
      <c r="S22" s="6" t="inlineStr">
        <is>
          <t>Processed date</t>
        </is>
      </c>
      <c r="T22" s="6" t="inlineStr">
        <is>
          <t>365 days</t>
        </is>
      </c>
      <c r="U22" s="6" t="inlineStr">
        <is>
          <t>Processed date</t>
        </is>
      </c>
      <c r="V22" s="6" t="inlineStr">
        <is>
          <t>LT</t>
        </is>
      </c>
      <c r="W22" s="6" t="n"/>
      <c r="X22" s="6" t="n"/>
      <c r="Y22" s="6" t="inlineStr">
        <is>
          <t>1</t>
        </is>
      </c>
      <c r="Z22" s="9" t="n">
        <v>5614.63</v>
      </c>
      <c r="AA22" s="9" t="n">
        <v>0</v>
      </c>
      <c r="AB22" s="9" t="n">
        <v>0</v>
      </c>
      <c r="AC22" s="7" t="n"/>
      <c r="AD22" s="9" t="n">
        <v>5614.63</v>
      </c>
      <c r="AE22" s="5" t="n">
        <v>39</v>
      </c>
      <c r="AF22" s="6" t="inlineStr">
        <is>
          <t>M461</t>
        </is>
      </c>
      <c r="AG22" s="6" t="n"/>
      <c r="AH22" s="6" t="n"/>
      <c r="AI22" s="6" t="n"/>
      <c r="AJ22" s="5" t="n"/>
      <c r="AK22" s="6" t="inlineStr">
        <is>
          <t>KRAUSE, JEFFREY</t>
        </is>
      </c>
      <c r="AL22" s="6" t="inlineStr">
        <is>
          <t>ASAP Surgery Centers North Valley LLC</t>
        </is>
      </c>
      <c r="AM22" s="7" t="n">
        <v>46211</v>
      </c>
      <c r="AN22" s="6" t="inlineStr">
        <is>
          <t>ORTHO</t>
        </is>
      </c>
      <c r="AO22" s="6" t="inlineStr">
        <is>
          <t>914</t>
        </is>
      </c>
    </row>
    <row r="23">
      <c r="A23" s="2" t="inlineStr">
        <is>
          <t>Finalized</t>
        </is>
      </c>
      <c r="B23" s="3" t="n"/>
      <c r="C23" s="4" t="n">
        <v>46206</v>
      </c>
      <c r="D23" s="5" t="n">
        <v>561704073</v>
      </c>
      <c r="E23" s="6" t="inlineStr">
        <is>
          <t>HF545433577</t>
        </is>
      </c>
      <c r="F23" s="7" t="n">
        <v>46182</v>
      </c>
      <c r="G23" s="6" t="inlineStr">
        <is>
          <t>Medicare Part B Arizona *</t>
        </is>
      </c>
      <c r="H23" s="6" t="inlineStr">
        <is>
          <t>Aetna Legacy</t>
        </is>
      </c>
      <c r="I23" s="6" t="inlineStr">
        <is>
          <t>Medicare Part B Arizona *</t>
        </is>
      </c>
      <c r="J23" s="8" t="inlineStr">
        <is>
          <t>63685 x1</t>
        </is>
      </c>
      <c r="K23" s="4" t="n"/>
      <c r="L23" s="5">
        <f>IF($O23="","",$O23-TODAY())</f>
        <v/>
      </c>
      <c r="M23" s="5">
        <f>IF($C23="","",$C23+180-TODAY())</f>
        <v/>
      </c>
      <c r="N23" s="5">
        <f>IF($C23="","",$C23+180-TODAY())</f>
        <v/>
      </c>
      <c r="O23" s="7" t="n">
        <v>46302</v>
      </c>
      <c r="P23" s="6" t="inlineStr">
        <is>
          <t>120 days</t>
        </is>
      </c>
      <c r="Q23" s="6" t="inlineStr">
        <is>
          <t>AETNA</t>
        </is>
      </c>
      <c r="R23" s="6" t="inlineStr">
        <is>
          <t>180 days</t>
        </is>
      </c>
      <c r="S23" s="6" t="inlineStr">
        <is>
          <t>Processed date</t>
        </is>
      </c>
      <c r="T23" s="6" t="inlineStr">
        <is>
          <t>180 days</t>
        </is>
      </c>
      <c r="U23" s="6" t="inlineStr">
        <is>
          <t>Processed date</t>
        </is>
      </c>
      <c r="V23" s="6" t="n"/>
      <c r="W23" s="6" t="n"/>
      <c r="X23" s="6" t="n"/>
      <c r="Y23" s="6" t="inlineStr">
        <is>
          <t>1</t>
        </is>
      </c>
      <c r="Z23" s="9" t="n">
        <v>2493.33</v>
      </c>
      <c r="AA23" s="9" t="n">
        <v>2418.74</v>
      </c>
      <c r="AB23" s="9" t="n">
        <v>67.13</v>
      </c>
      <c r="AC23" s="7" t="n">
        <v>46206</v>
      </c>
      <c r="AD23" s="9" t="n">
        <v>7.46</v>
      </c>
      <c r="AE23" s="5" t="n">
        <v>60</v>
      </c>
      <c r="AF23" s="6" t="inlineStr">
        <is>
          <t>M961</t>
        </is>
      </c>
      <c r="AG23" s="6" t="inlineStr">
        <is>
          <t>G894</t>
        </is>
      </c>
      <c r="AH23" s="6" t="n"/>
      <c r="AI23" s="6" t="n"/>
      <c r="AJ23" s="5" t="n">
        <v>565633590</v>
      </c>
      <c r="AK23" s="6" t="inlineStr">
        <is>
          <t>LEATHEM, JARRETT</t>
        </is>
      </c>
      <c r="AL23" s="6" t="inlineStr">
        <is>
          <t>Premier Endoscopy Center, LLC</t>
        </is>
      </c>
      <c r="AM23" s="7" t="n">
        <v>46184</v>
      </c>
      <c r="AN23" s="6" t="inlineStr">
        <is>
          <t>ORTHO</t>
        </is>
      </c>
      <c r="AO23" s="6" t="inlineStr">
        <is>
          <t>102</t>
        </is>
      </c>
    </row>
    <row r="24">
      <c r="A24" s="2" t="n"/>
      <c r="B24" s="3" t="n"/>
      <c r="C24" s="4" t="n">
        <v>46218</v>
      </c>
      <c r="D24" s="5" t="n">
        <v>563836350</v>
      </c>
      <c r="E24" s="6" t="inlineStr">
        <is>
          <t>HF429349260</t>
        </is>
      </c>
      <c r="F24" s="7" t="n">
        <v>46185</v>
      </c>
      <c r="G24" s="6" t="inlineStr">
        <is>
          <t>Arizona Complete Health (Centene)</t>
        </is>
      </c>
      <c r="H24" s="6" t="inlineStr">
        <is>
          <t>Arizona Complete Health (Centene)</t>
        </is>
      </c>
      <c r="I24" s="6" t="inlineStr">
        <is>
          <t>No Payer</t>
        </is>
      </c>
      <c r="J24" s="8" t="inlineStr">
        <is>
          <t>22853 x1</t>
        </is>
      </c>
      <c r="K24" s="4" t="n"/>
      <c r="L24" s="5">
        <f>IF($O24="","",$O24-TODAY())</f>
        <v/>
      </c>
      <c r="M24" s="5">
        <f>IF($F24="","",$F24+365-TODAY())</f>
        <v/>
      </c>
      <c r="N24" s="5">
        <f>IF($F24="","",$F24+365-TODAY())</f>
        <v/>
      </c>
      <c r="O24" s="7" t="n">
        <v>46305</v>
      </c>
      <c r="P24" s="6" t="inlineStr">
        <is>
          <t>120 days</t>
        </is>
      </c>
      <c r="Q24" s="6" t="inlineStr">
        <is>
          <t>AZ COMPLETE</t>
        </is>
      </c>
      <c r="R24" s="6" t="inlineStr">
        <is>
          <t>365 days</t>
        </is>
      </c>
      <c r="S24" s="6" t="inlineStr">
        <is>
          <t>Date of service</t>
        </is>
      </c>
      <c r="T24" s="6" t="inlineStr">
        <is>
          <t>365 days</t>
        </is>
      </c>
      <c r="U24" s="6" t="inlineStr">
        <is>
          <t>Date of service</t>
        </is>
      </c>
      <c r="V24" s="6" t="n"/>
      <c r="W24" s="6" t="n"/>
      <c r="X24" s="6" t="n"/>
      <c r="Y24" s="6" t="inlineStr">
        <is>
          <t>1</t>
        </is>
      </c>
      <c r="Z24" s="9" t="n">
        <v>1758.12</v>
      </c>
      <c r="AA24" s="9" t="n">
        <v>0</v>
      </c>
      <c r="AB24" s="9" t="n">
        <v>0</v>
      </c>
      <c r="AC24" s="7" t="n">
        <v>46218</v>
      </c>
      <c r="AD24" s="9" t="n">
        <v>1758.12</v>
      </c>
      <c r="AE24" s="5" t="n">
        <v>57</v>
      </c>
      <c r="AF24" s="6" t="inlineStr">
        <is>
          <t>M5412</t>
        </is>
      </c>
      <c r="AG24" s="6" t="inlineStr">
        <is>
          <t>M4802</t>
        </is>
      </c>
      <c r="AH24" s="6" t="n"/>
      <c r="AI24" s="6" t="n"/>
      <c r="AJ24" s="5" t="n"/>
      <c r="AK24" s="6" t="inlineStr">
        <is>
          <t>MAYURAN, VIKRAM</t>
        </is>
      </c>
      <c r="AL24" s="6" t="inlineStr">
        <is>
          <t>Banner Desert Medical Center</t>
        </is>
      </c>
      <c r="AM24" s="7" t="n">
        <v>46203</v>
      </c>
      <c r="AN24" s="6" t="inlineStr">
        <is>
          <t>ORTHO</t>
        </is>
      </c>
      <c r="AO24" s="6" t="inlineStr">
        <is>
          <t>581</t>
        </is>
      </c>
    </row>
    <row r="25">
      <c r="A25" s="2" t="n"/>
      <c r="B25" s="3" t="n"/>
      <c r="C25" s="4" t="n"/>
      <c r="D25" s="5" t="n">
        <v>564511467</v>
      </c>
      <c r="E25" s="6" t="inlineStr">
        <is>
          <t>HF548912465</t>
        </is>
      </c>
      <c r="F25" s="7" t="n">
        <v>46192</v>
      </c>
      <c r="G25" s="6" t="inlineStr">
        <is>
          <t>Banner Medicare Advantage Prime HMO (BMAH)</t>
        </is>
      </c>
      <c r="H25" s="6" t="inlineStr">
        <is>
          <t>Banner Medicare Advantage Prime HMO (BMAH)</t>
        </is>
      </c>
      <c r="I25" s="6" t="inlineStr">
        <is>
          <t>No Payer</t>
        </is>
      </c>
      <c r="J25" s="8" t="inlineStr">
        <is>
          <t>63048 x1; 63047 x1</t>
        </is>
      </c>
      <c r="K25" s="4" t="n"/>
      <c r="L25" s="5">
        <f>IF($O25="","",$O25-TODAY())</f>
        <v/>
      </c>
      <c r="M25" s="5" t="n"/>
      <c r="N25" s="5">
        <f>IF($C25="","",$C25+65-TODAY())</f>
        <v/>
      </c>
      <c r="O25" s="7" t="n">
        <v>46312</v>
      </c>
      <c r="P25" s="6" t="inlineStr">
        <is>
          <t>120 days</t>
        </is>
      </c>
      <c r="Q25" s="6" t="inlineStr">
        <is>
          <t>BANNER MEDICARE ADVANTAGE</t>
        </is>
      </c>
      <c r="R25" s="6" t="n"/>
      <c r="S25" s="6" t="n"/>
      <c r="T25" s="6" t="inlineStr">
        <is>
          <t>65 days</t>
        </is>
      </c>
      <c r="U25" s="6" t="inlineStr">
        <is>
          <t>Processed date</t>
        </is>
      </c>
      <c r="V25" s="6" t="n"/>
      <c r="W25" s="6" t="n"/>
      <c r="X25" s="6" t="n"/>
      <c r="Y25" s="6" t="inlineStr">
        <is>
          <t>1</t>
        </is>
      </c>
      <c r="Z25" s="9" t="n">
        <v>9056.389999999999</v>
      </c>
      <c r="AA25" s="9" t="n">
        <v>0</v>
      </c>
      <c r="AB25" s="9" t="n">
        <v>0</v>
      </c>
      <c r="AC25" s="7" t="n"/>
      <c r="AD25" s="9" t="n">
        <v>9056.389999999999</v>
      </c>
      <c r="AE25" s="5" t="n">
        <v>50</v>
      </c>
      <c r="AF25" s="6" t="inlineStr">
        <is>
          <t>M48061</t>
        </is>
      </c>
      <c r="AG25" s="6" t="inlineStr">
        <is>
          <t>M5417, M5416</t>
        </is>
      </c>
      <c r="AH25" s="6" t="inlineStr">
        <is>
          <t>M5450</t>
        </is>
      </c>
      <c r="AI25" s="6" t="n"/>
      <c r="AJ25" s="5" t="n"/>
      <c r="AK25" s="6" t="inlineStr">
        <is>
          <t>MCCUNNIFF, PETER</t>
        </is>
      </c>
      <c r="AL25" s="6" t="inlineStr">
        <is>
          <t>Honor Health Deer Valley Medical Center</t>
        </is>
      </c>
      <c r="AM25" s="7" t="n">
        <v>46210</v>
      </c>
      <c r="AN25" s="6" t="inlineStr">
        <is>
          <t>ORTHO</t>
        </is>
      </c>
      <c r="AO25" s="6" t="inlineStr">
        <is>
          <t>565, 566</t>
        </is>
      </c>
    </row>
    <row r="26">
      <c r="A26" s="2" t="n"/>
      <c r="B26" s="3" t="n"/>
      <c r="C26" s="4" t="n">
        <v>46217</v>
      </c>
      <c r="D26" s="5" t="n">
        <v>563945778</v>
      </c>
      <c r="E26" s="6" t="inlineStr">
        <is>
          <t>HF554708597</t>
        </is>
      </c>
      <c r="F26" s="7" t="n">
        <v>46193</v>
      </c>
      <c r="G26" s="6" t="inlineStr">
        <is>
          <t>Aetna Legacy</t>
        </is>
      </c>
      <c r="H26" s="6" t="inlineStr">
        <is>
          <t>Aetna Legacy</t>
        </is>
      </c>
      <c r="I26" s="6" t="inlineStr">
        <is>
          <t>No Payer</t>
        </is>
      </c>
      <c r="J26" s="8" t="inlineStr">
        <is>
          <t>63047+LT x1</t>
        </is>
      </c>
      <c r="K26" s="4" t="n"/>
      <c r="L26" s="5">
        <f>IF($O26="","",$O26-TODAY())</f>
        <v/>
      </c>
      <c r="M26" s="5">
        <f>IF($C26="","",$C26+180-TODAY())</f>
        <v/>
      </c>
      <c r="N26" s="5">
        <f>IF($C26="","",$C26+180-TODAY())</f>
        <v/>
      </c>
      <c r="O26" s="7" t="n">
        <v>46313</v>
      </c>
      <c r="P26" s="6" t="inlineStr">
        <is>
          <t>120 days</t>
        </is>
      </c>
      <c r="Q26" s="6" t="inlineStr">
        <is>
          <t>AETNA</t>
        </is>
      </c>
      <c r="R26" s="6" t="inlineStr">
        <is>
          <t>180 days</t>
        </is>
      </c>
      <c r="S26" s="6" t="inlineStr">
        <is>
          <t>Processed date</t>
        </is>
      </c>
      <c r="T26" s="6" t="inlineStr">
        <is>
          <t>180 days</t>
        </is>
      </c>
      <c r="U26" s="6" t="inlineStr">
        <is>
          <t>Processed date</t>
        </is>
      </c>
      <c r="V26" s="6" t="inlineStr">
        <is>
          <t>LT</t>
        </is>
      </c>
      <c r="W26" s="6" t="n"/>
      <c r="X26" s="6" t="n"/>
      <c r="Y26" s="6" t="inlineStr">
        <is>
          <t>1</t>
        </is>
      </c>
      <c r="Z26" s="9" t="n">
        <v>7623.07</v>
      </c>
      <c r="AA26" s="9" t="n">
        <v>0</v>
      </c>
      <c r="AB26" s="9" t="n">
        <v>0</v>
      </c>
      <c r="AC26" s="7" t="n">
        <v>46217</v>
      </c>
      <c r="AD26" s="9" t="n">
        <v>7623.07</v>
      </c>
      <c r="AE26" s="5" t="n">
        <v>49</v>
      </c>
      <c r="AF26" s="6" t="inlineStr">
        <is>
          <t>M48062</t>
        </is>
      </c>
      <c r="AG26" s="6" t="n"/>
      <c r="AH26" s="6" t="n"/>
      <c r="AI26" s="6" t="n"/>
      <c r="AJ26" s="5" t="n"/>
      <c r="AK26" s="6" t="inlineStr">
        <is>
          <t>O'NEIL, ROY</t>
        </is>
      </c>
      <c r="AL26" s="6" t="inlineStr">
        <is>
          <t>ASAP Surgery Centers North Valley LLC</t>
        </is>
      </c>
      <c r="AM26" s="7" t="n">
        <v>46205</v>
      </c>
      <c r="AN26" s="6" t="inlineStr">
        <is>
          <t>ORTHO</t>
        </is>
      </c>
      <c r="AO26" s="6" t="inlineStr">
        <is>
          <t>872</t>
        </is>
      </c>
    </row>
    <row r="27">
      <c r="A27" s="2" t="n"/>
      <c r="B27" s="3" t="n"/>
      <c r="C27" s="4" t="n"/>
      <c r="D27" s="5" t="n">
        <v>563832712</v>
      </c>
      <c r="E27" s="6" t="inlineStr">
        <is>
          <t>HF537995499</t>
        </is>
      </c>
      <c r="F27" s="7" t="n">
        <v>46195</v>
      </c>
      <c r="G27" s="6" t="inlineStr">
        <is>
          <t>Aetna Legacy</t>
        </is>
      </c>
      <c r="H27" s="6" t="inlineStr">
        <is>
          <t>Aetna Legacy</t>
        </is>
      </c>
      <c r="I27" s="6" t="inlineStr">
        <is>
          <t>No Payer</t>
        </is>
      </c>
      <c r="J27" s="8" t="inlineStr">
        <is>
          <t>22858 x1; 22856 x1</t>
        </is>
      </c>
      <c r="K27" s="4" t="n"/>
      <c r="L27" s="5">
        <f>IF($O27="","",$O27-TODAY())</f>
        <v/>
      </c>
      <c r="M27" s="5">
        <f>IF($C27="","",$C27+180-TODAY())</f>
        <v/>
      </c>
      <c r="N27" s="5">
        <f>IF($C27="","",$C27+180-TODAY())</f>
        <v/>
      </c>
      <c r="O27" s="7" t="n">
        <v>46315</v>
      </c>
      <c r="P27" s="6" t="inlineStr">
        <is>
          <t>120 days</t>
        </is>
      </c>
      <c r="Q27" s="6" t="inlineStr">
        <is>
          <t>AETNA</t>
        </is>
      </c>
      <c r="R27" s="6" t="inlineStr">
        <is>
          <t>180 days</t>
        </is>
      </c>
      <c r="S27" s="6" t="inlineStr">
        <is>
          <t>Processed date</t>
        </is>
      </c>
      <c r="T27" s="6" t="inlineStr">
        <is>
          <t>180 days</t>
        </is>
      </c>
      <c r="U27" s="6" t="inlineStr">
        <is>
          <t>Processed date</t>
        </is>
      </c>
      <c r="V27" s="6" t="n"/>
      <c r="W27" s="6" t="n"/>
      <c r="X27" s="6" t="n"/>
      <c r="Y27" s="6" t="inlineStr">
        <is>
          <t>1</t>
        </is>
      </c>
      <c r="Z27" s="9" t="n">
        <v>14614.67</v>
      </c>
      <c r="AA27" s="9" t="n">
        <v>0</v>
      </c>
      <c r="AB27" s="9" t="n">
        <v>0</v>
      </c>
      <c r="AC27" s="7" t="n"/>
      <c r="AD27" s="9" t="n">
        <v>14614.67</v>
      </c>
      <c r="AE27" s="5" t="n">
        <v>47</v>
      </c>
      <c r="AF27" s="6" t="inlineStr">
        <is>
          <t>M4802</t>
        </is>
      </c>
      <c r="AG27" s="6" t="inlineStr">
        <is>
          <t>M4722</t>
        </is>
      </c>
      <c r="AH27" s="6" t="inlineStr">
        <is>
          <t>M9971</t>
        </is>
      </c>
      <c r="AI27" s="6" t="inlineStr">
        <is>
          <t>M4692</t>
        </is>
      </c>
      <c r="AJ27" s="5" t="n"/>
      <c r="AK27" s="6" t="inlineStr">
        <is>
          <t>LUKE, TIMOTHY</t>
        </is>
      </c>
      <c r="AL27" s="6" t="inlineStr">
        <is>
          <t>ASAP Surgery Centers North Valley LLC</t>
        </is>
      </c>
      <c r="AM27" s="7" t="n">
        <v>46203</v>
      </c>
      <c r="AN27" s="6" t="inlineStr">
        <is>
          <t>ORTHO</t>
        </is>
      </c>
      <c r="AO27" s="6" t="inlineStr">
        <is>
          <t>455, 456</t>
        </is>
      </c>
    </row>
    <row r="28">
      <c r="A28" s="2" t="n"/>
      <c r="B28" s="3" t="n"/>
      <c r="C28" s="4" t="n"/>
      <c r="D28" s="5" t="n">
        <v>563845926</v>
      </c>
      <c r="E28" s="6" t="inlineStr">
        <is>
          <t>HF495192860</t>
        </is>
      </c>
      <c r="F28" s="7" t="n">
        <v>46198</v>
      </c>
      <c r="G28" s="6" t="inlineStr">
        <is>
          <t>AMBETTER</t>
        </is>
      </c>
      <c r="H28" s="6" t="inlineStr">
        <is>
          <t>AMBETTER</t>
        </is>
      </c>
      <c r="I28" s="6" t="inlineStr">
        <is>
          <t>No Payer</t>
        </is>
      </c>
      <c r="J28" s="8" t="inlineStr">
        <is>
          <t>22856 x1; 22858 x1</t>
        </is>
      </c>
      <c r="K28" s="4" t="n"/>
      <c r="L28" s="5">
        <f>IF($O28="","",$O28-TODAY())</f>
        <v/>
      </c>
      <c r="M28" s="5">
        <f>IF($F28="","",$F28+365-TODAY())</f>
        <v/>
      </c>
      <c r="N28" s="5">
        <f>IF($C28="","",$C28+180-TODAY())</f>
        <v/>
      </c>
      <c r="O28" s="7" t="n">
        <v>46318</v>
      </c>
      <c r="P28" s="6" t="inlineStr">
        <is>
          <t>120 days</t>
        </is>
      </c>
      <c r="Q28" s="6" t="inlineStr">
        <is>
          <t>AMBETTER</t>
        </is>
      </c>
      <c r="R28" s="6" t="inlineStr">
        <is>
          <t>365 days</t>
        </is>
      </c>
      <c r="S28" s="6" t="inlineStr">
        <is>
          <t>Date of service</t>
        </is>
      </c>
      <c r="T28" s="6" t="inlineStr">
        <is>
          <t>180 days</t>
        </is>
      </c>
      <c r="U28" s="6" t="inlineStr">
        <is>
          <t>Processed date</t>
        </is>
      </c>
      <c r="V28" s="6" t="n"/>
      <c r="W28" s="6" t="n"/>
      <c r="X28" s="6" t="n"/>
      <c r="Y28" s="6" t="inlineStr">
        <is>
          <t>1</t>
        </is>
      </c>
      <c r="Z28" s="9" t="n">
        <v>14614.67</v>
      </c>
      <c r="AA28" s="9" t="n">
        <v>0</v>
      </c>
      <c r="AB28" s="9" t="n">
        <v>0</v>
      </c>
      <c r="AC28" s="7" t="n"/>
      <c r="AD28" s="9" t="n">
        <v>14614.67</v>
      </c>
      <c r="AE28" s="5" t="n">
        <v>44</v>
      </c>
      <c r="AF28" s="6" t="inlineStr">
        <is>
          <t>M4802</t>
        </is>
      </c>
      <c r="AG28" s="6" t="inlineStr">
        <is>
          <t>M5412</t>
        </is>
      </c>
      <c r="AH28" s="6" t="inlineStr">
        <is>
          <t>M9971</t>
        </is>
      </c>
      <c r="AI28" s="6" t="inlineStr">
        <is>
          <t>M50222, M50322</t>
        </is>
      </c>
      <c r="AJ28" s="5" t="n"/>
      <c r="AK28" s="6" t="inlineStr">
        <is>
          <t>LUKE, TIMOTHY</t>
        </is>
      </c>
      <c r="AL28" s="6" t="inlineStr">
        <is>
          <t>ASAP Surgery Centers North Valley LLC</t>
        </is>
      </c>
      <c r="AM28" s="7" t="n">
        <v>46203</v>
      </c>
      <c r="AN28" s="6" t="inlineStr">
        <is>
          <t>ORTHO</t>
        </is>
      </c>
      <c r="AO28" s="6" t="inlineStr">
        <is>
          <t>525, 526</t>
        </is>
      </c>
    </row>
    <row r="29">
      <c r="A29" s="2" t="n"/>
      <c r="B29" s="3" t="n"/>
      <c r="C29" s="4" t="n">
        <v>46188</v>
      </c>
      <c r="D29" s="5" t="n">
        <v>561270366</v>
      </c>
      <c r="E29" s="6" t="inlineStr">
        <is>
          <t>HF446078490</t>
        </is>
      </c>
      <c r="F29" s="7" t="n">
        <v>46177</v>
      </c>
      <c r="G29" s="6" t="inlineStr">
        <is>
          <t>Medicare Part B Arizona *</t>
        </is>
      </c>
      <c r="H29" s="6" t="inlineStr">
        <is>
          <t>Medicare Part B Arizona *</t>
        </is>
      </c>
      <c r="I29" s="6" t="inlineStr">
        <is>
          <t>Aetna Life &amp; Casualty Company</t>
        </is>
      </c>
      <c r="J29" s="8" t="inlineStr">
        <is>
          <t>27279+LT x1</t>
        </is>
      </c>
      <c r="K29" s="4" t="n"/>
      <c r="L29" s="5">
        <f>IF($O29="","",$O29-TODAY())</f>
        <v/>
      </c>
      <c r="M29" s="5">
        <f>IF($C29="","",$C29+365-TODAY())</f>
        <v/>
      </c>
      <c r="N29" s="5">
        <f>IF($C29="","",$C29+120-TODAY())</f>
        <v/>
      </c>
      <c r="O29" s="7" t="n">
        <v>46542</v>
      </c>
      <c r="P29" s="6" t="inlineStr">
        <is>
          <t>365 days</t>
        </is>
      </c>
      <c r="Q29" s="6" t="inlineStr">
        <is>
          <t>MEDICARE</t>
        </is>
      </c>
      <c r="R29" s="6" t="inlineStr">
        <is>
          <t>365 days</t>
        </is>
      </c>
      <c r="S29" s="6" t="inlineStr">
        <is>
          <t>Processed date</t>
        </is>
      </c>
      <c r="T29" s="6" t="inlineStr">
        <is>
          <t>120 days</t>
        </is>
      </c>
      <c r="U29" s="6" t="inlineStr">
        <is>
          <t>Processed date</t>
        </is>
      </c>
      <c r="V29" s="6" t="inlineStr">
        <is>
          <t>LT</t>
        </is>
      </c>
      <c r="W29" s="6" t="n"/>
      <c r="X29" s="6" t="n"/>
      <c r="Y29" s="6" t="inlineStr">
        <is>
          <t>1</t>
        </is>
      </c>
      <c r="Z29" s="9" t="n">
        <v>5614.63</v>
      </c>
      <c r="AA29" s="9" t="n">
        <v>0</v>
      </c>
      <c r="AB29" s="9" t="n">
        <v>0</v>
      </c>
      <c r="AC29" s="7" t="n">
        <v>46188</v>
      </c>
      <c r="AD29" s="9" t="n">
        <v>5614.63</v>
      </c>
      <c r="AE29" s="5" t="n">
        <v>65</v>
      </c>
      <c r="AF29" s="6" t="inlineStr">
        <is>
          <t>M461</t>
        </is>
      </c>
      <c r="AG29" s="6" t="n"/>
      <c r="AH29" s="6" t="n"/>
      <c r="AI29" s="6" t="n"/>
      <c r="AJ29" s="5" t="n"/>
      <c r="AK29" s="6" t="inlineStr">
        <is>
          <t>KALLGREN, MARK</t>
        </is>
      </c>
      <c r="AL29" s="6" t="inlineStr">
        <is>
          <t>Premier Endoscopy Center, LLC</t>
        </is>
      </c>
      <c r="AM29" s="7" t="n">
        <v>46181</v>
      </c>
      <c r="AN29" s="6" t="inlineStr">
        <is>
          <t>ORTHO</t>
        </is>
      </c>
      <c r="AO29" s="6" t="inlineStr">
        <is>
          <t>187</t>
        </is>
      </c>
    </row>
    <row r="30">
      <c r="A30" s="2" t="inlineStr">
        <is>
          <t>Finalized</t>
        </is>
      </c>
      <c r="B30" s="3" t="n"/>
      <c r="C30" s="4" t="n">
        <v>46204</v>
      </c>
      <c r="D30" s="5" t="n">
        <v>562552799</v>
      </c>
      <c r="E30" s="6" t="inlineStr">
        <is>
          <t>HF489743294</t>
        </is>
      </c>
      <c r="F30" s="7" t="n">
        <v>46183</v>
      </c>
      <c r="G30" s="6" t="inlineStr">
        <is>
          <t>AARP United Healthcare</t>
        </is>
      </c>
      <c r="H30" s="6" t="inlineStr">
        <is>
          <t>Medicare Part B Arizona *</t>
        </is>
      </c>
      <c r="I30" s="6" t="inlineStr">
        <is>
          <t>AARP United Healthcare</t>
        </is>
      </c>
      <c r="J30" s="8" t="inlineStr">
        <is>
          <t>63045 x1; 63048 x1</t>
        </is>
      </c>
      <c r="K30" s="4" t="n"/>
      <c r="L30" s="5">
        <f>IF($O30="","",$O30-TODAY())</f>
        <v/>
      </c>
      <c r="M30" s="5">
        <f>IF($C30="","",$C30+365-TODAY())</f>
        <v/>
      </c>
      <c r="N30" s="5">
        <f>IF($C30="","",$C30+120-TODAY())</f>
        <v/>
      </c>
      <c r="O30" s="7" t="n">
        <v>46548</v>
      </c>
      <c r="P30" s="6" t="inlineStr">
        <is>
          <t>365 days</t>
        </is>
      </c>
      <c r="Q30" s="6" t="inlineStr">
        <is>
          <t>MEDICARE</t>
        </is>
      </c>
      <c r="R30" s="6" t="inlineStr">
        <is>
          <t>365 days</t>
        </is>
      </c>
      <c r="S30" s="6" t="inlineStr">
        <is>
          <t>Processed date</t>
        </is>
      </c>
      <c r="T30" s="6" t="inlineStr">
        <is>
          <t>120 days</t>
        </is>
      </c>
      <c r="U30" s="6" t="inlineStr">
        <is>
          <t>Processed date</t>
        </is>
      </c>
      <c r="V30" s="6" t="n"/>
      <c r="W30" s="6" t="n"/>
      <c r="X30" s="6" t="n"/>
      <c r="Y30" s="6" t="inlineStr">
        <is>
          <t>1</t>
        </is>
      </c>
      <c r="Z30" s="9" t="n">
        <v>10302.88</v>
      </c>
      <c r="AA30" s="9" t="n">
        <v>8939.110000000001</v>
      </c>
      <c r="AB30" s="9" t="n">
        <v>1086.59</v>
      </c>
      <c r="AC30" s="7" t="n">
        <v>46204</v>
      </c>
      <c r="AD30" s="9" t="n">
        <v>277.18</v>
      </c>
      <c r="AE30" s="5" t="n">
        <v>59</v>
      </c>
      <c r="AF30" s="6" t="inlineStr">
        <is>
          <t>M4802</t>
        </is>
      </c>
      <c r="AG30" s="6" t="inlineStr">
        <is>
          <t>M5412</t>
        </is>
      </c>
      <c r="AH30" s="6" t="inlineStr">
        <is>
          <t>M9971</t>
        </is>
      </c>
      <c r="AI30" s="6" t="inlineStr">
        <is>
          <t>M5030</t>
        </is>
      </c>
      <c r="AJ30" s="5" t="n">
        <v>565293082</v>
      </c>
      <c r="AK30" s="6" t="inlineStr">
        <is>
          <t>LUKE, TIMOTHY</t>
        </is>
      </c>
      <c r="AL30" s="6" t="inlineStr">
        <is>
          <t>ASAP Surgery Centers North Valley LLC</t>
        </is>
      </c>
      <c r="AM30" s="7" t="n">
        <v>46190</v>
      </c>
      <c r="AN30" s="6" t="inlineStr">
        <is>
          <t>ORTHO</t>
        </is>
      </c>
      <c r="AO30" s="6" t="inlineStr">
        <is>
          <t>501, 502</t>
        </is>
      </c>
    </row>
    <row r="31">
      <c r="A31" s="2" t="n"/>
      <c r="B31" s="3" t="n"/>
      <c r="C31" s="4" t="n">
        <v>46199</v>
      </c>
      <c r="D31" s="5" t="n">
        <v>562396593</v>
      </c>
      <c r="E31" s="6" t="inlineStr">
        <is>
          <t>HF394586216</t>
        </is>
      </c>
      <c r="F31" s="7" t="n">
        <v>46188</v>
      </c>
      <c r="G31" s="6" t="inlineStr">
        <is>
          <t>Medicare Part B Arizona *</t>
        </is>
      </c>
      <c r="H31" s="6" t="inlineStr">
        <is>
          <t>Medicare Part B Arizona *</t>
        </is>
      </c>
      <c r="I31" s="6" t="inlineStr">
        <is>
          <t>USAA Life Insurance Company</t>
        </is>
      </c>
      <c r="J31" s="8" t="inlineStr">
        <is>
          <t>63047 x1</t>
        </is>
      </c>
      <c r="K31" s="4" t="n"/>
      <c r="L31" s="5">
        <f>IF($O31="","",$O31-TODAY())</f>
        <v/>
      </c>
      <c r="M31" s="5">
        <f>IF($C31="","",$C31+365-TODAY())</f>
        <v/>
      </c>
      <c r="N31" s="5">
        <f>IF($C31="","",$C31+120-TODAY())</f>
        <v/>
      </c>
      <c r="O31" s="7" t="n">
        <v>46553</v>
      </c>
      <c r="P31" s="6" t="inlineStr">
        <is>
          <t>365 days</t>
        </is>
      </c>
      <c r="Q31" s="6" t="inlineStr">
        <is>
          <t>MEDICARE</t>
        </is>
      </c>
      <c r="R31" s="6" t="inlineStr">
        <is>
          <t>365 days</t>
        </is>
      </c>
      <c r="S31" s="6" t="inlineStr">
        <is>
          <t>Processed date</t>
        </is>
      </c>
      <c r="T31" s="6" t="inlineStr">
        <is>
          <t>120 days</t>
        </is>
      </c>
      <c r="U31" s="6" t="inlineStr">
        <is>
          <t>Processed date</t>
        </is>
      </c>
      <c r="V31" s="6" t="n"/>
      <c r="W31" s="6" t="n"/>
      <c r="X31" s="6" t="n"/>
      <c r="Y31" s="6" t="inlineStr">
        <is>
          <t>1</t>
        </is>
      </c>
      <c r="Z31" s="9" t="n">
        <v>7623.07</v>
      </c>
      <c r="AA31" s="9" t="n">
        <v>0</v>
      </c>
      <c r="AB31" s="9" t="n">
        <v>0</v>
      </c>
      <c r="AC31" s="7" t="n">
        <v>46199</v>
      </c>
      <c r="AD31" s="9" t="n">
        <v>7623.07</v>
      </c>
      <c r="AE31" s="5" t="n">
        <v>54</v>
      </c>
      <c r="AF31" s="6" t="inlineStr">
        <is>
          <t>M48062</t>
        </is>
      </c>
      <c r="AG31" s="6" t="inlineStr">
        <is>
          <t>M5416</t>
        </is>
      </c>
      <c r="AH31" s="6" t="inlineStr">
        <is>
          <t>M51360</t>
        </is>
      </c>
      <c r="AI31" s="6" t="n"/>
      <c r="AJ31" s="5" t="n"/>
      <c r="AK31" s="6" t="inlineStr">
        <is>
          <t>BURGHER, ABRAM</t>
        </is>
      </c>
      <c r="AL31" s="6" t="inlineStr">
        <is>
          <t>ASAP Surgery Centers North Valley LLC</t>
        </is>
      </c>
      <c r="AM31" s="7" t="n">
        <v>46190</v>
      </c>
      <c r="AN31" s="6" t="inlineStr">
        <is>
          <t>ORTHO</t>
        </is>
      </c>
      <c r="AO31" s="6" t="inlineStr">
        <is>
          <t>473</t>
        </is>
      </c>
    </row>
    <row r="32">
      <c r="A32" s="2" t="n"/>
      <c r="B32" s="3" t="n"/>
      <c r="C32" s="4" t="n">
        <v>46195</v>
      </c>
      <c r="D32" s="5" t="n">
        <v>562554208</v>
      </c>
      <c r="E32" s="6" t="inlineStr">
        <is>
          <t>HF548056702</t>
        </is>
      </c>
      <c r="F32" s="7" t="n">
        <v>46188</v>
      </c>
      <c r="G32" s="6" t="inlineStr">
        <is>
          <t>Medicare Part B Arizona *</t>
        </is>
      </c>
      <c r="H32" s="6" t="inlineStr">
        <is>
          <t>Medicare Part B Arizona *</t>
        </is>
      </c>
      <c r="I32" s="6" t="inlineStr">
        <is>
          <t>ChampVA - HAC</t>
        </is>
      </c>
      <c r="J32" s="8" t="inlineStr">
        <is>
          <t>63655 x1</t>
        </is>
      </c>
      <c r="K32" s="4" t="n"/>
      <c r="L32" s="5">
        <f>IF($O32="","",$O32-TODAY())</f>
        <v/>
      </c>
      <c r="M32" s="5">
        <f>IF($C32="","",$C32+365-TODAY())</f>
        <v/>
      </c>
      <c r="N32" s="5">
        <f>IF($C32="","",$C32+120-TODAY())</f>
        <v/>
      </c>
      <c r="O32" s="7" t="n">
        <v>46553</v>
      </c>
      <c r="P32" s="6" t="inlineStr">
        <is>
          <t>365 days</t>
        </is>
      </c>
      <c r="Q32" s="6" t="inlineStr">
        <is>
          <t>MEDICARE</t>
        </is>
      </c>
      <c r="R32" s="6" t="inlineStr">
        <is>
          <t>365 days</t>
        </is>
      </c>
      <c r="S32" s="6" t="inlineStr">
        <is>
          <t>Processed date</t>
        </is>
      </c>
      <c r="T32" s="6" t="inlineStr">
        <is>
          <t>120 days</t>
        </is>
      </c>
      <c r="U32" s="6" t="inlineStr">
        <is>
          <t>Processed date</t>
        </is>
      </c>
      <c r="V32" s="6" t="n"/>
      <c r="W32" s="6" t="n"/>
      <c r="X32" s="6" t="n"/>
      <c r="Y32" s="6" t="inlineStr">
        <is>
          <t>1</t>
        </is>
      </c>
      <c r="Z32" s="9" t="n">
        <v>5784.24</v>
      </c>
      <c r="AA32" s="9" t="n">
        <v>0</v>
      </c>
      <c r="AB32" s="9" t="n">
        <v>0</v>
      </c>
      <c r="AC32" s="7" t="n">
        <v>46195</v>
      </c>
      <c r="AD32" s="9" t="n">
        <v>5784.24</v>
      </c>
      <c r="AE32" s="5" t="n">
        <v>54</v>
      </c>
      <c r="AF32" s="6" t="inlineStr">
        <is>
          <t>G90523</t>
        </is>
      </c>
      <c r="AG32" s="6" t="inlineStr">
        <is>
          <t>M5416</t>
        </is>
      </c>
      <c r="AH32" s="6" t="n"/>
      <c r="AI32" s="6" t="n"/>
      <c r="AJ32" s="5" t="n"/>
      <c r="AK32" s="6" t="inlineStr">
        <is>
          <t>LUKE, TIMOTHY</t>
        </is>
      </c>
      <c r="AL32" s="6" t="inlineStr">
        <is>
          <t>ASAP Surgery Centers North Valley LLC</t>
        </is>
      </c>
      <c r="AM32" s="7" t="n">
        <v>46190</v>
      </c>
      <c r="AN32" s="6" t="inlineStr">
        <is>
          <t>ORTHO</t>
        </is>
      </c>
      <c r="AO32" s="6" t="inlineStr">
        <is>
          <t>202</t>
        </is>
      </c>
    </row>
    <row r="33">
      <c r="A33" s="2" t="inlineStr">
        <is>
          <t>Finalized</t>
        </is>
      </c>
      <c r="B33" s="3" t="n"/>
      <c r="C33" s="4" t="n">
        <v>46218</v>
      </c>
      <c r="D33" s="5" t="n">
        <v>563829526</v>
      </c>
      <c r="E33" s="6" t="inlineStr">
        <is>
          <t>HF335035633</t>
        </is>
      </c>
      <c r="F33" s="7" t="n">
        <v>46191</v>
      </c>
      <c r="G33" s="6" t="inlineStr">
        <is>
          <t>Tricare for Life (All Regions)</t>
        </is>
      </c>
      <c r="H33" s="6" t="inlineStr">
        <is>
          <t>Medicare Part B Arizona *</t>
        </is>
      </c>
      <c r="I33" s="6" t="inlineStr">
        <is>
          <t>Tricare for Life (All Regions)</t>
        </is>
      </c>
      <c r="J33" s="8" t="inlineStr">
        <is>
          <t>22856 x1</t>
        </is>
      </c>
      <c r="K33" s="4" t="n"/>
      <c r="L33" s="5">
        <f>IF($O33="","",$O33-TODAY())</f>
        <v/>
      </c>
      <c r="M33" s="5">
        <f>IF($C33="","",$C33+365-TODAY())</f>
        <v/>
      </c>
      <c r="N33" s="5">
        <f>IF($C33="","",$C33+120-TODAY())</f>
        <v/>
      </c>
      <c r="O33" s="7" t="n">
        <v>46556</v>
      </c>
      <c r="P33" s="6" t="inlineStr">
        <is>
          <t>365 days</t>
        </is>
      </c>
      <c r="Q33" s="6" t="inlineStr">
        <is>
          <t>MEDICARE</t>
        </is>
      </c>
      <c r="R33" s="6" t="inlineStr">
        <is>
          <t>365 days</t>
        </is>
      </c>
      <c r="S33" s="6" t="inlineStr">
        <is>
          <t>Processed date</t>
        </is>
      </c>
      <c r="T33" s="6" t="inlineStr">
        <is>
          <t>120 days</t>
        </is>
      </c>
      <c r="U33" s="6" t="inlineStr">
        <is>
          <t>Processed date</t>
        </is>
      </c>
      <c r="V33" s="6" t="n"/>
      <c r="W33" s="6" t="n"/>
      <c r="X33" s="6" t="n"/>
      <c r="Y33" s="6" t="inlineStr">
        <is>
          <t>1</t>
        </is>
      </c>
      <c r="Z33" s="9" t="n">
        <v>11163.74</v>
      </c>
      <c r="AA33" s="9" t="n">
        <v>9716.030000000001</v>
      </c>
      <c r="AB33" s="9" t="n">
        <v>1153.46</v>
      </c>
      <c r="AC33" s="7" t="n">
        <v>46218</v>
      </c>
      <c r="AD33" s="9" t="n">
        <v>294.25</v>
      </c>
      <c r="AE33" s="5" t="n">
        <v>51</v>
      </c>
      <c r="AF33" s="6" t="inlineStr">
        <is>
          <t>M4802</t>
        </is>
      </c>
      <c r="AG33" s="6" t="inlineStr">
        <is>
          <t>M5412</t>
        </is>
      </c>
      <c r="AH33" s="6" t="inlineStr">
        <is>
          <t>M9971</t>
        </is>
      </c>
      <c r="AI33" s="6" t="inlineStr">
        <is>
          <t>M50021</t>
        </is>
      </c>
      <c r="AJ33" s="5" t="n">
        <v>567245908</v>
      </c>
      <c r="AK33" s="6" t="inlineStr">
        <is>
          <t>LUKE, TIMOTHY</t>
        </is>
      </c>
      <c r="AL33" s="6" t="inlineStr">
        <is>
          <t>ASAP Surgery Centers North Valley LLC</t>
        </is>
      </c>
      <c r="AM33" s="7" t="n">
        <v>46203</v>
      </c>
      <c r="AN33" s="6" t="inlineStr">
        <is>
          <t>ORTHO</t>
        </is>
      </c>
      <c r="AO33" s="6" t="inlineStr">
        <is>
          <t>99</t>
        </is>
      </c>
    </row>
    <row r="34">
      <c r="A34" s="2" t="n"/>
      <c r="B34" s="3" t="n"/>
      <c r="C34" s="4" t="n">
        <v>46218</v>
      </c>
      <c r="D34" s="5" t="n">
        <v>564087324</v>
      </c>
      <c r="E34" s="6" t="inlineStr">
        <is>
          <t>HF336577433</t>
        </is>
      </c>
      <c r="F34" s="7" t="n">
        <v>46191</v>
      </c>
      <c r="G34" s="6" t="inlineStr">
        <is>
          <t>Medicare Part B Arizona *</t>
        </is>
      </c>
      <c r="H34" s="6" t="inlineStr">
        <is>
          <t>Medicare Part B Arizona *</t>
        </is>
      </c>
      <c r="I34" s="6" t="inlineStr">
        <is>
          <t>Tricare West</t>
        </is>
      </c>
      <c r="J34" s="8" t="inlineStr">
        <is>
          <t>27279+LT x1</t>
        </is>
      </c>
      <c r="K34" s="4" t="n"/>
      <c r="L34" s="5">
        <f>IF($O34="","",$O34-TODAY())</f>
        <v/>
      </c>
      <c r="M34" s="5">
        <f>IF($C34="","",$C34+365-TODAY())</f>
        <v/>
      </c>
      <c r="N34" s="5">
        <f>IF($C34="","",$C34+120-TODAY())</f>
        <v/>
      </c>
      <c r="O34" s="7" t="n">
        <v>46556</v>
      </c>
      <c r="P34" s="6" t="inlineStr">
        <is>
          <t>365 days</t>
        </is>
      </c>
      <c r="Q34" s="6" t="inlineStr">
        <is>
          <t>MEDICARE</t>
        </is>
      </c>
      <c r="R34" s="6" t="inlineStr">
        <is>
          <t>365 days</t>
        </is>
      </c>
      <c r="S34" s="6" t="inlineStr">
        <is>
          <t>Processed date</t>
        </is>
      </c>
      <c r="T34" s="6" t="inlineStr">
        <is>
          <t>120 days</t>
        </is>
      </c>
      <c r="U34" s="6" t="inlineStr">
        <is>
          <t>Processed date</t>
        </is>
      </c>
      <c r="V34" s="6" t="inlineStr">
        <is>
          <t>LT</t>
        </is>
      </c>
      <c r="W34" s="6" t="n"/>
      <c r="X34" s="6" t="n"/>
      <c r="Y34" s="6" t="inlineStr">
        <is>
          <t>1</t>
        </is>
      </c>
      <c r="Z34" s="9" t="n">
        <v>5614.63</v>
      </c>
      <c r="AA34" s="9" t="n">
        <v>0</v>
      </c>
      <c r="AB34" s="9" t="n">
        <v>0</v>
      </c>
      <c r="AC34" s="7" t="n">
        <v>46218</v>
      </c>
      <c r="AD34" s="9" t="n">
        <v>5614.63</v>
      </c>
      <c r="AE34" s="5" t="n">
        <v>51</v>
      </c>
      <c r="AF34" s="6" t="inlineStr">
        <is>
          <t>M461</t>
        </is>
      </c>
      <c r="AG34" s="6" t="n"/>
      <c r="AH34" s="6" t="n"/>
      <c r="AI34" s="6" t="n"/>
      <c r="AJ34" s="5" t="n"/>
      <c r="AK34" s="6" t="inlineStr">
        <is>
          <t>MEARS, CHAD</t>
        </is>
      </c>
      <c r="AL34" s="6" t="inlineStr">
        <is>
          <t>ASAP Surgery Centers North Valley LLC</t>
        </is>
      </c>
      <c r="AM34" s="7" t="n">
        <v>46210</v>
      </c>
      <c r="AN34" s="6" t="inlineStr">
        <is>
          <t>ORTHO</t>
        </is>
      </c>
      <c r="AO34" s="6" t="inlineStr">
        <is>
          <t>770</t>
        </is>
      </c>
    </row>
    <row r="35">
      <c r="A35" s="2" t="inlineStr">
        <is>
          <t>Finalized</t>
        </is>
      </c>
      <c r="B35" s="3" t="n"/>
      <c r="C35" s="4" t="n">
        <v>46217</v>
      </c>
      <c r="D35" s="5" t="n">
        <v>563841291</v>
      </c>
      <c r="E35" s="6" t="inlineStr">
        <is>
          <t>HF511435057</t>
        </is>
      </c>
      <c r="F35" s="7" t="n">
        <v>46197</v>
      </c>
      <c r="G35" s="6" t="inlineStr">
        <is>
          <t>Tricare for Life (All Regions)</t>
        </is>
      </c>
      <c r="H35" s="6" t="inlineStr">
        <is>
          <t>Medicare Part B Arizona *</t>
        </is>
      </c>
      <c r="I35" s="6" t="inlineStr">
        <is>
          <t>Tricare for Life (All Regions)</t>
        </is>
      </c>
      <c r="J35" s="8" t="inlineStr">
        <is>
          <t>63045 x1; 63048 x1</t>
        </is>
      </c>
      <c r="K35" s="4" t="n"/>
      <c r="L35" s="5">
        <f>IF($O35="","",$O35-TODAY())</f>
        <v/>
      </c>
      <c r="M35" s="5">
        <f>IF($C35="","",$C35+365-TODAY())</f>
        <v/>
      </c>
      <c r="N35" s="5">
        <f>IF($C35="","",$C35+120-TODAY())</f>
        <v/>
      </c>
      <c r="O35" s="7" t="n">
        <v>46562</v>
      </c>
      <c r="P35" s="6" t="inlineStr">
        <is>
          <t>365 days</t>
        </is>
      </c>
      <c r="Q35" s="6" t="inlineStr">
        <is>
          <t>MEDICARE</t>
        </is>
      </c>
      <c r="R35" s="6" t="inlineStr">
        <is>
          <t>365 days</t>
        </is>
      </c>
      <c r="S35" s="6" t="inlineStr">
        <is>
          <t>Processed date</t>
        </is>
      </c>
      <c r="T35" s="6" t="inlineStr">
        <is>
          <t>120 days</t>
        </is>
      </c>
      <c r="U35" s="6" t="inlineStr">
        <is>
          <t>Processed date</t>
        </is>
      </c>
      <c r="V35" s="6" t="n"/>
      <c r="W35" s="6" t="n"/>
      <c r="X35" s="6" t="n"/>
      <c r="Y35" s="6" t="inlineStr">
        <is>
          <t>1</t>
        </is>
      </c>
      <c r="Z35" s="9" t="n">
        <v>10302.88</v>
      </c>
      <c r="AA35" s="9" t="n">
        <v>8939.110000000001</v>
      </c>
      <c r="AB35" s="9" t="n">
        <v>1086.59</v>
      </c>
      <c r="AC35" s="7" t="n">
        <v>46217</v>
      </c>
      <c r="AD35" s="9" t="n">
        <v>277.18</v>
      </c>
      <c r="AE35" s="5" t="n">
        <v>45</v>
      </c>
      <c r="AF35" s="6" t="inlineStr">
        <is>
          <t>M5010</t>
        </is>
      </c>
      <c r="AG35" s="6" t="inlineStr">
        <is>
          <t>M4802</t>
        </is>
      </c>
      <c r="AH35" s="6" t="inlineStr">
        <is>
          <t>M4322</t>
        </is>
      </c>
      <c r="AI35" s="6" t="n"/>
      <c r="AJ35" s="5" t="n">
        <v>567246771</v>
      </c>
      <c r="AK35" s="6" t="inlineStr">
        <is>
          <t>MCCUNNIFF, PETER</t>
        </is>
      </c>
      <c r="AL35" s="6" t="inlineStr">
        <is>
          <t>ASAP Surgery Centers North Valley LLC</t>
        </is>
      </c>
      <c r="AM35" s="7" t="n">
        <v>46203</v>
      </c>
      <c r="AN35" s="6" t="inlineStr">
        <is>
          <t>ORTHO</t>
        </is>
      </c>
      <c r="AO35" s="6" t="inlineStr">
        <is>
          <t>19, 20</t>
        </is>
      </c>
    </row>
    <row r="36">
      <c r="A36" s="2" t="n"/>
      <c r="B36" s="3" t="n"/>
      <c r="C36" s="4" t="n"/>
      <c r="D36" s="5" t="n">
        <v>564504486</v>
      </c>
      <c r="E36" s="6" t="inlineStr">
        <is>
          <t>HF450733071</t>
        </is>
      </c>
      <c r="F36" s="7" t="n">
        <v>46190</v>
      </c>
      <c r="G36" s="6" t="inlineStr">
        <is>
          <t>AARP MedicareComplete (SecureHorizons &amp; Oxford Network)</t>
        </is>
      </c>
      <c r="H36" s="6" t="inlineStr">
        <is>
          <t>AARP MedicareComplete (SecureHorizons &amp; Oxford Network)</t>
        </is>
      </c>
      <c r="I36" s="6" t="inlineStr">
        <is>
          <t>No Payer</t>
        </is>
      </c>
      <c r="J36" s="8" t="inlineStr">
        <is>
          <t>63047 x1</t>
        </is>
      </c>
      <c r="K36" s="4" t="n"/>
      <c r="L36" s="5">
        <f>IF($O36="","",$O36-TODAY())</f>
        <v/>
      </c>
      <c r="M36" s="5">
        <f>IF($C36="","",$C36+180-TODAY())</f>
        <v/>
      </c>
      <c r="N36" s="5">
        <f>IF($C36="","",$C36+365-TODAY())</f>
        <v/>
      </c>
      <c r="O36" s="7" t="n"/>
      <c r="P36" s="6" t="n"/>
      <c r="Q36" s="6" t="inlineStr">
        <is>
          <t>AARP MA CHOICE / MEDICARE COMPLETE</t>
        </is>
      </c>
      <c r="R36" s="6" t="inlineStr">
        <is>
          <t>180 days</t>
        </is>
      </c>
      <c r="S36" s="6" t="inlineStr">
        <is>
          <t>Processed date</t>
        </is>
      </c>
      <c r="T36" s="6" t="inlineStr">
        <is>
          <t>365 days</t>
        </is>
      </c>
      <c r="U36" s="6" t="inlineStr">
        <is>
          <t>Processed date</t>
        </is>
      </c>
      <c r="V36" s="6" t="n"/>
      <c r="W36" s="6" t="n"/>
      <c r="X36" s="6" t="n"/>
      <c r="Y36" s="6" t="inlineStr">
        <is>
          <t>1</t>
        </is>
      </c>
      <c r="Z36" s="9" t="n">
        <v>7623.07</v>
      </c>
      <c r="AA36" s="9" t="n">
        <v>0</v>
      </c>
      <c r="AB36" s="9" t="n">
        <v>0</v>
      </c>
      <c r="AC36" s="7" t="n"/>
      <c r="AD36" s="9" t="n">
        <v>7623.07</v>
      </c>
      <c r="AE36" s="5" t="n">
        <v>52</v>
      </c>
      <c r="AF36" s="6" t="inlineStr">
        <is>
          <t>M48061</t>
        </is>
      </c>
      <c r="AG36" s="6" t="n"/>
      <c r="AH36" s="6" t="n"/>
      <c r="AI36" s="6" t="n"/>
      <c r="AJ36" s="5" t="n"/>
      <c r="AK36" s="6" t="inlineStr">
        <is>
          <t>MAYURAN, VIKRAM</t>
        </is>
      </c>
      <c r="AL36" s="6" t="inlineStr">
        <is>
          <t>ASAP Surgery Centers North Valley LLC</t>
        </is>
      </c>
      <c r="AM36" s="7" t="n">
        <v>46210</v>
      </c>
      <c r="AN36" s="6" t="inlineStr">
        <is>
          <t>ORTHO</t>
        </is>
      </c>
      <c r="AO36" s="6" t="inlineStr">
        <is>
          <t>1012</t>
        </is>
      </c>
    </row>
    <row r="37">
      <c r="A37" s="2" t="n"/>
      <c r="B37" s="3" t="n"/>
      <c r="C37" s="4" t="n"/>
      <c r="D37" s="5" t="n">
        <v>563830748</v>
      </c>
      <c r="E37" s="6" t="inlineStr">
        <is>
          <t>HF493646829</t>
        </is>
      </c>
      <c r="F37" s="7" t="n">
        <v>46193</v>
      </c>
      <c r="G37" s="6" t="inlineStr">
        <is>
          <t>Gold Kidney Health Plan</t>
        </is>
      </c>
      <c r="H37" s="6" t="inlineStr">
        <is>
          <t>Gold Kidney Health Plan</t>
        </is>
      </c>
      <c r="I37" s="6" t="inlineStr">
        <is>
          <t>No Payer</t>
        </is>
      </c>
      <c r="J37" s="8" t="inlineStr">
        <is>
          <t>63047 x1; 64708 x1</t>
        </is>
      </c>
      <c r="K37" s="4" t="n"/>
      <c r="L37" s="5">
        <f>IF($O37="","",$O37-TODAY())</f>
        <v/>
      </c>
      <c r="M37" s="5" t="n"/>
      <c r="N37" s="5" t="n"/>
      <c r="O37" s="7" t="n"/>
      <c r="P37" s="6" t="n"/>
      <c r="Q37" s="6" t="inlineStr">
        <is>
          <t>Not on reference list</t>
        </is>
      </c>
      <c r="R37" s="6" t="n"/>
      <c r="S37" s="6" t="n"/>
      <c r="T37" s="6" t="n"/>
      <c r="U37" s="6" t="n"/>
      <c r="V37" s="6" t="n"/>
      <c r="W37" s="6" t="n"/>
      <c r="X37" s="6" t="n"/>
      <c r="Y37" s="6" t="inlineStr">
        <is>
          <t>1</t>
        </is>
      </c>
      <c r="Z37" s="9" t="n">
        <v>11094.23</v>
      </c>
      <c r="AA37" s="9" t="n">
        <v>0</v>
      </c>
      <c r="AB37" s="9" t="n">
        <v>0</v>
      </c>
      <c r="AC37" s="7" t="n"/>
      <c r="AD37" s="9" t="n">
        <v>11094.23</v>
      </c>
      <c r="AE37" s="5" t="n">
        <v>49</v>
      </c>
      <c r="AF37" s="6" t="inlineStr">
        <is>
          <t>M48062, G549</t>
        </is>
      </c>
      <c r="AG37" s="6" t="inlineStr">
        <is>
          <t>M5412</t>
        </is>
      </c>
      <c r="AH37" s="6" t="inlineStr">
        <is>
          <t>M51362</t>
        </is>
      </c>
      <c r="AI37" s="6" t="inlineStr">
        <is>
          <t>M4686, M48062</t>
        </is>
      </c>
      <c r="AJ37" s="5" t="n"/>
      <c r="AK37" s="6" t="inlineStr">
        <is>
          <t>LUKE, TIMOTHY</t>
        </is>
      </c>
      <c r="AL37" s="6" t="inlineStr">
        <is>
          <t>ASAP Surgery Centers North Valley LLC</t>
        </is>
      </c>
      <c r="AM37" s="7" t="n">
        <v>46203</v>
      </c>
      <c r="AN37" s="6" t="inlineStr">
        <is>
          <t>ORTHO</t>
        </is>
      </c>
      <c r="AO37" s="6" t="inlineStr">
        <is>
          <t>1083, 1084</t>
        </is>
      </c>
    </row>
    <row r="38">
      <c r="A38" s="2" t="n"/>
      <c r="B38" s="3" t="n"/>
      <c r="C38" s="4" t="n">
        <v>46216</v>
      </c>
      <c r="D38" s="5" t="n">
        <v>563831214</v>
      </c>
      <c r="E38" s="6" t="inlineStr">
        <is>
          <t>HF329871729</t>
        </is>
      </c>
      <c r="F38" s="7" t="n">
        <v>46193</v>
      </c>
      <c r="G38" s="6" t="inlineStr">
        <is>
          <t>UMR Wausau / UHIS</t>
        </is>
      </c>
      <c r="H38" s="6" t="inlineStr">
        <is>
          <t>UMR Wausau / UHIS</t>
        </is>
      </c>
      <c r="I38" s="6" t="inlineStr">
        <is>
          <t>No Payer</t>
        </is>
      </c>
      <c r="J38" s="8" t="inlineStr">
        <is>
          <t>63030+RT x1; 64708 x1</t>
        </is>
      </c>
      <c r="K38" s="4" t="n"/>
      <c r="L38" s="5">
        <f>IF($O38="","",$O38-TODAY())</f>
        <v/>
      </c>
      <c r="M38" s="5" t="n"/>
      <c r="N38" s="5">
        <f>IF($C38="","",$C38+180-TODAY())</f>
        <v/>
      </c>
      <c r="O38" s="7" t="n"/>
      <c r="P38" s="6" t="n"/>
      <c r="Q38" s="6" t="inlineStr">
        <is>
          <t>UMR / WAUSAU</t>
        </is>
      </c>
      <c r="R38" s="6" t="n"/>
      <c r="S38" s="6" t="n"/>
      <c r="T38" s="6" t="inlineStr">
        <is>
          <t>180 days</t>
        </is>
      </c>
      <c r="U38" s="6" t="inlineStr">
        <is>
          <t>Processed date</t>
        </is>
      </c>
      <c r="V38" s="6" t="inlineStr">
        <is>
          <t>RT</t>
        </is>
      </c>
      <c r="W38" s="6" t="n"/>
      <c r="X38" s="6" t="n"/>
      <c r="Y38" s="6" t="inlineStr">
        <is>
          <t>1</t>
        </is>
      </c>
      <c r="Z38" s="9" t="n">
        <v>9768.43</v>
      </c>
      <c r="AA38" s="9" t="n">
        <v>0</v>
      </c>
      <c r="AB38" s="9" t="n">
        <v>0</v>
      </c>
      <c r="AC38" s="7" t="n">
        <v>46216</v>
      </c>
      <c r="AD38" s="9" t="n">
        <v>9768.43</v>
      </c>
      <c r="AE38" s="5" t="n">
        <v>49</v>
      </c>
      <c r="AF38" s="6" t="inlineStr">
        <is>
          <t>M4807, G549</t>
        </is>
      </c>
      <c r="AG38" s="6" t="inlineStr">
        <is>
          <t>M5417, M4807</t>
        </is>
      </c>
      <c r="AH38" s="6" t="inlineStr">
        <is>
          <t>M5127, M5417</t>
        </is>
      </c>
      <c r="AI38" s="6" t="inlineStr">
        <is>
          <t>M51372, M5127</t>
        </is>
      </c>
      <c r="AJ38" s="5" t="n"/>
      <c r="AK38" s="6" t="inlineStr">
        <is>
          <t>LUKE, TIMOTHY</t>
        </is>
      </c>
      <c r="AL38" s="6" t="inlineStr">
        <is>
          <t>ASAP Surgery Centers North Valley LLC</t>
        </is>
      </c>
      <c r="AM38" s="7" t="n">
        <v>46203</v>
      </c>
      <c r="AN38" s="6" t="inlineStr">
        <is>
          <t>ORTHO</t>
        </is>
      </c>
      <c r="AO38" s="6" t="inlineStr">
        <is>
          <t>768, 769</t>
        </is>
      </c>
    </row>
    <row r="39">
      <c r="A39" s="2" t="n"/>
      <c r="B39" s="3" t="n"/>
      <c r="C39" s="4" t="n"/>
      <c r="D39" s="5" t="n">
        <v>564560469</v>
      </c>
      <c r="E39" s="6" t="inlineStr">
        <is>
          <t>HF476520532</t>
        </is>
      </c>
      <c r="F39" s="7" t="n">
        <v>46202</v>
      </c>
      <c r="G39" s="6" t="inlineStr">
        <is>
          <t>Meritain Health</t>
        </is>
      </c>
      <c r="H39" s="6" t="inlineStr">
        <is>
          <t>Meritain Health</t>
        </is>
      </c>
      <c r="I39" s="6" t="inlineStr">
        <is>
          <t>Aetna Legacy</t>
        </is>
      </c>
      <c r="J39" s="8" t="inlineStr">
        <is>
          <t>63047 x1; 63048 x1; 64708 x2</t>
        </is>
      </c>
      <c r="K39" s="4" t="n"/>
      <c r="L39" s="5">
        <f>IF($O39="","",$O39-TODAY())</f>
        <v/>
      </c>
      <c r="M39" s="5" t="n"/>
      <c r="N39" s="5" t="n"/>
      <c r="O39" s="7" t="n"/>
      <c r="P39" s="6" t="n"/>
      <c r="Q39" s="6" t="inlineStr">
        <is>
          <t>Not on reference list</t>
        </is>
      </c>
      <c r="R39" s="6" t="n"/>
      <c r="S39" s="6" t="n"/>
      <c r="T39" s="6" t="n"/>
      <c r="U39" s="6" t="n"/>
      <c r="V39" s="6" t="n"/>
      <c r="W39" s="6" t="n"/>
      <c r="X39" s="6" t="n"/>
      <c r="Y39" s="6" t="inlineStr">
        <is>
          <t>1, 2</t>
        </is>
      </c>
      <c r="Z39" s="9" t="n">
        <v>15998.71</v>
      </c>
      <c r="AA39" s="9" t="n">
        <v>0</v>
      </c>
      <c r="AB39" s="9" t="n">
        <v>0</v>
      </c>
      <c r="AC39" s="7" t="n"/>
      <c r="AD39" s="9" t="n">
        <v>15998.71</v>
      </c>
      <c r="AE39" s="5" t="n">
        <v>40</v>
      </c>
      <c r="AF39" s="6" t="inlineStr">
        <is>
          <t>M48062</t>
        </is>
      </c>
      <c r="AG39" s="6" t="inlineStr">
        <is>
          <t>M5416</t>
        </is>
      </c>
      <c r="AH39" s="6" t="inlineStr">
        <is>
          <t>G544</t>
        </is>
      </c>
      <c r="AI39" s="6" t="n"/>
      <c r="AJ39" s="5" t="n"/>
      <c r="AK39" s="6" t="inlineStr">
        <is>
          <t>LUKE, TIMOTHY</t>
        </is>
      </c>
      <c r="AL39" s="6" t="inlineStr">
        <is>
          <t>ASAP Surgery Centers North Valley LLC</t>
        </is>
      </c>
      <c r="AM39" s="7" t="n">
        <v>46210</v>
      </c>
      <c r="AN39" s="6" t="inlineStr">
        <is>
          <t>ORTHO</t>
        </is>
      </c>
      <c r="AO39" s="6" t="inlineStr">
        <is>
          <t>978, 979, 980</t>
        </is>
      </c>
    </row>
  </sheetData>
  <autoFilter ref="A1:AO39"/>
  <conditionalFormatting sqref="L2:L39">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39">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39">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39">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O2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42" customWidth="1" min="10" max="10"/>
    <col width="14" customWidth="1" min="11" max="11"/>
    <col width="12" customWidth="1" min="12" max="12"/>
    <col width="15" customWidth="1" min="13" max="13"/>
    <col width="13" customWidth="1" min="14" max="14"/>
    <col width="17" customWidth="1" min="15" max="15"/>
    <col width="14" customWidth="1" min="16" max="16"/>
    <col width="30" customWidth="1" min="17" max="17"/>
    <col width="14" customWidth="1" min="18" max="18"/>
    <col width="16" customWidth="1" min="19" max="19"/>
    <col width="13" customWidth="1" min="20" max="20"/>
    <col width="16" customWidth="1" min="21" max="21"/>
    <col width="11" customWidth="1" min="22" max="22"/>
    <col width="11" customWidth="1" min="23" max="23"/>
    <col width="11" customWidth="1" min="24" max="24"/>
    <col width="10" customWidth="1" min="25" max="25"/>
    <col width="15" customWidth="1" min="26" max="26"/>
    <col width="12" customWidth="1" min="27" max="27"/>
    <col width="19" customWidth="1" min="28" max="28"/>
    <col width="22" customWidth="1" min="29" max="29"/>
    <col width="19" customWidth="1" min="30" max="30"/>
    <col width="24" customWidth="1" min="31" max="31"/>
    <col width="16" customWidth="1" min="32" max="32"/>
    <col width="16" customWidth="1" min="33" max="33"/>
    <col width="16" customWidth="1" min="34" max="34"/>
    <col width="16" customWidth="1" min="35" max="35"/>
    <col width="20" customWidth="1" min="36" max="36"/>
    <col width="22" customWidth="1" min="37" max="37"/>
    <col width="24" customWidth="1" min="38" max="38"/>
    <col width="14" customWidth="1" min="39" max="39"/>
    <col width="11" customWidth="1" min="40" max="40"/>
    <col width="14" customWidth="1" min="41" max="41"/>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Days Until Corrected Claim Deadline</t>
        </is>
      </c>
      <c r="N1" s="1" t="inlineStr">
        <is>
          <t>Days Until Appeal Deadline</t>
        </is>
      </c>
      <c r="O1" s="1" t="inlineStr">
        <is>
          <t>Filing Deadline</t>
        </is>
      </c>
      <c r="P1" s="1" t="inlineStr">
        <is>
          <t>Filing Limit</t>
        </is>
      </c>
      <c r="Q1" s="1" t="inlineStr">
        <is>
          <t>Limit Carrier</t>
        </is>
      </c>
      <c r="R1" s="1" t="inlineStr">
        <is>
          <t>Corrected Claim Limit</t>
        </is>
      </c>
      <c r="S1" s="1" t="inlineStr">
        <is>
          <t>Corrected Claim From</t>
        </is>
      </c>
      <c r="T1" s="1" t="inlineStr">
        <is>
          <t>Appeal Limit</t>
        </is>
      </c>
      <c r="U1" s="1" t="inlineStr">
        <is>
          <t>Appeal From</t>
        </is>
      </c>
      <c r="V1" s="1" t="inlineStr">
        <is>
          <t>Modifier 1</t>
        </is>
      </c>
      <c r="W1" s="1" t="inlineStr">
        <is>
          <t>Modifier 2</t>
        </is>
      </c>
      <c r="X1" s="1" t="inlineStr">
        <is>
          <t>Modifier 3</t>
        </is>
      </c>
      <c r="Y1" s="1" t="inlineStr">
        <is>
          <t>Units</t>
        </is>
      </c>
      <c r="Z1" s="1" t="inlineStr">
        <is>
          <t>Charge Amount</t>
        </is>
      </c>
      <c r="AA1" s="1" t="inlineStr">
        <is>
          <t>Adjustment</t>
        </is>
      </c>
      <c r="AB1" s="1" t="inlineStr">
        <is>
          <t>Insurance Payment</t>
        </is>
      </c>
      <c r="AC1" s="1" t="inlineStr">
        <is>
          <t>Insurance Check Date</t>
        </is>
      </c>
      <c r="AD1" s="1" t="inlineStr">
        <is>
          <t>Insurance Balance</t>
        </is>
      </c>
      <c r="AE1" s="1" t="inlineStr">
        <is>
          <t>AR Age by Service Date</t>
        </is>
      </c>
      <c r="AF1" s="1" t="inlineStr">
        <is>
          <t>Diagnosis Code 1</t>
        </is>
      </c>
      <c r="AG1" s="1" t="inlineStr">
        <is>
          <t>Diagnosis Code 2</t>
        </is>
      </c>
      <c r="AH1" s="1" t="inlineStr">
        <is>
          <t>Diagnosis Code 3</t>
        </is>
      </c>
      <c r="AI1" s="1" t="inlineStr">
        <is>
          <t>Diagnosis Code 4</t>
        </is>
      </c>
      <c r="AJ1" s="1" t="inlineStr">
        <is>
          <t>Secondary Claim ID</t>
        </is>
      </c>
      <c r="AK1" s="1" t="inlineStr">
        <is>
          <t>Rendering Provider</t>
        </is>
      </c>
      <c r="AL1" s="1" t="inlineStr">
        <is>
          <t>Location Name</t>
        </is>
      </c>
      <c r="AM1" s="1" t="inlineStr">
        <is>
          <t>Created Date</t>
        </is>
      </c>
      <c r="AN1" s="1" t="inlineStr">
        <is>
          <t>Specialty</t>
        </is>
      </c>
      <c r="AO1" s="1" t="inlineStr">
        <is>
          <t>Source Line IDs</t>
        </is>
      </c>
    </row>
    <row r="2">
      <c r="A2" s="2" t="n"/>
      <c r="B2" s="3" t="n"/>
      <c r="C2" s="4" t="n">
        <v>46203</v>
      </c>
      <c r="D2" s="5" t="n">
        <v>563011043</v>
      </c>
      <c r="E2" s="6" t="inlineStr">
        <is>
          <t>HF548297248</t>
        </is>
      </c>
      <c r="F2" s="7" t="n">
        <v>46176</v>
      </c>
      <c r="G2" s="6" t="inlineStr">
        <is>
          <t>HealthSpring Medicare Advantage</t>
        </is>
      </c>
      <c r="H2" s="6" t="inlineStr">
        <is>
          <t>HealthSpring Medicare Advantage</t>
        </is>
      </c>
      <c r="I2" s="6" t="inlineStr">
        <is>
          <t>No Payer</t>
        </is>
      </c>
      <c r="J2" s="8" t="inlineStr">
        <is>
          <t>93970 x1</t>
        </is>
      </c>
      <c r="K2" s="4" t="n"/>
      <c r="L2" s="5">
        <f>IF($O2="","",$O2-TODAY())</f>
        <v/>
      </c>
      <c r="M2" s="5">
        <f>IF($F2="","",$F2+90-TODAY())</f>
        <v/>
      </c>
      <c r="N2" s="5">
        <f>IF($C2="","",$C2+180-TODAY())</f>
        <v/>
      </c>
      <c r="O2" s="7" t="n">
        <v>46266</v>
      </c>
      <c r="P2" s="6" t="inlineStr">
        <is>
          <t>90 days</t>
        </is>
      </c>
      <c r="Q2" s="6" t="inlineStr">
        <is>
          <t>CIGNA / CIGNA MEDICARE</t>
        </is>
      </c>
      <c r="R2" s="6" t="inlineStr">
        <is>
          <t>90 days</t>
        </is>
      </c>
      <c r="S2" s="6" t="inlineStr">
        <is>
          <t>Date of service</t>
        </is>
      </c>
      <c r="T2" s="6" t="inlineStr">
        <is>
          <t>180 days</t>
        </is>
      </c>
      <c r="U2" s="6" t="inlineStr">
        <is>
          <t>Processed date</t>
        </is>
      </c>
      <c r="V2" s="6" t="n"/>
      <c r="W2" s="6" t="n"/>
      <c r="X2" s="6" t="n"/>
      <c r="Y2" s="6" t="inlineStr">
        <is>
          <t>1</t>
        </is>
      </c>
      <c r="Z2" s="9" t="n">
        <v>1294.23</v>
      </c>
      <c r="AA2" s="9" t="n">
        <v>0</v>
      </c>
      <c r="AB2" s="9" t="n">
        <v>0</v>
      </c>
      <c r="AC2" s="7" t="n">
        <v>46203</v>
      </c>
      <c r="AD2" s="9" t="n">
        <v>1294.23</v>
      </c>
      <c r="AE2" s="5" t="n">
        <v>66</v>
      </c>
      <c r="AF2" s="6" t="inlineStr">
        <is>
          <t>I739</t>
        </is>
      </c>
      <c r="AG2" s="6" t="inlineStr">
        <is>
          <t>Z86718</t>
        </is>
      </c>
      <c r="AH2" s="6" t="n"/>
      <c r="AI2" s="6" t="n"/>
      <c r="AJ2" s="5" t="n"/>
      <c r="AK2" s="6" t="inlineStr">
        <is>
          <t>BURGHER, ABRAM</t>
        </is>
      </c>
      <c r="AL2" s="6" t="inlineStr">
        <is>
          <t>ASAP - Surprise - Reems</t>
        </is>
      </c>
      <c r="AM2" s="7" t="n">
        <v>46195</v>
      </c>
      <c r="AN2" s="6" t="inlineStr">
        <is>
          <t>US</t>
        </is>
      </c>
      <c r="AO2" s="6" t="inlineStr">
        <is>
          <t>580</t>
        </is>
      </c>
    </row>
    <row r="3">
      <c r="A3" s="2" t="n"/>
      <c r="B3" s="3" t="n"/>
      <c r="C3" s="4" t="n"/>
      <c r="D3" s="5" t="n">
        <v>563023143</v>
      </c>
      <c r="E3" s="6" t="inlineStr">
        <is>
          <t>HF537684538</t>
        </is>
      </c>
      <c r="F3" s="7" t="n">
        <v>46177</v>
      </c>
      <c r="G3" s="6" t="inlineStr">
        <is>
          <t>United Healthcare</t>
        </is>
      </c>
      <c r="H3" s="6" t="inlineStr">
        <is>
          <t>United Healthcare</t>
        </is>
      </c>
      <c r="I3" s="6" t="inlineStr">
        <is>
          <t>No Payer</t>
        </is>
      </c>
      <c r="J3" s="8" t="inlineStr">
        <is>
          <t>93970 x1</t>
        </is>
      </c>
      <c r="K3" s="4" t="n"/>
      <c r="L3" s="5">
        <f>IF($O3="","",$O3-TODAY())</f>
        <v/>
      </c>
      <c r="M3" s="5">
        <f>IF($C3="","",$C3+180-TODAY())</f>
        <v/>
      </c>
      <c r="N3" s="5">
        <f>IF($C3="","",$C3+365-TODAY())</f>
        <v/>
      </c>
      <c r="O3" s="7" t="n">
        <v>46267</v>
      </c>
      <c r="P3" s="6" t="inlineStr">
        <is>
          <t>90 days</t>
        </is>
      </c>
      <c r="Q3" s="6" t="inlineStr">
        <is>
          <t>UHC COMMERCIAL</t>
        </is>
      </c>
      <c r="R3" s="6" t="inlineStr">
        <is>
          <t>180 days</t>
        </is>
      </c>
      <c r="S3" s="6" t="inlineStr">
        <is>
          <t>Processed date</t>
        </is>
      </c>
      <c r="T3" s="6" t="inlineStr">
        <is>
          <t>365 days</t>
        </is>
      </c>
      <c r="U3" s="6" t="inlineStr">
        <is>
          <t>Processed date</t>
        </is>
      </c>
      <c r="V3" s="6" t="n"/>
      <c r="W3" s="6" t="n"/>
      <c r="X3" s="6" t="n"/>
      <c r="Y3" s="6" t="inlineStr">
        <is>
          <t>1</t>
        </is>
      </c>
      <c r="Z3" s="9" t="n">
        <v>1294.23</v>
      </c>
      <c r="AA3" s="9" t="n">
        <v>0</v>
      </c>
      <c r="AB3" s="9" t="n">
        <v>0</v>
      </c>
      <c r="AC3" s="7" t="n"/>
      <c r="AD3" s="9" t="n">
        <v>1294.23</v>
      </c>
      <c r="AE3" s="5" t="n">
        <v>65</v>
      </c>
      <c r="AF3" s="6" t="inlineStr">
        <is>
          <t>I82401</t>
        </is>
      </c>
      <c r="AG3" s="6" t="inlineStr">
        <is>
          <t>M79604</t>
        </is>
      </c>
      <c r="AH3" s="6" t="n"/>
      <c r="AI3" s="6" t="n"/>
      <c r="AJ3" s="5" t="n"/>
      <c r="AK3" s="6" t="inlineStr">
        <is>
          <t>TURLEY, TODD</t>
        </is>
      </c>
      <c r="AL3" s="6" t="inlineStr">
        <is>
          <t>ASAP - DEER VALLEY 240</t>
        </is>
      </c>
      <c r="AM3" s="7" t="n">
        <v>46195</v>
      </c>
      <c r="AN3" s="6" t="inlineStr">
        <is>
          <t>US</t>
        </is>
      </c>
      <c r="AO3" s="6" t="inlineStr">
        <is>
          <t>671</t>
        </is>
      </c>
    </row>
    <row r="4">
      <c r="A4" s="2" t="n"/>
      <c r="B4" s="3" t="n"/>
      <c r="C4" s="4" t="n"/>
      <c r="D4" s="5" t="n">
        <v>563060686</v>
      </c>
      <c r="E4" s="6" t="inlineStr">
        <is>
          <t>HF549710983</t>
        </is>
      </c>
      <c r="F4" s="7" t="n">
        <v>46182</v>
      </c>
      <c r="G4" s="6" t="inlineStr">
        <is>
          <t>UHC Group Medicare Advantage</t>
        </is>
      </c>
      <c r="H4" s="6" t="inlineStr">
        <is>
          <t>UHC Group Medicare Advantage</t>
        </is>
      </c>
      <c r="I4" s="6" t="inlineStr">
        <is>
          <t>No Payer</t>
        </is>
      </c>
      <c r="J4" s="8" t="inlineStr">
        <is>
          <t>93970 x1; 93925 x1; 93923 x1</t>
        </is>
      </c>
      <c r="K4" s="4" t="n"/>
      <c r="L4" s="5">
        <f>IF($O4="","",$O4-TODAY())</f>
        <v/>
      </c>
      <c r="M4" s="5">
        <f>IF($C4="","",$C4+180-TODAY())</f>
        <v/>
      </c>
      <c r="N4" s="5">
        <f>IF($C4="","",$C4+365-TODAY())</f>
        <v/>
      </c>
      <c r="O4" s="7" t="n">
        <v>46272</v>
      </c>
      <c r="P4" s="6" t="inlineStr">
        <is>
          <t>90 days</t>
        </is>
      </c>
      <c r="Q4" s="6" t="inlineStr">
        <is>
          <t>UHC MA</t>
        </is>
      </c>
      <c r="R4" s="6" t="inlineStr">
        <is>
          <t>180 days</t>
        </is>
      </c>
      <c r="S4" s="6" t="inlineStr">
        <is>
          <t>Processed date</t>
        </is>
      </c>
      <c r="T4" s="6" t="inlineStr">
        <is>
          <t>365 days</t>
        </is>
      </c>
      <c r="U4" s="6" t="inlineStr">
        <is>
          <t>Processed date</t>
        </is>
      </c>
      <c r="V4" s="6" t="n"/>
      <c r="W4" s="6" t="n"/>
      <c r="X4" s="6" t="n"/>
      <c r="Y4" s="6" t="inlineStr">
        <is>
          <t>1</t>
        </is>
      </c>
      <c r="Z4" s="9" t="n">
        <v>3822.49</v>
      </c>
      <c r="AA4" s="9" t="n">
        <v>0</v>
      </c>
      <c r="AB4" s="9" t="n">
        <v>0</v>
      </c>
      <c r="AC4" s="7" t="n"/>
      <c r="AD4" s="9" t="n">
        <v>3822.49</v>
      </c>
      <c r="AE4" s="5" t="n">
        <v>60</v>
      </c>
      <c r="AF4" s="6" t="inlineStr">
        <is>
          <t>G90523</t>
        </is>
      </c>
      <c r="AG4" s="6" t="inlineStr">
        <is>
          <t>M25571</t>
        </is>
      </c>
      <c r="AH4" s="6" t="inlineStr">
        <is>
          <t>M792</t>
        </is>
      </c>
      <c r="AI4" s="6" t="inlineStr">
        <is>
          <t>M79671</t>
        </is>
      </c>
      <c r="AJ4" s="5" t="n"/>
      <c r="AK4" s="6" t="inlineStr">
        <is>
          <t>LEATHEM, JARRETT</t>
        </is>
      </c>
      <c r="AL4" s="6" t="inlineStr">
        <is>
          <t>ASAP - Gilbert</t>
        </is>
      </c>
      <c r="AM4" s="7" t="n">
        <v>46195</v>
      </c>
      <c r="AN4" s="6" t="inlineStr">
        <is>
          <t>US</t>
        </is>
      </c>
      <c r="AO4" s="6" t="inlineStr">
        <is>
          <t>256, 300, 301</t>
        </is>
      </c>
    </row>
    <row r="5">
      <c r="A5" s="2" t="n"/>
      <c r="B5" s="3" t="n"/>
      <c r="C5" s="4" t="n">
        <v>46204</v>
      </c>
      <c r="D5" s="5" t="n">
        <v>563063291</v>
      </c>
      <c r="E5" s="6" t="inlineStr">
        <is>
          <t>HF545581499</t>
        </is>
      </c>
      <c r="F5" s="7" t="n">
        <v>46183</v>
      </c>
      <c r="G5" s="6" t="inlineStr">
        <is>
          <t>Blue Cross Blue Shield of Arizona (BCBS AZ)</t>
        </is>
      </c>
      <c r="H5" s="6" t="inlineStr">
        <is>
          <t>Blue Cross Blue Shield of Arizona (BCBS AZ)</t>
        </is>
      </c>
      <c r="I5" s="6" t="inlineStr">
        <is>
          <t>No Payer</t>
        </is>
      </c>
      <c r="J5" s="8" t="inlineStr">
        <is>
          <t>93925 x1; 93923 x1</t>
        </is>
      </c>
      <c r="K5" s="4" t="n"/>
      <c r="L5" s="5">
        <f>IF($O5="","",$O5-TODAY())</f>
        <v/>
      </c>
      <c r="M5" s="5">
        <f>IF($C5="","",$C5+365-TODAY())</f>
        <v/>
      </c>
      <c r="N5" s="5">
        <f>IF($C5="","",$C5+365-TODAY())</f>
        <v/>
      </c>
      <c r="O5" s="7" t="n">
        <v>46273</v>
      </c>
      <c r="P5" s="6" t="inlineStr">
        <is>
          <t>90 days</t>
        </is>
      </c>
      <c r="Q5" s="6" t="inlineStr">
        <is>
          <t>BCBS</t>
        </is>
      </c>
      <c r="R5" s="6" t="inlineStr">
        <is>
          <t>365 days</t>
        </is>
      </c>
      <c r="S5" s="6" t="inlineStr">
        <is>
          <t>Processed date</t>
        </is>
      </c>
      <c r="T5" s="6" t="inlineStr">
        <is>
          <t>365 days</t>
        </is>
      </c>
      <c r="U5" s="6" t="inlineStr">
        <is>
          <t>Processed date</t>
        </is>
      </c>
      <c r="V5" s="6" t="n"/>
      <c r="W5" s="6" t="n"/>
      <c r="X5" s="6" t="n"/>
      <c r="Y5" s="6" t="inlineStr">
        <is>
          <t>1</t>
        </is>
      </c>
      <c r="Z5" s="9" t="n">
        <v>2528.26</v>
      </c>
      <c r="AA5" s="9" t="n">
        <v>0</v>
      </c>
      <c r="AB5" s="9" t="n">
        <v>0</v>
      </c>
      <c r="AC5" s="7" t="n">
        <v>46204</v>
      </c>
      <c r="AD5" s="9" t="n">
        <v>2528.26</v>
      </c>
      <c r="AE5" s="5" t="n">
        <v>59</v>
      </c>
      <c r="AF5" s="6" t="inlineStr">
        <is>
          <t>R600</t>
        </is>
      </c>
      <c r="AG5" s="6" t="n"/>
      <c r="AH5" s="6" t="n"/>
      <c r="AI5" s="6" t="n"/>
      <c r="AJ5" s="5" t="n"/>
      <c r="AK5" s="6" t="inlineStr">
        <is>
          <t>BURGHER, ABRAM</t>
        </is>
      </c>
      <c r="AL5" s="6" t="inlineStr">
        <is>
          <t>ASAP - Surprise - Reems</t>
        </is>
      </c>
      <c r="AM5" s="7" t="n">
        <v>46195</v>
      </c>
      <c r="AN5" s="6" t="inlineStr">
        <is>
          <t>US</t>
        </is>
      </c>
      <c r="AO5" s="6" t="inlineStr">
        <is>
          <t>523, 524</t>
        </is>
      </c>
    </row>
    <row r="6">
      <c r="A6" s="2" t="n"/>
      <c r="B6" s="3" t="n"/>
      <c r="C6" s="4" t="n">
        <v>46202</v>
      </c>
      <c r="D6" s="5" t="n">
        <v>563070750</v>
      </c>
      <c r="E6" s="6" t="inlineStr">
        <is>
          <t>HF553337209</t>
        </is>
      </c>
      <c r="F6" s="7" t="n">
        <v>46190</v>
      </c>
      <c r="G6" s="6" t="inlineStr">
        <is>
          <t>HealthSpring Medicare Advantage</t>
        </is>
      </c>
      <c r="H6" s="6" t="inlineStr">
        <is>
          <t>HealthSpring Medicare Advantage</t>
        </is>
      </c>
      <c r="I6" s="6" t="inlineStr">
        <is>
          <t>No Payer</t>
        </is>
      </c>
      <c r="J6" s="8" t="inlineStr">
        <is>
          <t>93923 x1</t>
        </is>
      </c>
      <c r="K6" s="4" t="n"/>
      <c r="L6" s="5">
        <f>IF($O6="","",$O6-TODAY())</f>
        <v/>
      </c>
      <c r="M6" s="5">
        <f>IF($F6="","",$F6+90-TODAY())</f>
        <v/>
      </c>
      <c r="N6" s="5">
        <f>IF($C6="","",$C6+180-TODAY())</f>
        <v/>
      </c>
      <c r="O6" s="7" t="n">
        <v>46280</v>
      </c>
      <c r="P6" s="6" t="inlineStr">
        <is>
          <t>90 days</t>
        </is>
      </c>
      <c r="Q6" s="6" t="inlineStr">
        <is>
          <t>CIGNA / CIGNA MEDICARE</t>
        </is>
      </c>
      <c r="R6" s="6" t="inlineStr">
        <is>
          <t>90 days</t>
        </is>
      </c>
      <c r="S6" s="6" t="inlineStr">
        <is>
          <t>Date of service</t>
        </is>
      </c>
      <c r="T6" s="6" t="inlineStr">
        <is>
          <t>180 days</t>
        </is>
      </c>
      <c r="U6" s="6" t="inlineStr">
        <is>
          <t>Processed date</t>
        </is>
      </c>
      <c r="V6" s="6" t="n"/>
      <c r="W6" s="6" t="n"/>
      <c r="X6" s="6" t="n"/>
      <c r="Y6" s="6" t="inlineStr">
        <is>
          <t>1</t>
        </is>
      </c>
      <c r="Z6" s="9" t="n">
        <v>879.0599999999999</v>
      </c>
      <c r="AA6" s="9" t="n">
        <v>0</v>
      </c>
      <c r="AB6" s="9" t="n">
        <v>0</v>
      </c>
      <c r="AC6" s="7" t="n">
        <v>46202</v>
      </c>
      <c r="AD6" s="9" t="n">
        <v>879.0599999999999</v>
      </c>
      <c r="AE6" s="5" t="n">
        <v>52</v>
      </c>
      <c r="AF6" s="6" t="inlineStr">
        <is>
          <t>I872</t>
        </is>
      </c>
      <c r="AG6" s="6" t="inlineStr">
        <is>
          <t>I739</t>
        </is>
      </c>
      <c r="AH6" s="6" t="n"/>
      <c r="AI6" s="6" t="n"/>
      <c r="AJ6" s="5" t="n"/>
      <c r="AK6" s="6" t="inlineStr">
        <is>
          <t>BURGHER, ABRAM</t>
        </is>
      </c>
      <c r="AL6" s="6" t="inlineStr">
        <is>
          <t>ASAP - Surprise - Reems</t>
        </is>
      </c>
      <c r="AM6" s="7" t="n">
        <v>46195</v>
      </c>
      <c r="AN6" s="6" t="inlineStr">
        <is>
          <t>US</t>
        </is>
      </c>
      <c r="AO6" s="6" t="inlineStr">
        <is>
          <t>917</t>
        </is>
      </c>
    </row>
    <row r="7">
      <c r="A7" s="2" t="n"/>
      <c r="B7" s="3" t="n"/>
      <c r="C7" s="4" t="n"/>
      <c r="D7" s="5" t="n">
        <v>564069244</v>
      </c>
      <c r="E7" s="6" t="inlineStr">
        <is>
          <t>HF372182502</t>
        </is>
      </c>
      <c r="F7" s="7" t="n">
        <v>46198</v>
      </c>
      <c r="G7" s="6" t="inlineStr">
        <is>
          <t>United Healthcare</t>
        </is>
      </c>
      <c r="H7" s="6" t="inlineStr">
        <is>
          <t>United Healthcare</t>
        </is>
      </c>
      <c r="I7" s="6" t="inlineStr">
        <is>
          <t>No Payer</t>
        </is>
      </c>
      <c r="J7" s="8" t="inlineStr">
        <is>
          <t>93970 x1; 93925 x1; 93923 x1</t>
        </is>
      </c>
      <c r="K7" s="4" t="n"/>
      <c r="L7" s="5">
        <f>IF($O7="","",$O7-TODAY())</f>
        <v/>
      </c>
      <c r="M7" s="5">
        <f>IF($C7="","",$C7+180-TODAY())</f>
        <v/>
      </c>
      <c r="N7" s="5">
        <f>IF($C7="","",$C7+365-TODAY())</f>
        <v/>
      </c>
      <c r="O7" s="7" t="n">
        <v>46288</v>
      </c>
      <c r="P7" s="6" t="inlineStr">
        <is>
          <t>90 days</t>
        </is>
      </c>
      <c r="Q7" s="6" t="inlineStr">
        <is>
          <t>UHC COMMERCIAL</t>
        </is>
      </c>
      <c r="R7" s="6" t="inlineStr">
        <is>
          <t>180 days</t>
        </is>
      </c>
      <c r="S7" s="6" t="inlineStr">
        <is>
          <t>Processed date</t>
        </is>
      </c>
      <c r="T7" s="6" t="inlineStr">
        <is>
          <t>365 days</t>
        </is>
      </c>
      <c r="U7" s="6" t="inlineStr">
        <is>
          <t>Processed date</t>
        </is>
      </c>
      <c r="V7" s="6" t="n"/>
      <c r="W7" s="6" t="n"/>
      <c r="X7" s="6" t="n"/>
      <c r="Y7" s="6" t="inlineStr">
        <is>
          <t>1</t>
        </is>
      </c>
      <c r="Z7" s="9" t="n">
        <v>3822.49</v>
      </c>
      <c r="AA7" s="9" t="n">
        <v>0</v>
      </c>
      <c r="AB7" s="9" t="n">
        <v>0</v>
      </c>
      <c r="AC7" s="7" t="n"/>
      <c r="AD7" s="9" t="n">
        <v>3822.49</v>
      </c>
      <c r="AE7" s="5" t="n">
        <v>44</v>
      </c>
      <c r="AF7" s="6" t="inlineStr">
        <is>
          <t>G9009</t>
        </is>
      </c>
      <c r="AG7" s="6" t="n"/>
      <c r="AH7" s="6" t="n"/>
      <c r="AI7" s="6" t="n"/>
      <c r="AJ7" s="5" t="n"/>
      <c r="AK7" s="6" t="inlineStr">
        <is>
          <t>TURLEY, TODD</t>
        </is>
      </c>
      <c r="AL7" s="6" t="inlineStr">
        <is>
          <t>ASAP - DEER VALLEY 240</t>
        </is>
      </c>
      <c r="AM7" s="7" t="n">
        <v>46204</v>
      </c>
      <c r="AN7" s="6" t="inlineStr">
        <is>
          <t>US</t>
        </is>
      </c>
      <c r="AO7" s="6" t="inlineStr">
        <is>
          <t>1026, 1048, 1050</t>
        </is>
      </c>
    </row>
    <row r="8">
      <c r="A8" s="2" t="n"/>
      <c r="B8" s="3" t="n"/>
      <c r="C8" s="4" t="n"/>
      <c r="D8" s="5" t="n">
        <v>564070165</v>
      </c>
      <c r="E8" s="6" t="inlineStr">
        <is>
          <t>HF554188284</t>
        </is>
      </c>
      <c r="F8" s="7" t="n">
        <v>46203</v>
      </c>
      <c r="G8" s="6" t="inlineStr">
        <is>
          <t>UnitedHealthcare Community Plan / Arizona Long Term Care</t>
        </is>
      </c>
      <c r="H8" s="6" t="inlineStr">
        <is>
          <t>UnitedHealthcare Community Plan / Arizona Long Term Care</t>
        </is>
      </c>
      <c r="I8" s="6" t="inlineStr">
        <is>
          <t>Banner University Family Care / ACC (AHCCS Complete Care)</t>
        </is>
      </c>
      <c r="J8" s="8" t="inlineStr">
        <is>
          <t>93923 x1; 93925 x1; 93970 x1</t>
        </is>
      </c>
      <c r="K8" s="4" t="n"/>
      <c r="L8" s="5">
        <f>IF($O8="","",$O8-TODAY())</f>
        <v/>
      </c>
      <c r="M8" s="5">
        <f>IF($C8="","",$C8+180-TODAY())</f>
        <v/>
      </c>
      <c r="N8" s="5">
        <f>IF($C8="","",$C8+365-TODAY())</f>
        <v/>
      </c>
      <c r="O8" s="7" t="n">
        <v>46293</v>
      </c>
      <c r="P8" s="6" t="inlineStr">
        <is>
          <t>90 days</t>
        </is>
      </c>
      <c r="Q8" s="6" t="inlineStr">
        <is>
          <t>UHC COMMUNITY</t>
        </is>
      </c>
      <c r="R8" s="6" t="inlineStr">
        <is>
          <t>180 days</t>
        </is>
      </c>
      <c r="S8" s="6" t="inlineStr">
        <is>
          <t>Processed date</t>
        </is>
      </c>
      <c r="T8" s="6" t="inlineStr">
        <is>
          <t>365 days</t>
        </is>
      </c>
      <c r="U8" s="6" t="inlineStr">
        <is>
          <t>Processed date</t>
        </is>
      </c>
      <c r="V8" s="6" t="n"/>
      <c r="W8" s="6" t="n"/>
      <c r="X8" s="6" t="n"/>
      <c r="Y8" s="6" t="inlineStr">
        <is>
          <t>1</t>
        </is>
      </c>
      <c r="Z8" s="9" t="n">
        <v>3822.49</v>
      </c>
      <c r="AA8" s="9" t="n">
        <v>0</v>
      </c>
      <c r="AB8" s="9" t="n">
        <v>0</v>
      </c>
      <c r="AC8" s="7" t="n"/>
      <c r="AD8" s="9" t="n">
        <v>3822.49</v>
      </c>
      <c r="AE8" s="5" t="n">
        <v>39</v>
      </c>
      <c r="AF8" s="6" t="inlineStr">
        <is>
          <t>M79604</t>
        </is>
      </c>
      <c r="AG8" s="6" t="inlineStr">
        <is>
          <t>M79662</t>
        </is>
      </c>
      <c r="AH8" s="6" t="inlineStr">
        <is>
          <t>I739</t>
        </is>
      </c>
      <c r="AI8" s="6" t="n"/>
      <c r="AJ8" s="5" t="n"/>
      <c r="AK8" s="6" t="inlineStr">
        <is>
          <t>LEATHEM, JARRETT</t>
        </is>
      </c>
      <c r="AL8" s="6" t="inlineStr">
        <is>
          <t>ASAP - Gilbert</t>
        </is>
      </c>
      <c r="AM8" s="7" t="n">
        <v>46204</v>
      </c>
      <c r="AN8" s="6" t="inlineStr">
        <is>
          <t>US</t>
        </is>
      </c>
      <c r="AO8" s="6" t="inlineStr">
        <is>
          <t>644, 645, 646</t>
        </is>
      </c>
    </row>
    <row r="9">
      <c r="A9" s="2" t="n"/>
      <c r="B9" s="3" t="n"/>
      <c r="C9" s="4" t="n">
        <v>46227</v>
      </c>
      <c r="D9" s="5" t="n">
        <v>563071059</v>
      </c>
      <c r="E9" s="6" t="inlineStr">
        <is>
          <t>HF559503595</t>
        </is>
      </c>
      <c r="F9" s="7" t="n">
        <v>46190</v>
      </c>
      <c r="G9" s="6" t="inlineStr">
        <is>
          <t>Banner Aetna</t>
        </is>
      </c>
      <c r="H9" s="6" t="inlineStr">
        <is>
          <t>Banner Aetna</t>
        </is>
      </c>
      <c r="I9" s="6" t="inlineStr">
        <is>
          <t>No Payer</t>
        </is>
      </c>
      <c r="J9" s="8" t="inlineStr">
        <is>
          <t>93923 x1</t>
        </is>
      </c>
      <c r="K9" s="4" t="n"/>
      <c r="L9" s="5">
        <f>IF($O9="","",$O9-TODAY())</f>
        <v/>
      </c>
      <c r="M9" s="5">
        <f>IF($C9="","",$C9+180-TODAY())</f>
        <v/>
      </c>
      <c r="N9" s="5">
        <f>IF($C9="","",$C9+180-TODAY())</f>
        <v/>
      </c>
      <c r="O9" s="7" t="n">
        <v>46310</v>
      </c>
      <c r="P9" s="6" t="inlineStr">
        <is>
          <t>120 days</t>
        </is>
      </c>
      <c r="Q9" s="6" t="inlineStr">
        <is>
          <t>BANNER HEALTH &amp; AETNA</t>
        </is>
      </c>
      <c r="R9" s="6" t="inlineStr">
        <is>
          <t>180 days</t>
        </is>
      </c>
      <c r="S9" s="6" t="inlineStr">
        <is>
          <t>Processed date</t>
        </is>
      </c>
      <c r="T9" s="6" t="inlineStr">
        <is>
          <t>180 days</t>
        </is>
      </c>
      <c r="U9" s="6" t="inlineStr">
        <is>
          <t>Processed date</t>
        </is>
      </c>
      <c r="V9" s="6" t="n"/>
      <c r="W9" s="6" t="n"/>
      <c r="X9" s="6" t="n"/>
      <c r="Y9" s="6" t="inlineStr">
        <is>
          <t>1</t>
        </is>
      </c>
      <c r="Z9" s="9" t="n">
        <v>879.0599999999999</v>
      </c>
      <c r="AA9" s="9" t="n">
        <v>0</v>
      </c>
      <c r="AB9" s="9" t="n">
        <v>0</v>
      </c>
      <c r="AC9" s="7" t="n">
        <v>46227</v>
      </c>
      <c r="AD9" s="9" t="n">
        <v>879.0599999999999</v>
      </c>
      <c r="AE9" s="5" t="n">
        <v>52</v>
      </c>
      <c r="AF9" s="6" t="inlineStr">
        <is>
          <t>R600</t>
        </is>
      </c>
      <c r="AG9" s="6" t="n"/>
      <c r="AH9" s="6" t="n"/>
      <c r="AI9" s="6" t="n"/>
      <c r="AJ9" s="5" t="n"/>
      <c r="AK9" s="6" t="inlineStr">
        <is>
          <t>BURGHER, ABRAM</t>
        </is>
      </c>
      <c r="AL9" s="6" t="inlineStr">
        <is>
          <t>ASAP - Surprise - Reems</t>
        </is>
      </c>
      <c r="AM9" s="7" t="n">
        <v>46195</v>
      </c>
      <c r="AN9" s="6" t="inlineStr">
        <is>
          <t>US</t>
        </is>
      </c>
      <c r="AO9" s="6" t="inlineStr">
        <is>
          <t>404</t>
        </is>
      </c>
    </row>
    <row r="10">
      <c r="A10" s="2" t="n"/>
      <c r="B10" s="3" t="n"/>
      <c r="C10" s="4" t="n"/>
      <c r="D10" s="5" t="n">
        <v>564059272</v>
      </c>
      <c r="E10" s="6" t="inlineStr">
        <is>
          <t>HF557103622</t>
        </is>
      </c>
      <c r="F10" s="7" t="n">
        <v>46191</v>
      </c>
      <c r="G10" s="6" t="inlineStr">
        <is>
          <t>TRIWEST VA CCN CLAIMS</t>
        </is>
      </c>
      <c r="H10" s="6" t="inlineStr">
        <is>
          <t>TRIWEST VA CCN CLAIMS</t>
        </is>
      </c>
      <c r="I10" s="6" t="inlineStr">
        <is>
          <t>No Payer</t>
        </is>
      </c>
      <c r="J10" s="8" t="inlineStr">
        <is>
          <t>93925 x1; 93923 x1; 93970 x1</t>
        </is>
      </c>
      <c r="K10" s="4" t="n"/>
      <c r="L10" s="5">
        <f>IF($O10="","",$O10-TODAY())</f>
        <v/>
      </c>
      <c r="M10" s="5">
        <f>IF($C10="","",$C10+365-TODAY())</f>
        <v/>
      </c>
      <c r="N10" s="5">
        <f>IF($C10="","",$C10+90-TODAY())</f>
        <v/>
      </c>
      <c r="O10" s="7" t="n">
        <v>46311</v>
      </c>
      <c r="P10" s="6" t="inlineStr">
        <is>
          <t>120 days</t>
        </is>
      </c>
      <c r="Q10" s="6" t="inlineStr">
        <is>
          <t>TRIWEST</t>
        </is>
      </c>
      <c r="R10" s="6" t="inlineStr">
        <is>
          <t>365 days</t>
        </is>
      </c>
      <c r="S10" s="6" t="inlineStr">
        <is>
          <t>Processed date</t>
        </is>
      </c>
      <c r="T10" s="6" t="inlineStr">
        <is>
          <t>90 days</t>
        </is>
      </c>
      <c r="U10" s="6" t="inlineStr">
        <is>
          <t>Processed date</t>
        </is>
      </c>
      <c r="V10" s="6" t="n"/>
      <c r="W10" s="6" t="n"/>
      <c r="X10" s="6" t="n"/>
      <c r="Y10" s="6" t="inlineStr">
        <is>
          <t>1</t>
        </is>
      </c>
      <c r="Z10" s="9" t="n">
        <v>3822.49</v>
      </c>
      <c r="AA10" s="9" t="n">
        <v>0</v>
      </c>
      <c r="AB10" s="9" t="n">
        <v>0</v>
      </c>
      <c r="AC10" s="7" t="n"/>
      <c r="AD10" s="9" t="n">
        <v>3822.49</v>
      </c>
      <c r="AE10" s="5" t="n">
        <v>51</v>
      </c>
      <c r="AF10" s="6" t="inlineStr">
        <is>
          <t>R2243</t>
        </is>
      </c>
      <c r="AG10" s="6" t="n"/>
      <c r="AH10" s="6" t="n"/>
      <c r="AI10" s="6" t="n"/>
      <c r="AJ10" s="5" t="n"/>
      <c r="AK10" s="6" t="inlineStr">
        <is>
          <t>TURLEY, TODD</t>
        </is>
      </c>
      <c r="AL10" s="6" t="inlineStr">
        <is>
          <t>ASAP - DEER VALLEY 240</t>
        </is>
      </c>
      <c r="AM10" s="7" t="n">
        <v>46204</v>
      </c>
      <c r="AN10" s="6" t="inlineStr">
        <is>
          <t>US</t>
        </is>
      </c>
      <c r="AO10" s="6" t="inlineStr">
        <is>
          <t>527, 528, 529</t>
        </is>
      </c>
    </row>
    <row r="11">
      <c r="A11" s="2" t="n"/>
      <c r="B11" s="3" t="n"/>
      <c r="C11" s="4" t="n"/>
      <c r="D11" s="5" t="n">
        <v>566543992</v>
      </c>
      <c r="E11" s="6" t="inlineStr">
        <is>
          <t>HF552713619</t>
        </is>
      </c>
      <c r="F11" s="7" t="n">
        <v>46177</v>
      </c>
      <c r="G11" s="6" t="inlineStr">
        <is>
          <t>Mercy Care Health Plan Advantage (AHCCCS)</t>
        </is>
      </c>
      <c r="H11" s="6" t="inlineStr">
        <is>
          <t>Mercy Care Health Plan Advantage (AHCCCS)</t>
        </is>
      </c>
      <c r="I11" s="6" t="inlineStr">
        <is>
          <t>No Payer</t>
        </is>
      </c>
      <c r="J11" s="8" t="inlineStr">
        <is>
          <t>93923 x1; 93925 x1; 93970 x1</t>
        </is>
      </c>
      <c r="K11" s="4" t="n"/>
      <c r="L11" s="5">
        <f>IF($O11="","",$O11-TODAY())</f>
        <v/>
      </c>
      <c r="M11" s="5">
        <f>IF($F11="","",$F11+365-TODAY())</f>
        <v/>
      </c>
      <c r="N11" s="5">
        <f>IF($F11="","",$F11+365-TODAY())</f>
        <v/>
      </c>
      <c r="O11" s="7" t="n">
        <v>46327</v>
      </c>
      <c r="P11" s="6" t="inlineStr">
        <is>
          <t>150 days</t>
        </is>
      </c>
      <c r="Q11" s="6" t="inlineStr">
        <is>
          <t>MERCY CARE ADVANTAGE</t>
        </is>
      </c>
      <c r="R11" s="6" t="inlineStr">
        <is>
          <t>365 days</t>
        </is>
      </c>
      <c r="S11" s="6" t="inlineStr">
        <is>
          <t>Date of service</t>
        </is>
      </c>
      <c r="T11" s="6" t="inlineStr">
        <is>
          <t>365 days</t>
        </is>
      </c>
      <c r="U11" s="6" t="inlineStr">
        <is>
          <t>Date of service</t>
        </is>
      </c>
      <c r="V11" s="6" t="n"/>
      <c r="W11" s="6" t="n"/>
      <c r="X11" s="6" t="n"/>
      <c r="Y11" s="6" t="inlineStr">
        <is>
          <t>1</t>
        </is>
      </c>
      <c r="Z11" s="9" t="n">
        <v>3822.49</v>
      </c>
      <c r="AA11" s="9" t="n">
        <v>0</v>
      </c>
      <c r="AB11" s="9" t="n">
        <v>0</v>
      </c>
      <c r="AC11" s="7" t="n"/>
      <c r="AD11" s="9" t="n">
        <v>3822.49</v>
      </c>
      <c r="AE11" s="5" t="n">
        <v>65</v>
      </c>
      <c r="AF11" s="6" t="inlineStr">
        <is>
          <t>R2243</t>
        </is>
      </c>
      <c r="AG11" s="6" t="inlineStr">
        <is>
          <t>M79661</t>
        </is>
      </c>
      <c r="AH11" s="6" t="inlineStr">
        <is>
          <t>M79662</t>
        </is>
      </c>
      <c r="AI11" s="6" t="n"/>
      <c r="AJ11" s="5" t="n"/>
      <c r="AK11" s="6" t="inlineStr">
        <is>
          <t>TURLEY, TODD</t>
        </is>
      </c>
      <c r="AL11" s="6" t="inlineStr">
        <is>
          <t>ASAP - DEER VALLEY 240</t>
        </is>
      </c>
      <c r="AM11" s="7" t="n">
        <v>46195</v>
      </c>
      <c r="AN11" s="6" t="inlineStr">
        <is>
          <t>US</t>
        </is>
      </c>
      <c r="AO11" s="6" t="inlineStr">
        <is>
          <t>969, 971, 999</t>
        </is>
      </c>
    </row>
    <row r="12">
      <c r="A12" s="2" t="n"/>
      <c r="B12" s="3" t="n"/>
      <c r="C12" s="4" t="n">
        <v>46202</v>
      </c>
      <c r="D12" s="5" t="n">
        <v>563006512</v>
      </c>
      <c r="E12" s="6" t="inlineStr">
        <is>
          <t>HF441949223</t>
        </is>
      </c>
      <c r="F12" s="7" t="n">
        <v>46175</v>
      </c>
      <c r="G12" s="6" t="inlineStr">
        <is>
          <t>Medicare Part B Arizona *</t>
        </is>
      </c>
      <c r="H12" s="6" t="inlineStr">
        <is>
          <t>Medicare Part B Arizona *</t>
        </is>
      </c>
      <c r="I12" s="6" t="inlineStr">
        <is>
          <t>AARP United Healthcare</t>
        </is>
      </c>
      <c r="J12" s="8" t="inlineStr">
        <is>
          <t>93970 x1; 93923 x1; 93925 x1</t>
        </is>
      </c>
      <c r="K12" s="4" t="n"/>
      <c r="L12" s="5">
        <f>IF($O12="","",$O12-TODAY())</f>
        <v/>
      </c>
      <c r="M12" s="5">
        <f>IF($C12="","",$C12+365-TODAY())</f>
        <v/>
      </c>
      <c r="N12" s="5">
        <f>IF($C12="","",$C12+120-TODAY())</f>
        <v/>
      </c>
      <c r="O12" s="7" t="n">
        <v>46540</v>
      </c>
      <c r="P12" s="6" t="inlineStr">
        <is>
          <t>365 days</t>
        </is>
      </c>
      <c r="Q12" s="6" t="inlineStr">
        <is>
          <t>MEDICARE</t>
        </is>
      </c>
      <c r="R12" s="6" t="inlineStr">
        <is>
          <t>365 days</t>
        </is>
      </c>
      <c r="S12" s="6" t="inlineStr">
        <is>
          <t>Processed date</t>
        </is>
      </c>
      <c r="T12" s="6" t="inlineStr">
        <is>
          <t>120 days</t>
        </is>
      </c>
      <c r="U12" s="6" t="inlineStr">
        <is>
          <t>Processed date</t>
        </is>
      </c>
      <c r="V12" s="6" t="n"/>
      <c r="W12" s="6" t="n"/>
      <c r="X12" s="6" t="n"/>
      <c r="Y12" s="6" t="inlineStr">
        <is>
          <t>1</t>
        </is>
      </c>
      <c r="Z12" s="9" t="n">
        <v>3822.49</v>
      </c>
      <c r="AA12" s="9" t="n">
        <v>0</v>
      </c>
      <c r="AB12" s="9" t="n">
        <v>0</v>
      </c>
      <c r="AC12" s="7" t="n">
        <v>46202</v>
      </c>
      <c r="AD12" s="9" t="n">
        <v>3822.49</v>
      </c>
      <c r="AE12" s="5" t="n">
        <v>67</v>
      </c>
      <c r="AF12" s="6" t="inlineStr">
        <is>
          <t>R609</t>
        </is>
      </c>
      <c r="AG12" s="6" t="inlineStr">
        <is>
          <t>R2240</t>
        </is>
      </c>
      <c r="AH12" s="6" t="n"/>
      <c r="AI12" s="6" t="n"/>
      <c r="AJ12" s="5" t="n"/>
      <c r="AK12" s="6" t="inlineStr">
        <is>
          <t>LEATHEM, JARRETT</t>
        </is>
      </c>
      <c r="AL12" s="6" t="inlineStr">
        <is>
          <t>ASAP - Gilbert</t>
        </is>
      </c>
      <c r="AM12" s="7" t="n">
        <v>46195</v>
      </c>
      <c r="AN12" s="6" t="inlineStr">
        <is>
          <t>US</t>
        </is>
      </c>
      <c r="AO12" s="6" t="inlineStr">
        <is>
          <t>549, 550, 551</t>
        </is>
      </c>
    </row>
    <row r="13">
      <c r="A13" s="2" t="inlineStr">
        <is>
          <t>Finalized</t>
        </is>
      </c>
      <c r="B13" s="3" t="n"/>
      <c r="C13" s="4" t="n">
        <v>46210</v>
      </c>
      <c r="D13" s="5" t="n">
        <v>563023730</v>
      </c>
      <c r="E13" s="6" t="inlineStr">
        <is>
          <t>HF544718675</t>
        </is>
      </c>
      <c r="F13" s="7" t="n">
        <v>46177</v>
      </c>
      <c r="G13" s="6" t="inlineStr">
        <is>
          <t>AARP United Healthcare</t>
        </is>
      </c>
      <c r="H13" s="6" t="inlineStr">
        <is>
          <t>Medicare Part B Arizona *</t>
        </is>
      </c>
      <c r="I13" s="6" t="inlineStr">
        <is>
          <t>AARP United Healthcare</t>
        </is>
      </c>
      <c r="J13" s="8" t="inlineStr">
        <is>
          <t>93925 x1; 93970 x1; 93923 x1</t>
        </is>
      </c>
      <c r="K13" s="4" t="n"/>
      <c r="L13" s="5">
        <f>IF($O13="","",$O13-TODAY())</f>
        <v/>
      </c>
      <c r="M13" s="5">
        <f>IF($C13="","",$C13+365-TODAY())</f>
        <v/>
      </c>
      <c r="N13" s="5">
        <f>IF($C13="","",$C13+120-TODAY())</f>
        <v/>
      </c>
      <c r="O13" s="7" t="n">
        <v>46542</v>
      </c>
      <c r="P13" s="6" t="inlineStr">
        <is>
          <t>365 days</t>
        </is>
      </c>
      <c r="Q13" s="6" t="inlineStr">
        <is>
          <t>MEDICARE</t>
        </is>
      </c>
      <c r="R13" s="6" t="inlineStr">
        <is>
          <t>365 days</t>
        </is>
      </c>
      <c r="S13" s="6" t="inlineStr">
        <is>
          <t>Processed date</t>
        </is>
      </c>
      <c r="T13" s="6" t="inlineStr">
        <is>
          <t>120 days</t>
        </is>
      </c>
      <c r="U13" s="6" t="inlineStr">
        <is>
          <t>Processed date</t>
        </is>
      </c>
      <c r="V13" s="6" t="n"/>
      <c r="W13" s="6" t="n"/>
      <c r="X13" s="6" t="n"/>
      <c r="Y13" s="6" t="inlineStr">
        <is>
          <t>1</t>
        </is>
      </c>
      <c r="Z13" s="9" t="n">
        <v>3822.49</v>
      </c>
      <c r="AA13" s="9" t="n">
        <v>3388.74</v>
      </c>
      <c r="AB13" s="9" t="n">
        <v>338.78</v>
      </c>
      <c r="AC13" s="7" t="n">
        <v>46210</v>
      </c>
      <c r="AD13" s="9" t="n">
        <v>94.97</v>
      </c>
      <c r="AE13" s="5" t="n">
        <v>65</v>
      </c>
      <c r="AF13" s="6" t="inlineStr">
        <is>
          <t>M79604</t>
        </is>
      </c>
      <c r="AG13" s="6" t="inlineStr">
        <is>
          <t>M79605</t>
        </is>
      </c>
      <c r="AH13" s="6" t="inlineStr">
        <is>
          <t>R202</t>
        </is>
      </c>
      <c r="AI13" s="6" t="n"/>
      <c r="AJ13" s="5" t="n">
        <v>566075174</v>
      </c>
      <c r="AK13" s="6" t="inlineStr">
        <is>
          <t>TURLEY, TODD</t>
        </is>
      </c>
      <c r="AL13" s="6" t="inlineStr">
        <is>
          <t>ASAP - DEER VALLEY 240</t>
        </is>
      </c>
      <c r="AM13" s="7" t="n">
        <v>46195</v>
      </c>
      <c r="AN13" s="6" t="inlineStr">
        <is>
          <t>US</t>
        </is>
      </c>
      <c r="AO13" s="6" t="inlineStr">
        <is>
          <t>235, 268, 269</t>
        </is>
      </c>
    </row>
    <row r="14">
      <c r="A14" s="2" t="inlineStr">
        <is>
          <t>Finalized</t>
        </is>
      </c>
      <c r="B14" s="3" t="n"/>
      <c r="C14" s="4" t="n">
        <v>46210</v>
      </c>
      <c r="D14" s="5" t="n">
        <v>563024734</v>
      </c>
      <c r="E14" s="6" t="inlineStr">
        <is>
          <t>HF364431204</t>
        </is>
      </c>
      <c r="F14" s="7" t="n">
        <v>46177</v>
      </c>
      <c r="G14" s="6" t="inlineStr">
        <is>
          <t>Bankers Life Colonial Penn Life</t>
        </is>
      </c>
      <c r="H14" s="6" t="inlineStr">
        <is>
          <t>Medicare Part B Arizona *</t>
        </is>
      </c>
      <c r="I14" s="6" t="inlineStr">
        <is>
          <t>Bankers Life Colonial Penn Life</t>
        </is>
      </c>
      <c r="J14" s="8" t="inlineStr">
        <is>
          <t>93970 x1; 93925 x1; 93923 x1</t>
        </is>
      </c>
      <c r="K14" s="4" t="n"/>
      <c r="L14" s="5">
        <f>IF($O14="","",$O14-TODAY())</f>
        <v/>
      </c>
      <c r="M14" s="5">
        <f>IF($C14="","",$C14+365-TODAY())</f>
        <v/>
      </c>
      <c r="N14" s="5">
        <f>IF($C14="","",$C14+120-TODAY())</f>
        <v/>
      </c>
      <c r="O14" s="7" t="n">
        <v>46542</v>
      </c>
      <c r="P14" s="6" t="inlineStr">
        <is>
          <t>365 days</t>
        </is>
      </c>
      <c r="Q14" s="6" t="inlineStr">
        <is>
          <t>MEDICARE</t>
        </is>
      </c>
      <c r="R14" s="6" t="inlineStr">
        <is>
          <t>365 days</t>
        </is>
      </c>
      <c r="S14" s="6" t="inlineStr">
        <is>
          <t>Processed date</t>
        </is>
      </c>
      <c r="T14" s="6" t="inlineStr">
        <is>
          <t>120 days</t>
        </is>
      </c>
      <c r="U14" s="6" t="inlineStr">
        <is>
          <t>Processed date</t>
        </is>
      </c>
      <c r="V14" s="6" t="n"/>
      <c r="W14" s="6" t="n"/>
      <c r="X14" s="6" t="n"/>
      <c r="Y14" s="6" t="inlineStr">
        <is>
          <t>1</t>
        </is>
      </c>
      <c r="Z14" s="9" t="n">
        <v>3822.49</v>
      </c>
      <c r="AA14" s="9" t="n">
        <v>3388.74</v>
      </c>
      <c r="AB14" s="9" t="n">
        <v>338.78</v>
      </c>
      <c r="AC14" s="7" t="n">
        <v>46210</v>
      </c>
      <c r="AD14" s="9" t="n">
        <v>94.97</v>
      </c>
      <c r="AE14" s="5" t="n">
        <v>65</v>
      </c>
      <c r="AF14" s="6" t="inlineStr">
        <is>
          <t>R2241</t>
        </is>
      </c>
      <c r="AG14" s="6" t="n"/>
      <c r="AH14" s="6" t="n"/>
      <c r="AI14" s="6" t="n"/>
      <c r="AJ14" s="5" t="n">
        <v>566075177</v>
      </c>
      <c r="AK14" s="6" t="inlineStr">
        <is>
          <t>TURLEY, TODD</t>
        </is>
      </c>
      <c r="AL14" s="6" t="inlineStr">
        <is>
          <t>ASAP - DEER VALLEY 240</t>
        </is>
      </c>
      <c r="AM14" s="7" t="n">
        <v>46195</v>
      </c>
      <c r="AN14" s="6" t="inlineStr">
        <is>
          <t>US</t>
        </is>
      </c>
      <c r="AO14" s="6" t="inlineStr">
        <is>
          <t>125, 165, 166</t>
        </is>
      </c>
    </row>
    <row r="15">
      <c r="A15" s="2" t="n"/>
      <c r="B15" s="3" t="n"/>
      <c r="C15" s="4" t="n">
        <v>46202</v>
      </c>
      <c r="D15" s="5" t="n">
        <v>563068412</v>
      </c>
      <c r="E15" s="6" t="inlineStr">
        <is>
          <t>HF559660036</t>
        </is>
      </c>
      <c r="F15" s="7" t="n">
        <v>46189</v>
      </c>
      <c r="G15" s="6" t="inlineStr">
        <is>
          <t>Medicare Part B Arizona *</t>
        </is>
      </c>
      <c r="H15" s="6" t="inlineStr">
        <is>
          <t>Medicare Part B Arizona *</t>
        </is>
      </c>
      <c r="I15" s="6" t="inlineStr">
        <is>
          <t>No Payer</t>
        </is>
      </c>
      <c r="J15" s="8" t="inlineStr">
        <is>
          <t>93923 x1; 93970 x1; 93925 x1</t>
        </is>
      </c>
      <c r="K15" s="4" t="n"/>
      <c r="L15" s="5">
        <f>IF($O15="","",$O15-TODAY())</f>
        <v/>
      </c>
      <c r="M15" s="5">
        <f>IF($C15="","",$C15+365-TODAY())</f>
        <v/>
      </c>
      <c r="N15" s="5">
        <f>IF($C15="","",$C15+120-TODAY())</f>
        <v/>
      </c>
      <c r="O15" s="7" t="n">
        <v>46554</v>
      </c>
      <c r="P15" s="6" t="inlineStr">
        <is>
          <t>365 days</t>
        </is>
      </c>
      <c r="Q15" s="6" t="inlineStr">
        <is>
          <t>MEDICARE</t>
        </is>
      </c>
      <c r="R15" s="6" t="inlineStr">
        <is>
          <t>365 days</t>
        </is>
      </c>
      <c r="S15" s="6" t="inlineStr">
        <is>
          <t>Processed date</t>
        </is>
      </c>
      <c r="T15" s="6" t="inlineStr">
        <is>
          <t>120 days</t>
        </is>
      </c>
      <c r="U15" s="6" t="inlineStr">
        <is>
          <t>Processed date</t>
        </is>
      </c>
      <c r="V15" s="6" t="n"/>
      <c r="W15" s="6" t="n"/>
      <c r="X15" s="6" t="n"/>
      <c r="Y15" s="6" t="inlineStr">
        <is>
          <t>1</t>
        </is>
      </c>
      <c r="Z15" s="9" t="n">
        <v>3822.49</v>
      </c>
      <c r="AA15" s="9" t="n">
        <v>0</v>
      </c>
      <c r="AB15" s="9" t="n">
        <v>0</v>
      </c>
      <c r="AC15" s="7" t="n">
        <v>46202</v>
      </c>
      <c r="AD15" s="9" t="n">
        <v>3822.49</v>
      </c>
      <c r="AE15" s="5" t="n">
        <v>53</v>
      </c>
      <c r="AF15" s="6" t="inlineStr">
        <is>
          <t>G549</t>
        </is>
      </c>
      <c r="AG15" s="6" t="inlineStr">
        <is>
          <t>I70213</t>
        </is>
      </c>
      <c r="AH15" s="6" t="n"/>
      <c r="AI15" s="6" t="n"/>
      <c r="AJ15" s="5" t="n"/>
      <c r="AK15" s="6" t="inlineStr">
        <is>
          <t>LEATHEM, JARRETT</t>
        </is>
      </c>
      <c r="AL15" s="6" t="inlineStr">
        <is>
          <t>ASAP - Gilbert</t>
        </is>
      </c>
      <c r="AM15" s="7" t="n">
        <v>46195</v>
      </c>
      <c r="AN15" s="6" t="inlineStr">
        <is>
          <t>US</t>
        </is>
      </c>
      <c r="AO15" s="6" t="inlineStr">
        <is>
          <t>326, 327, 328</t>
        </is>
      </c>
    </row>
    <row r="16">
      <c r="A16" s="2" t="n"/>
      <c r="B16" s="3" t="n"/>
      <c r="C16" s="4" t="n">
        <v>46212</v>
      </c>
      <c r="D16" s="5" t="n">
        <v>564058406</v>
      </c>
      <c r="E16" s="6" t="inlineStr">
        <is>
          <t>HF467995431</t>
        </is>
      </c>
      <c r="F16" s="7" t="n">
        <v>46191</v>
      </c>
      <c r="G16" s="6" t="inlineStr">
        <is>
          <t>Medicare Part B Arizona *</t>
        </is>
      </c>
      <c r="H16" s="6" t="inlineStr">
        <is>
          <t>Medicare Part B Arizona *</t>
        </is>
      </c>
      <c r="I16" s="6" t="inlineStr">
        <is>
          <t>AARP United Healthcare</t>
        </is>
      </c>
      <c r="J16" s="8" t="inlineStr">
        <is>
          <t>93970 x1</t>
        </is>
      </c>
      <c r="K16" s="4" t="n"/>
      <c r="L16" s="5">
        <f>IF($O16="","",$O16-TODAY())</f>
        <v/>
      </c>
      <c r="M16" s="5">
        <f>IF($C16="","",$C16+365-TODAY())</f>
        <v/>
      </c>
      <c r="N16" s="5">
        <f>IF($C16="","",$C16+120-TODAY())</f>
        <v/>
      </c>
      <c r="O16" s="7" t="n">
        <v>46556</v>
      </c>
      <c r="P16" s="6" t="inlineStr">
        <is>
          <t>365 days</t>
        </is>
      </c>
      <c r="Q16" s="6" t="inlineStr">
        <is>
          <t>MEDICARE</t>
        </is>
      </c>
      <c r="R16" s="6" t="inlineStr">
        <is>
          <t>365 days</t>
        </is>
      </c>
      <c r="S16" s="6" t="inlineStr">
        <is>
          <t>Processed date</t>
        </is>
      </c>
      <c r="T16" s="6" t="inlineStr">
        <is>
          <t>120 days</t>
        </is>
      </c>
      <c r="U16" s="6" t="inlineStr">
        <is>
          <t>Processed date</t>
        </is>
      </c>
      <c r="V16" s="6" t="n"/>
      <c r="W16" s="6" t="n"/>
      <c r="X16" s="6" t="n"/>
      <c r="Y16" s="6" t="inlineStr">
        <is>
          <t>1</t>
        </is>
      </c>
      <c r="Z16" s="9" t="n">
        <v>1294.23</v>
      </c>
      <c r="AA16" s="9" t="n">
        <v>0</v>
      </c>
      <c r="AB16" s="9" t="n">
        <v>0</v>
      </c>
      <c r="AC16" s="7" t="n">
        <v>46212</v>
      </c>
      <c r="AD16" s="9" t="n">
        <v>1294.23</v>
      </c>
      <c r="AE16" s="5" t="n">
        <v>51</v>
      </c>
      <c r="AF16" s="6" t="inlineStr">
        <is>
          <t>I83811</t>
        </is>
      </c>
      <c r="AG16" s="6" t="inlineStr">
        <is>
          <t>I872</t>
        </is>
      </c>
      <c r="AH16" s="6" t="inlineStr">
        <is>
          <t>M1711</t>
        </is>
      </c>
      <c r="AI16" s="6" t="n"/>
      <c r="AJ16" s="5" t="n"/>
      <c r="AK16" s="6" t="inlineStr">
        <is>
          <t>TURLEY, TODD</t>
        </is>
      </c>
      <c r="AL16" s="6" t="inlineStr">
        <is>
          <t>ASAP - DEER VALLEY 240</t>
        </is>
      </c>
      <c r="AM16" s="7" t="n">
        <v>46204</v>
      </c>
      <c r="AN16" s="6" t="inlineStr">
        <is>
          <t>US</t>
        </is>
      </c>
      <c r="AO16" s="6" t="inlineStr">
        <is>
          <t>874</t>
        </is>
      </c>
    </row>
    <row r="17">
      <c r="A17" s="2" t="inlineStr">
        <is>
          <t>Finalized</t>
        </is>
      </c>
      <c r="B17" s="3" t="n"/>
      <c r="C17" s="4" t="n">
        <v>46225</v>
      </c>
      <c r="D17" s="5" t="n">
        <v>564587230</v>
      </c>
      <c r="E17" s="6" t="inlineStr">
        <is>
          <t>HF497148337</t>
        </is>
      </c>
      <c r="F17" s="7" t="n">
        <v>46196</v>
      </c>
      <c r="G17" s="6" t="inlineStr">
        <is>
          <t>Aetna Senior Supplemental (AESSI) - Secondary Only 62118</t>
        </is>
      </c>
      <c r="H17" s="6" t="inlineStr">
        <is>
          <t>Medicare Part B Arizona *</t>
        </is>
      </c>
      <c r="I17" s="6" t="inlineStr">
        <is>
          <t>Aetna Senior Supplemental (AESSI) - Secondary Only 62118</t>
        </is>
      </c>
      <c r="J17" s="8" t="inlineStr">
        <is>
          <t>93970 x1</t>
        </is>
      </c>
      <c r="K17" s="4" t="n"/>
      <c r="L17" s="5">
        <f>IF($O17="","",$O17-TODAY())</f>
        <v/>
      </c>
      <c r="M17" s="5">
        <f>IF($C17="","",$C17+365-TODAY())</f>
        <v/>
      </c>
      <c r="N17" s="5">
        <f>IF($C17="","",$C17+120-TODAY())</f>
        <v/>
      </c>
      <c r="O17" s="7" t="n">
        <v>46561</v>
      </c>
      <c r="P17" s="6" t="inlineStr">
        <is>
          <t>365 days</t>
        </is>
      </c>
      <c r="Q17" s="6" t="inlineStr">
        <is>
          <t>MEDICARE</t>
        </is>
      </c>
      <c r="R17" s="6" t="inlineStr">
        <is>
          <t>365 days</t>
        </is>
      </c>
      <c r="S17" s="6" t="inlineStr">
        <is>
          <t>Processed date</t>
        </is>
      </c>
      <c r="T17" s="6" t="inlineStr">
        <is>
          <t>120 days</t>
        </is>
      </c>
      <c r="U17" s="6" t="inlineStr">
        <is>
          <t>Processed date</t>
        </is>
      </c>
      <c r="V17" s="6" t="n"/>
      <c r="W17" s="6" t="n"/>
      <c r="X17" s="6" t="n"/>
      <c r="Y17" s="6" t="inlineStr">
        <is>
          <t>1</t>
        </is>
      </c>
      <c r="Z17" s="9" t="n">
        <v>1294.23</v>
      </c>
      <c r="AA17" s="9" t="n">
        <v>1131</v>
      </c>
      <c r="AB17" s="9" t="n">
        <v>127.49</v>
      </c>
      <c r="AC17" s="7" t="n">
        <v>46225</v>
      </c>
      <c r="AD17" s="9" t="n">
        <v>35.74</v>
      </c>
      <c r="AE17" s="5" t="n">
        <v>46</v>
      </c>
      <c r="AF17" s="6" t="inlineStr">
        <is>
          <t>I83011</t>
        </is>
      </c>
      <c r="AG17" s="6" t="inlineStr">
        <is>
          <t>I872</t>
        </is>
      </c>
      <c r="AH17" s="6" t="n"/>
      <c r="AI17" s="6" t="n"/>
      <c r="AJ17" s="5" t="n">
        <v>567791264</v>
      </c>
      <c r="AK17" s="6" t="inlineStr">
        <is>
          <t>LEATHEM, JARRETT</t>
        </is>
      </c>
      <c r="AL17" s="6" t="inlineStr">
        <is>
          <t>ASAP - Gilbert</t>
        </is>
      </c>
      <c r="AM17" s="7" t="n">
        <v>46210</v>
      </c>
      <c r="AN17" s="6" t="inlineStr">
        <is>
          <t>US</t>
        </is>
      </c>
      <c r="AO17" s="6" t="inlineStr">
        <is>
          <t>170</t>
        </is>
      </c>
    </row>
    <row r="18">
      <c r="A18" s="2" t="inlineStr">
        <is>
          <t>Finalized</t>
        </is>
      </c>
      <c r="B18" s="3" t="n"/>
      <c r="C18" s="4" t="n">
        <v>46225</v>
      </c>
      <c r="D18" s="5" t="n">
        <v>564546707</v>
      </c>
      <c r="E18" s="6" t="inlineStr">
        <is>
          <t>HF562069201</t>
        </is>
      </c>
      <c r="F18" s="7" t="n">
        <v>46203</v>
      </c>
      <c r="G18" s="6" t="inlineStr">
        <is>
          <t>Mutual of Omaha Insurance Company</t>
        </is>
      </c>
      <c r="H18" s="6" t="inlineStr">
        <is>
          <t>Medicare Part B Arizona *</t>
        </is>
      </c>
      <c r="I18" s="6" t="inlineStr">
        <is>
          <t>Mutual of Omaha Insurance Company</t>
        </is>
      </c>
      <c r="J18" s="8" t="inlineStr">
        <is>
          <t>93923 x1; 93970 x1; 93925 x1</t>
        </is>
      </c>
      <c r="K18" s="4" t="n"/>
      <c r="L18" s="5">
        <f>IF($O18="","",$O18-TODAY())</f>
        <v/>
      </c>
      <c r="M18" s="5">
        <f>IF($C18="","",$C18+365-TODAY())</f>
        <v/>
      </c>
      <c r="N18" s="5">
        <f>IF($C18="","",$C18+120-TODAY())</f>
        <v/>
      </c>
      <c r="O18" s="7" t="n">
        <v>46568</v>
      </c>
      <c r="P18" s="6" t="inlineStr">
        <is>
          <t>365 days</t>
        </is>
      </c>
      <c r="Q18" s="6" t="inlineStr">
        <is>
          <t>MEDICARE</t>
        </is>
      </c>
      <c r="R18" s="6" t="inlineStr">
        <is>
          <t>365 days</t>
        </is>
      </c>
      <c r="S18" s="6" t="inlineStr">
        <is>
          <t>Processed date</t>
        </is>
      </c>
      <c r="T18" s="6" t="inlineStr">
        <is>
          <t>120 days</t>
        </is>
      </c>
      <c r="U18" s="6" t="inlineStr">
        <is>
          <t>Processed date</t>
        </is>
      </c>
      <c r="V18" s="6" t="n"/>
      <c r="W18" s="6" t="n"/>
      <c r="X18" s="6" t="n"/>
      <c r="Y18" s="6" t="inlineStr">
        <is>
          <t>1</t>
        </is>
      </c>
      <c r="Z18" s="9" t="n">
        <v>3822.49</v>
      </c>
      <c r="AA18" s="9" t="n">
        <v>3388.74</v>
      </c>
      <c r="AB18" s="9" t="n">
        <v>338.78</v>
      </c>
      <c r="AC18" s="7" t="n">
        <v>46225</v>
      </c>
      <c r="AD18" s="9" t="n">
        <v>94.97</v>
      </c>
      <c r="AE18" s="5" t="n">
        <v>39</v>
      </c>
      <c r="AF18" s="6" t="inlineStr">
        <is>
          <t>I739</t>
        </is>
      </c>
      <c r="AG18" s="6" t="inlineStr">
        <is>
          <t>M79605</t>
        </is>
      </c>
      <c r="AH18" s="6" t="inlineStr">
        <is>
          <t>M79604</t>
        </is>
      </c>
      <c r="AI18" s="6" t="n"/>
      <c r="AJ18" s="5" t="n">
        <v>567791377</v>
      </c>
      <c r="AK18" s="6" t="inlineStr">
        <is>
          <t>LEATHEM, JARRETT</t>
        </is>
      </c>
      <c r="AL18" s="6" t="inlineStr">
        <is>
          <t>ASAP - Gilbert</t>
        </is>
      </c>
      <c r="AM18" s="7" t="n">
        <v>46210</v>
      </c>
      <c r="AN18" s="6" t="inlineStr">
        <is>
          <t>US</t>
        </is>
      </c>
      <c r="AO18" s="6" t="inlineStr">
        <is>
          <t>74, 75, 155</t>
        </is>
      </c>
    </row>
    <row r="19">
      <c r="A19" s="2" t="inlineStr">
        <is>
          <t>Denied</t>
        </is>
      </c>
      <c r="B19" s="3" t="inlineStr">
        <is>
          <t>Delete 93923 that's bundling, and resubmitted -  93923 billed on claim 568263929 - Processed Date 06/25/2026</t>
        </is>
      </c>
      <c r="C19" s="4" t="n">
        <v>46198</v>
      </c>
      <c r="D19" s="5" t="n">
        <v>563065806</v>
      </c>
      <c r="E19" s="6" t="inlineStr">
        <is>
          <t>HF550504744</t>
        </is>
      </c>
      <c r="F19" s="7" t="n">
        <v>46184</v>
      </c>
      <c r="G19" s="6" t="inlineStr">
        <is>
          <t>Devoted Health Plan</t>
        </is>
      </c>
      <c r="H19" s="6" t="inlineStr">
        <is>
          <t>Devoted Health Plan</t>
        </is>
      </c>
      <c r="I19" s="6" t="inlineStr">
        <is>
          <t>No Payer</t>
        </is>
      </c>
      <c r="J19" s="8" t="inlineStr">
        <is>
          <t>93923 x1; 93925 x1; 93970 x1</t>
        </is>
      </c>
      <c r="K19" s="4" t="n"/>
      <c r="L19" s="5">
        <f>IF($O19="","",$O19-TODAY())</f>
        <v/>
      </c>
      <c r="M19" s="5">
        <f>IF($C19="","",$C19+365-TODAY())</f>
        <v/>
      </c>
      <c r="N19" s="5">
        <f>IF($C19="","",$C19+90-TODAY())</f>
        <v/>
      </c>
      <c r="O19" s="7" t="n">
        <v>46244</v>
      </c>
      <c r="P19" s="6" t="inlineStr">
        <is>
          <t>60 days</t>
        </is>
      </c>
      <c r="Q19" s="6" t="inlineStr">
        <is>
          <t>DEVOTED</t>
        </is>
      </c>
      <c r="R19" s="6" t="inlineStr">
        <is>
          <t>365 days</t>
        </is>
      </c>
      <c r="S19" s="6" t="inlineStr">
        <is>
          <t>Processed date</t>
        </is>
      </c>
      <c r="T19" s="6" t="inlineStr">
        <is>
          <t>90 days</t>
        </is>
      </c>
      <c r="U19" s="6" t="inlineStr">
        <is>
          <t>Processed date</t>
        </is>
      </c>
      <c r="V19" s="6" t="n"/>
      <c r="W19" s="6" t="n"/>
      <c r="X19" s="6" t="n"/>
      <c r="Y19" s="6" t="inlineStr">
        <is>
          <t>1</t>
        </is>
      </c>
      <c r="Z19" s="9" t="n">
        <v>3822.49</v>
      </c>
      <c r="AA19" s="9" t="n">
        <v>0</v>
      </c>
      <c r="AB19" s="9" t="n">
        <v>0</v>
      </c>
      <c r="AC19" s="7" t="n">
        <v>46202</v>
      </c>
      <c r="AD19" s="9" t="n">
        <v>3822.49</v>
      </c>
      <c r="AE19" s="5" t="n">
        <v>58</v>
      </c>
      <c r="AF19" s="6" t="inlineStr">
        <is>
          <t>G5790</t>
        </is>
      </c>
      <c r="AG19" s="6" t="inlineStr">
        <is>
          <t>M5459</t>
        </is>
      </c>
      <c r="AH19" s="6" t="inlineStr">
        <is>
          <t>M546</t>
        </is>
      </c>
      <c r="AI19" s="6" t="inlineStr">
        <is>
          <t>N39498</t>
        </is>
      </c>
      <c r="AJ19" s="5" t="n"/>
      <c r="AK19" s="6" t="inlineStr">
        <is>
          <t>TURLEY, TODD</t>
        </is>
      </c>
      <c r="AL19" s="6" t="inlineStr">
        <is>
          <t>ASAP - DEER VALLEY 240</t>
        </is>
      </c>
      <c r="AM19" s="7" t="n">
        <v>46195</v>
      </c>
      <c r="AN19" s="6" t="inlineStr">
        <is>
          <t>US</t>
        </is>
      </c>
      <c r="AO19" s="6" t="inlineStr">
        <is>
          <t>824, 825, 826</t>
        </is>
      </c>
    </row>
    <row r="20">
      <c r="A20" s="2" t="n"/>
      <c r="B20" s="3" t="n"/>
      <c r="C20" s="4" t="n">
        <v>46220</v>
      </c>
      <c r="D20" s="5" t="n">
        <v>563009396</v>
      </c>
      <c r="E20" s="6" t="inlineStr">
        <is>
          <t>HF449340318</t>
        </is>
      </c>
      <c r="F20" s="7" t="n">
        <v>46176</v>
      </c>
      <c r="G20" s="6" t="inlineStr">
        <is>
          <t>UMR Wausau / UHIS</t>
        </is>
      </c>
      <c r="H20" s="6" t="inlineStr">
        <is>
          <t>UMR Wausau / UHIS</t>
        </is>
      </c>
      <c r="I20" s="6" t="inlineStr">
        <is>
          <t>No Payer</t>
        </is>
      </c>
      <c r="J20" s="8" t="inlineStr">
        <is>
          <t>93925 x1</t>
        </is>
      </c>
      <c r="K20" s="4" t="n"/>
      <c r="L20" s="5">
        <f>IF($O20="","",$O20-TODAY())</f>
        <v/>
      </c>
      <c r="M20" s="5" t="n"/>
      <c r="N20" s="5">
        <f>IF($C20="","",$C20+180-TODAY())</f>
        <v/>
      </c>
      <c r="O20" s="7" t="n"/>
      <c r="P20" s="6" t="n"/>
      <c r="Q20" s="6" t="inlineStr">
        <is>
          <t>UMR / WAUSAU</t>
        </is>
      </c>
      <c r="R20" s="6" t="n"/>
      <c r="S20" s="6" t="n"/>
      <c r="T20" s="6" t="inlineStr">
        <is>
          <t>180 days</t>
        </is>
      </c>
      <c r="U20" s="6" t="inlineStr">
        <is>
          <t>Processed date</t>
        </is>
      </c>
      <c r="V20" s="6" t="n"/>
      <c r="W20" s="6" t="n"/>
      <c r="X20" s="6" t="n"/>
      <c r="Y20" s="6" t="inlineStr">
        <is>
          <t>1</t>
        </is>
      </c>
      <c r="Z20" s="9" t="n">
        <v>1649.2</v>
      </c>
      <c r="AA20" s="9" t="n">
        <v>0</v>
      </c>
      <c r="AB20" s="9" t="n">
        <v>0</v>
      </c>
      <c r="AC20" s="7" t="n">
        <v>46220</v>
      </c>
      <c r="AD20" s="9" t="n">
        <v>1649.2</v>
      </c>
      <c r="AE20" s="5" t="n">
        <v>66</v>
      </c>
      <c r="AF20" s="6" t="inlineStr">
        <is>
          <t>R609</t>
        </is>
      </c>
      <c r="AG20" s="6" t="inlineStr">
        <is>
          <t>M79604</t>
        </is>
      </c>
      <c r="AH20" s="6" t="inlineStr">
        <is>
          <t>M79605</t>
        </is>
      </c>
      <c r="AI20" s="6" t="n"/>
      <c r="AJ20" s="5" t="n"/>
      <c r="AK20" s="6" t="inlineStr">
        <is>
          <t>BURGHER, ABRAM</t>
        </is>
      </c>
      <c r="AL20" s="6" t="inlineStr">
        <is>
          <t>ASAP - Surprise - Reems</t>
        </is>
      </c>
      <c r="AM20" s="7" t="n">
        <v>46195</v>
      </c>
      <c r="AN20" s="6" t="inlineStr">
        <is>
          <t>US</t>
        </is>
      </c>
      <c r="AO20" s="6" t="inlineStr">
        <is>
          <t>478</t>
        </is>
      </c>
    </row>
    <row r="21">
      <c r="A21" s="2" t="n"/>
      <c r="B21" s="3" t="n"/>
      <c r="C21" s="4" t="n">
        <v>46223</v>
      </c>
      <c r="D21" s="5" t="n">
        <v>566827110</v>
      </c>
      <c r="E21" s="6" t="inlineStr">
        <is>
          <t>HF558969171</t>
        </is>
      </c>
      <c r="F21" s="7" t="n">
        <v>46182</v>
      </c>
      <c r="G21" s="6" t="inlineStr">
        <is>
          <t>SCAN Health Plan (Village Health Plan)</t>
        </is>
      </c>
      <c r="H21" s="6" t="inlineStr">
        <is>
          <t>SCAN Health Plan (Village Health Plan)</t>
        </is>
      </c>
      <c r="I21" s="6" t="inlineStr">
        <is>
          <t>No Payer</t>
        </is>
      </c>
      <c r="J21" s="8" t="inlineStr">
        <is>
          <t>93970 x1; 93923 x1</t>
        </is>
      </c>
      <c r="K21" s="4" t="n"/>
      <c r="L21" s="5">
        <f>IF($O21="","",$O21-TODAY())</f>
        <v/>
      </c>
      <c r="M21" s="5" t="n"/>
      <c r="N21" s="5" t="n"/>
      <c r="O21" s="7" t="n"/>
      <c r="P21" s="6" t="n"/>
      <c r="Q21" s="6" t="inlineStr">
        <is>
          <t>Not on reference list</t>
        </is>
      </c>
      <c r="R21" s="6" t="n"/>
      <c r="S21" s="6" t="n"/>
      <c r="T21" s="6" t="n"/>
      <c r="U21" s="6" t="n"/>
      <c r="V21" s="6" t="n"/>
      <c r="W21" s="6" t="n"/>
      <c r="X21" s="6" t="n"/>
      <c r="Y21" s="6" t="inlineStr">
        <is>
          <t>1</t>
        </is>
      </c>
      <c r="Z21" s="9" t="n">
        <v>2173.29</v>
      </c>
      <c r="AA21" s="9" t="n">
        <v>0</v>
      </c>
      <c r="AB21" s="9" t="n">
        <v>0</v>
      </c>
      <c r="AC21" s="7" t="n">
        <v>46223</v>
      </c>
      <c r="AD21" s="9" t="n">
        <v>2173.29</v>
      </c>
      <c r="AE21" s="5" t="n">
        <v>60</v>
      </c>
      <c r="AF21" s="6" t="inlineStr">
        <is>
          <t>I872</t>
        </is>
      </c>
      <c r="AG21" s="6" t="n"/>
      <c r="AH21" s="6" t="n"/>
      <c r="AI21" s="6" t="n"/>
      <c r="AJ21" s="5" t="n"/>
      <c r="AK21" s="6" t="inlineStr">
        <is>
          <t>LEATHEM, JARRETT</t>
        </is>
      </c>
      <c r="AL21" s="6" t="inlineStr">
        <is>
          <t>ASAP - Gilbert</t>
        </is>
      </c>
      <c r="AM21" s="7" t="n">
        <v>46195</v>
      </c>
      <c r="AN21" s="6" t="inlineStr">
        <is>
          <t>US</t>
        </is>
      </c>
      <c r="AO21" s="6" t="inlineStr">
        <is>
          <t>587, 588</t>
        </is>
      </c>
    </row>
    <row r="22">
      <c r="A22" s="2" t="n"/>
      <c r="B22" s="3" t="n"/>
      <c r="C22" s="4" t="n">
        <v>46220</v>
      </c>
      <c r="D22" s="5" t="n">
        <v>563069183</v>
      </c>
      <c r="E22" s="6" t="inlineStr">
        <is>
          <t>HF449340318</t>
        </is>
      </c>
      <c r="F22" s="7" t="n">
        <v>46190</v>
      </c>
      <c r="G22" s="6" t="inlineStr">
        <is>
          <t>UMR Wausau / UHIS</t>
        </is>
      </c>
      <c r="H22" s="6" t="inlineStr">
        <is>
          <t>UMR Wausau / UHIS</t>
        </is>
      </c>
      <c r="I22" s="6" t="inlineStr">
        <is>
          <t>No Payer</t>
        </is>
      </c>
      <c r="J22" s="8" t="inlineStr">
        <is>
          <t>93970 x1</t>
        </is>
      </c>
      <c r="K22" s="4" t="n"/>
      <c r="L22" s="5">
        <f>IF($O22="","",$O22-TODAY())</f>
        <v/>
      </c>
      <c r="M22" s="5" t="n"/>
      <c r="N22" s="5">
        <f>IF($C22="","",$C22+180-TODAY())</f>
        <v/>
      </c>
      <c r="O22" s="7" t="n"/>
      <c r="P22" s="6" t="n"/>
      <c r="Q22" s="6" t="inlineStr">
        <is>
          <t>UMR / WAUSAU</t>
        </is>
      </c>
      <c r="R22" s="6" t="n"/>
      <c r="S22" s="6" t="n"/>
      <c r="T22" s="6" t="inlineStr">
        <is>
          <t>180 days</t>
        </is>
      </c>
      <c r="U22" s="6" t="inlineStr">
        <is>
          <t>Processed date</t>
        </is>
      </c>
      <c r="V22" s="6" t="n"/>
      <c r="W22" s="6" t="n"/>
      <c r="X22" s="6" t="n"/>
      <c r="Y22" s="6" t="inlineStr">
        <is>
          <t>1</t>
        </is>
      </c>
      <c r="Z22" s="9" t="n">
        <v>1294.23</v>
      </c>
      <c r="AA22" s="9" t="n">
        <v>0</v>
      </c>
      <c r="AB22" s="9" t="n">
        <v>0</v>
      </c>
      <c r="AC22" s="7" t="n">
        <v>46220</v>
      </c>
      <c r="AD22" s="9" t="n">
        <v>1294.23</v>
      </c>
      <c r="AE22" s="5" t="n">
        <v>52</v>
      </c>
      <c r="AF22" s="6" t="inlineStr">
        <is>
          <t>R609</t>
        </is>
      </c>
      <c r="AG22" s="6" t="n"/>
      <c r="AH22" s="6" t="n"/>
      <c r="AI22" s="6" t="n"/>
      <c r="AJ22" s="5" t="n"/>
      <c r="AK22" s="6" t="inlineStr">
        <is>
          <t>BURGHER, ABRAM</t>
        </is>
      </c>
      <c r="AL22" s="6" t="inlineStr">
        <is>
          <t>ASAP - Surprise - Reems</t>
        </is>
      </c>
      <c r="AM22" s="7" t="n">
        <v>46195</v>
      </c>
      <c r="AN22" s="6" t="inlineStr">
        <is>
          <t>US</t>
        </is>
      </c>
      <c r="AO22" s="6" t="inlineStr">
        <is>
          <t>906</t>
        </is>
      </c>
    </row>
  </sheetData>
  <autoFilter ref="A1:AO22"/>
  <conditionalFormatting sqref="L2:L2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conditionalFormatting sqref="M2:M22">
    <cfRule type="expression" priority="6" dxfId="0" stopIfTrue="0">
      <formula>AND($M2&lt;&gt;"", $M2&gt;=0, $M2&lt;=5)</formula>
    </cfRule>
    <cfRule type="expression" priority="7" dxfId="1" stopIfTrue="0">
      <formula>AND($M2&lt;&gt;"", $M2&gt;5, $M2&lt;=30)</formula>
    </cfRule>
    <cfRule type="expression" priority="8" dxfId="2" stopIfTrue="0">
      <formula>AND($M2&lt;&gt;"", $M2&gt;30)</formula>
    </cfRule>
    <cfRule type="expression" priority="9" dxfId="3" stopIfTrue="0">
      <formula>AND($M2&lt;&gt;"", $M2&lt;0)</formula>
    </cfRule>
    <cfRule type="expression" priority="10" dxfId="4" stopIfTrue="0">
      <formula>$M2=""</formula>
    </cfRule>
  </conditionalFormatting>
  <conditionalFormatting sqref="N2:N22">
    <cfRule type="expression" priority="11" dxfId="0" stopIfTrue="0">
      <formula>AND($N2&lt;&gt;"", $N2&gt;=0, $N2&lt;=5)</formula>
    </cfRule>
    <cfRule type="expression" priority="12" dxfId="1" stopIfTrue="0">
      <formula>AND($N2&lt;&gt;"", $N2&gt;5, $N2&lt;=30)</formula>
    </cfRule>
    <cfRule type="expression" priority="13" dxfId="2" stopIfTrue="0">
      <formula>AND($N2&lt;&gt;"", $N2&gt;30)</formula>
    </cfRule>
    <cfRule type="expression" priority="14" dxfId="3" stopIfTrue="0">
      <formula>AND($N2&lt;&gt;"", $N2&lt;0)</formula>
    </cfRule>
    <cfRule type="expression" priority="15" dxfId="4" stopIfTrue="0">
      <formula>$N2=""</formula>
    </cfRule>
  </conditionalFormatting>
  <conditionalFormatting sqref="O2:U22">
    <cfRule type="expression" priority="16" dxfId="0" stopIfTrue="0">
      <formula>AND($L2&lt;&gt;"", $L2&gt;=0, $L2&lt;=5)</formula>
    </cfRule>
    <cfRule type="expression" priority="17" dxfId="1" stopIfTrue="0">
      <formula>AND($L2&lt;&gt;"", $L2&gt;5, $L2&lt;=30)</formula>
    </cfRule>
    <cfRule type="expression" priority="18" dxfId="2" stopIfTrue="0">
      <formula>AND($L2&lt;&gt;"", $L2&gt;30)</formula>
    </cfRule>
    <cfRule type="expression" priority="19" dxfId="3" stopIfTrue="0">
      <formula>AND($L2&lt;&gt;"", $L2&lt;0)</formula>
    </cfRule>
    <cfRule type="expression" priority="20" dxfId="4" stopIfTrue="0">
      <formula>$L2=""</formula>
    </cfRule>
  </conditionalFormatting>
  <dataValidations count="1">
    <dataValidation sqref="A2:A2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7"/>
  <sheetViews>
    <sheetView showGridLines="0" workbookViewId="0">
      <selection activeCell="A1" sqref="A1"/>
    </sheetView>
  </sheetViews>
  <sheetFormatPr baseColWidth="8" defaultRowHeight="15"/>
  <cols>
    <col width="118" customWidth="1" min="1" max="1"/>
  </cols>
  <sheetData>
    <row r="1">
      <c r="A1" s="10" t="inlineStr">
        <is>
          <t>2026-06 June - Specialty Claims</t>
        </is>
      </c>
    </row>
    <row r="2">
      <c r="A2" s="11" t="inlineStr"/>
    </row>
    <row r="3">
      <c r="A3" s="11" t="inlineStr">
        <is>
          <t>213 claim lines with a date of service in 2026-06 June,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t>
        </is>
      </c>
    </row>
    <row r="9">
      <c r="A9" s="11" t="inlineStr">
        <is>
          <t xml:space="preserve">    2 - Due in 6-30 days: 39</t>
        </is>
      </c>
    </row>
    <row r="10">
      <c r="A10" s="11" t="inlineStr">
        <is>
          <t xml:space="preserve">    3 - Due in 31+ days: 147</t>
        </is>
      </c>
    </row>
    <row r="11">
      <c r="A11" s="11" t="inlineStr">
        <is>
          <t xml:space="preserve">    4 - Past deadline: 2</t>
        </is>
      </c>
    </row>
    <row r="12">
      <c r="A12" s="11" t="inlineStr">
        <is>
          <t xml:space="preserve">    5 - No limit on file: 24</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Where a payer had two possible limits the shorter one was used, so the real deadline can only be later, never earlier. Filing Limit and Limit Carrier name the figure applied and the carrier row it came from.</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Date Worked 1 starts empty.</t>
        </is>
      </c>
    </row>
    <row r="26">
      <c r="A26" s="11" t="inlineStr">
        <is>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is>
      </c>
    </row>
    <row r="27">
      <c r="A27" s="11" t="inlineStr"/>
    </row>
    <row r="28">
      <c r="A28" s="12" t="inlineStr">
        <is>
          <t>Corrected claim and appeal countdowns</t>
        </is>
      </c>
    </row>
    <row r="29">
      <c r="A29" s="11" t="inlineStr">
        <is>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is>
      </c>
    </row>
    <row r="30">
      <c r="A30" s="11" t="inlineStr">
        <is>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is>
      </c>
    </row>
    <row r="31">
      <c r="A31" s="11" t="inlineStr">
        <is>
          <t>These windows matter most on the rows whose initial filing deadline has already passed. Note the traps the reference calls out: Cigna does not restart the clock for a corrected claim, and Medicare separates reopening from redetermination.</t>
        </is>
      </c>
    </row>
    <row r="32">
      <c r="A32" s="11" t="inlineStr"/>
    </row>
    <row r="33">
      <c r="A33" s="12" t="inlineStr">
        <is>
          <t>How this file feeds the master</t>
        </is>
      </c>
    </row>
    <row r="34">
      <c r="A34"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5">
      <c r="A35" s="11" t="inlineStr">
        <is>
          <t>The link is matched on Primary Claim ID, not on row position, so sorting and filtering these sheets is safe. Do not edit that column, and do not rename the specialty sheet tabs.</t>
        </is>
      </c>
    </row>
    <row r="36">
      <c r="A36" s="11" t="inlineStr"/>
    </row>
    <row r="37">
      <c r="A37"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2026-08-13T00:38:30Z</dcterms:created>
  <dcterms:modified xsi:type="dcterms:W3CDTF">2026-08-13T00:38:30Z</dcterms:modified>
</cp:coreProperties>
</file>