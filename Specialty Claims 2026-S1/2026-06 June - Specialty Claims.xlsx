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'BH'!$A$1:$AJ$151</definedName>
    <definedName name="_xlnm._FilterDatabase" localSheetId="1" hidden="1">'DME'!$A$1:$AJ$53</definedName>
    <definedName name="_xlnm._FilterDatabase" localSheetId="2" hidden="1">'GAE'!$A$1:$AJ$125</definedName>
    <definedName name="_xlnm._FilterDatabase" localSheetId="3" hidden="1">'ORTHO'!$A$1:$AJ$60</definedName>
    <definedName name="_xlnm._FilterDatabase" localSheetId="4" hidden="1">'US'!$A$1:$AJ$46</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561220135</v>
      </c>
      <c r="E2" s="6" t="inlineStr">
        <is>
          <t>HF545720168</t>
        </is>
      </c>
      <c r="F2" s="6" t="inlineStr">
        <is>
          <t>06/02/2026</t>
        </is>
      </c>
      <c r="G2" s="6" t="inlineStr">
        <is>
          <t>UnitedHealthcare Community Plan / Arizona Long Term Care</t>
        </is>
      </c>
      <c r="H2" s="6" t="inlineStr">
        <is>
          <t>UnitedHealthcare Community Plan / Arizona Long Term Care</t>
        </is>
      </c>
      <c r="I2" s="6" t="inlineStr">
        <is>
          <t>No Payer</t>
        </is>
      </c>
      <c r="J2" s="6" t="inlineStr">
        <is>
          <t>99492</t>
        </is>
      </c>
      <c r="K2" s="4" t="n"/>
      <c r="L2" s="5">
        <f>IF($M2="","",$M2-TODAY())</f>
        <v/>
      </c>
      <c r="M2" s="7" t="n">
        <v>46265</v>
      </c>
      <c r="N2" s="6" t="inlineStr">
        <is>
          <t>90 days</t>
        </is>
      </c>
      <c r="O2" s="6" t="inlineStr">
        <is>
          <t>UHC COMMUNITY</t>
        </is>
      </c>
      <c r="P2" s="6" t="n"/>
      <c r="Q2" s="6" t="n"/>
      <c r="R2" s="6" t="n"/>
      <c r="S2" s="5" t="n">
        <v>1</v>
      </c>
      <c r="T2" s="8" t="n">
        <v>1029.98</v>
      </c>
      <c r="U2" s="8" t="n">
        <v>0</v>
      </c>
      <c r="V2" s="8" t="n">
        <v>0</v>
      </c>
      <c r="W2" s="6" t="n"/>
      <c r="X2" s="8" t="n">
        <v>1029.98</v>
      </c>
      <c r="Y2" s="5" t="n">
        <v>67</v>
      </c>
      <c r="Z2" s="6" t="inlineStr">
        <is>
          <t>F32A</t>
        </is>
      </c>
      <c r="AA2" s="6" t="inlineStr">
        <is>
          <t>F411</t>
        </is>
      </c>
      <c r="AB2" s="6" t="n"/>
      <c r="AC2" s="6" t="n"/>
      <c r="AD2" s="5" t="n"/>
      <c r="AE2" s="6" t="inlineStr">
        <is>
          <t>MEARS, CHAD</t>
        </is>
      </c>
      <c r="AF2" s="6" t="inlineStr">
        <is>
          <t>ASAP Peoria</t>
        </is>
      </c>
      <c r="AG2" s="6" t="inlineStr">
        <is>
          <t>07/14/2026</t>
        </is>
      </c>
      <c r="AH2" s="6" t="inlineStr">
        <is>
          <t>BH</t>
        </is>
      </c>
      <c r="AI2" s="9" t="n"/>
      <c r="AJ2" s="5" t="n">
        <v>563</v>
      </c>
    </row>
    <row r="3">
      <c r="A3" s="2" t="n"/>
      <c r="B3" s="3" t="n"/>
      <c r="C3" s="4" t="n"/>
      <c r="D3" s="5" t="n">
        <v>561220135</v>
      </c>
      <c r="E3" s="6" t="inlineStr">
        <is>
          <t>HF545720168</t>
        </is>
      </c>
      <c r="F3" s="6" t="inlineStr">
        <is>
          <t>06/02/2026</t>
        </is>
      </c>
      <c r="G3" s="6" t="inlineStr">
        <is>
          <t>UnitedHealthcare Community Plan / Arizona Long Term Care</t>
        </is>
      </c>
      <c r="H3" s="6" t="inlineStr">
        <is>
          <t>UnitedHealthcare Community Plan / Arizona Long Term Care</t>
        </is>
      </c>
      <c r="I3" s="6" t="inlineStr">
        <is>
          <t>No Payer</t>
        </is>
      </c>
      <c r="J3" s="6" t="inlineStr">
        <is>
          <t>99494</t>
        </is>
      </c>
      <c r="K3" s="4" t="n"/>
      <c r="L3" s="5">
        <f>IF($M3="","",$M3-TODAY())</f>
        <v/>
      </c>
      <c r="M3" s="7" t="n">
        <v>46265</v>
      </c>
      <c r="N3" s="6" t="inlineStr">
        <is>
          <t>90 days</t>
        </is>
      </c>
      <c r="O3" s="6" t="inlineStr">
        <is>
          <t>UHC COMMUNITY</t>
        </is>
      </c>
      <c r="P3" s="6" t="n"/>
      <c r="Q3" s="6" t="n"/>
      <c r="R3" s="6" t="n"/>
      <c r="S3" s="5" t="n">
        <v>1</v>
      </c>
      <c r="T3" s="8" t="n">
        <v>396.27</v>
      </c>
      <c r="U3" s="8" t="n">
        <v>0</v>
      </c>
      <c r="V3" s="8" t="n">
        <v>0</v>
      </c>
      <c r="W3" s="6" t="n"/>
      <c r="X3" s="8" t="n">
        <v>396.27</v>
      </c>
      <c r="Y3" s="5" t="n">
        <v>67</v>
      </c>
      <c r="Z3" s="6" t="inlineStr">
        <is>
          <t>F32A</t>
        </is>
      </c>
      <c r="AA3" s="6" t="inlineStr">
        <is>
          <t>F411</t>
        </is>
      </c>
      <c r="AB3" s="6" t="n"/>
      <c r="AC3" s="6" t="n"/>
      <c r="AD3" s="5" t="n"/>
      <c r="AE3" s="6" t="inlineStr">
        <is>
          <t>MEARS, CHAD</t>
        </is>
      </c>
      <c r="AF3" s="6" t="inlineStr">
        <is>
          <t>ASAP Peoria</t>
        </is>
      </c>
      <c r="AG3" s="6" t="inlineStr">
        <is>
          <t>07/14/2026</t>
        </is>
      </c>
      <c r="AH3" s="6" t="inlineStr">
        <is>
          <t>BH</t>
        </is>
      </c>
      <c r="AI3" s="9" t="n"/>
      <c r="AJ3" s="5" t="n">
        <v>564</v>
      </c>
    </row>
    <row r="4">
      <c r="A4" s="2" t="n"/>
      <c r="B4" s="3" t="n"/>
      <c r="C4" s="4" t="n"/>
      <c r="D4" s="5" t="n">
        <v>561212107</v>
      </c>
      <c r="E4" s="6" t="inlineStr">
        <is>
          <t>HF511721208</t>
        </is>
      </c>
      <c r="F4" s="6" t="inlineStr">
        <is>
          <t>06/03/2026</t>
        </is>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99494</t>
        </is>
      </c>
      <c r="K4" s="4" t="n"/>
      <c r="L4" s="5">
        <f>IF($M4="","",$M4-TODAY())</f>
        <v/>
      </c>
      <c r="M4" s="7" t="n">
        <v>46266</v>
      </c>
      <c r="N4" s="6" t="inlineStr">
        <is>
          <t>90 days</t>
        </is>
      </c>
      <c r="O4" s="6" t="inlineStr">
        <is>
          <t>UHC COMMUNITY</t>
        </is>
      </c>
      <c r="P4" s="6" t="n"/>
      <c r="Q4" s="6" t="n"/>
      <c r="R4" s="6" t="n"/>
      <c r="S4" s="5" t="n">
        <v>1</v>
      </c>
      <c r="T4" s="8" t="n">
        <v>396.27</v>
      </c>
      <c r="U4" s="8" t="n">
        <v>0</v>
      </c>
      <c r="V4" s="8" t="n">
        <v>0</v>
      </c>
      <c r="W4" s="6" t="n"/>
      <c r="X4" s="8" t="n">
        <v>396.27</v>
      </c>
      <c r="Y4" s="5" t="n">
        <v>66</v>
      </c>
      <c r="Z4" s="6" t="inlineStr">
        <is>
          <t>F39</t>
        </is>
      </c>
      <c r="AA4" s="6" t="n"/>
      <c r="AB4" s="6" t="n"/>
      <c r="AC4" s="6" t="n"/>
      <c r="AD4" s="5" t="n"/>
      <c r="AE4" s="6" t="inlineStr">
        <is>
          <t>KALLGREN, MARK</t>
        </is>
      </c>
      <c r="AF4" s="6" t="inlineStr">
        <is>
          <t>ASAP - Gilbert</t>
        </is>
      </c>
      <c r="AG4" s="6" t="inlineStr">
        <is>
          <t>07/14/2026</t>
        </is>
      </c>
      <c r="AH4" s="6" t="inlineStr">
        <is>
          <t>BH</t>
        </is>
      </c>
      <c r="AI4" s="9" t="n"/>
      <c r="AJ4" s="5" t="n">
        <v>911</v>
      </c>
    </row>
    <row r="5">
      <c r="A5" s="2" t="n"/>
      <c r="B5" s="3" t="n"/>
      <c r="C5" s="4" t="n"/>
      <c r="D5" s="5" t="n">
        <v>561212107</v>
      </c>
      <c r="E5" s="6" t="inlineStr">
        <is>
          <t>HF511721208</t>
        </is>
      </c>
      <c r="F5" s="6" t="inlineStr">
        <is>
          <t>06/03/2026</t>
        </is>
      </c>
      <c r="G5" s="6" t="inlineStr">
        <is>
          <t>UnitedHealthcare Community Plan / Arizona Long Term Care</t>
        </is>
      </c>
      <c r="H5" s="6" t="inlineStr">
        <is>
          <t>UnitedHealthcare Community Plan / Arizona Long Term Care</t>
        </is>
      </c>
      <c r="I5" s="6" t="inlineStr">
        <is>
          <t>UnitedHealthcare Community Plan / Arizona Long Term Care</t>
        </is>
      </c>
      <c r="J5" s="6" t="inlineStr">
        <is>
          <t>99492</t>
        </is>
      </c>
      <c r="K5" s="4" t="n"/>
      <c r="L5" s="5">
        <f>IF($M5="","",$M5-TODAY())</f>
        <v/>
      </c>
      <c r="M5" s="7" t="n">
        <v>46266</v>
      </c>
      <c r="N5" s="6" t="inlineStr">
        <is>
          <t>90 days</t>
        </is>
      </c>
      <c r="O5" s="6" t="inlineStr">
        <is>
          <t>UHC COMMUNITY</t>
        </is>
      </c>
      <c r="P5" s="6" t="n"/>
      <c r="Q5" s="6" t="n"/>
      <c r="R5" s="6" t="n"/>
      <c r="S5" s="5" t="n">
        <v>1</v>
      </c>
      <c r="T5" s="8" t="n">
        <v>1029.98</v>
      </c>
      <c r="U5" s="8" t="n">
        <v>0</v>
      </c>
      <c r="V5" s="8" t="n">
        <v>0</v>
      </c>
      <c r="W5" s="6" t="n"/>
      <c r="X5" s="8" t="n">
        <v>1029.98</v>
      </c>
      <c r="Y5" s="5" t="n">
        <v>66</v>
      </c>
      <c r="Z5" s="6" t="inlineStr">
        <is>
          <t>F39</t>
        </is>
      </c>
      <c r="AA5" s="6" t="n"/>
      <c r="AB5" s="6" t="n"/>
      <c r="AC5" s="6" t="n"/>
      <c r="AD5" s="5" t="n"/>
      <c r="AE5" s="6" t="inlineStr">
        <is>
          <t>KALLGREN, MARK</t>
        </is>
      </c>
      <c r="AF5" s="6" t="inlineStr">
        <is>
          <t>ASAP - Gilbert</t>
        </is>
      </c>
      <c r="AG5" s="6" t="inlineStr">
        <is>
          <t>07/14/2026</t>
        </is>
      </c>
      <c r="AH5" s="6" t="inlineStr">
        <is>
          <t>BH</t>
        </is>
      </c>
      <c r="AI5" s="9" t="n"/>
      <c r="AJ5" s="5" t="n">
        <v>952</v>
      </c>
    </row>
    <row r="6">
      <c r="A6" s="2" t="n"/>
      <c r="B6" s="3" t="n"/>
      <c r="C6" s="4" t="n"/>
      <c r="D6" s="5" t="n">
        <v>561442896</v>
      </c>
      <c r="E6" s="6" t="inlineStr">
        <is>
          <t>HF533454516</t>
        </is>
      </c>
      <c r="F6" s="6" t="inlineStr">
        <is>
          <t>06/05/2026</t>
        </is>
      </c>
      <c r="G6" s="6" t="inlineStr">
        <is>
          <t>UHC Group Medicare Advantage</t>
        </is>
      </c>
      <c r="H6" s="6" t="inlineStr">
        <is>
          <t>UHC Group Medicare Advantage</t>
        </is>
      </c>
      <c r="I6" s="6" t="inlineStr">
        <is>
          <t>No Payer</t>
        </is>
      </c>
      <c r="J6" s="6" t="inlineStr">
        <is>
          <t>99494</t>
        </is>
      </c>
      <c r="K6" s="4" t="n"/>
      <c r="L6" s="5">
        <f>IF($M6="","",$M6-TODAY())</f>
        <v/>
      </c>
      <c r="M6" s="7" t="n">
        <v>46268</v>
      </c>
      <c r="N6" s="6" t="inlineStr">
        <is>
          <t>90 days</t>
        </is>
      </c>
      <c r="O6" s="6" t="inlineStr">
        <is>
          <t>UHC MA</t>
        </is>
      </c>
      <c r="P6" s="6" t="n"/>
      <c r="Q6" s="6" t="n"/>
      <c r="R6" s="6" t="n"/>
      <c r="S6" s="5" t="n">
        <v>1</v>
      </c>
      <c r="T6" s="8" t="n">
        <v>396.27</v>
      </c>
      <c r="U6" s="8" t="n">
        <v>0</v>
      </c>
      <c r="V6" s="8" t="n">
        <v>0</v>
      </c>
      <c r="W6" s="6" t="n"/>
      <c r="X6" s="8" t="n">
        <v>396.27</v>
      </c>
      <c r="Y6" s="5" t="n">
        <v>64</v>
      </c>
      <c r="Z6" s="6" t="inlineStr">
        <is>
          <t>F39</t>
        </is>
      </c>
      <c r="AA6" s="6" t="n"/>
      <c r="AB6" s="6" t="n"/>
      <c r="AC6" s="6" t="n"/>
      <c r="AD6" s="5" t="n"/>
      <c r="AE6" s="6" t="inlineStr">
        <is>
          <t>BURGHER, ABRAM</t>
        </is>
      </c>
      <c r="AF6" s="6" t="inlineStr">
        <is>
          <t>ASAP - Gilbert</t>
        </is>
      </c>
      <c r="AG6" s="6" t="inlineStr">
        <is>
          <t>07/14/2026</t>
        </is>
      </c>
      <c r="AH6" s="6" t="inlineStr">
        <is>
          <t>BH</t>
        </is>
      </c>
      <c r="AI6" s="9" t="n"/>
      <c r="AJ6" s="5" t="n">
        <v>223</v>
      </c>
    </row>
    <row r="7">
      <c r="A7" s="2" t="n"/>
      <c r="B7" s="3" t="n"/>
      <c r="C7" s="4" t="n"/>
      <c r="D7" s="5" t="n">
        <v>561442896</v>
      </c>
      <c r="E7" s="6" t="inlineStr">
        <is>
          <t>HF533454516</t>
        </is>
      </c>
      <c r="F7" s="6" t="inlineStr">
        <is>
          <t>06/05/2026</t>
        </is>
      </c>
      <c r="G7" s="6" t="inlineStr">
        <is>
          <t>UHC Group Medicare Advantage</t>
        </is>
      </c>
      <c r="H7" s="6" t="inlineStr">
        <is>
          <t>UHC Group Medicare Advantage</t>
        </is>
      </c>
      <c r="I7" s="6" t="inlineStr">
        <is>
          <t>No Payer</t>
        </is>
      </c>
      <c r="J7" s="6" t="inlineStr">
        <is>
          <t>99492</t>
        </is>
      </c>
      <c r="K7" s="4" t="n"/>
      <c r="L7" s="5">
        <f>IF($M7="","",$M7-TODAY())</f>
        <v/>
      </c>
      <c r="M7" s="7" t="n">
        <v>46268</v>
      </c>
      <c r="N7" s="6" t="inlineStr">
        <is>
          <t>90 days</t>
        </is>
      </c>
      <c r="O7" s="6" t="inlineStr">
        <is>
          <t>UHC MA</t>
        </is>
      </c>
      <c r="P7" s="6" t="n"/>
      <c r="Q7" s="6" t="n"/>
      <c r="R7" s="6" t="n"/>
      <c r="S7" s="5" t="n">
        <v>1</v>
      </c>
      <c r="T7" s="8" t="n">
        <v>1029.98</v>
      </c>
      <c r="U7" s="8" t="n">
        <v>0</v>
      </c>
      <c r="V7" s="8" t="n">
        <v>0</v>
      </c>
      <c r="W7" s="6" t="n"/>
      <c r="X7" s="8" t="n">
        <v>1029.98</v>
      </c>
      <c r="Y7" s="5" t="n">
        <v>64</v>
      </c>
      <c r="Z7" s="6" t="inlineStr">
        <is>
          <t>F39</t>
        </is>
      </c>
      <c r="AA7" s="6" t="n"/>
      <c r="AB7" s="6" t="n"/>
      <c r="AC7" s="6" t="n"/>
      <c r="AD7" s="5" t="n"/>
      <c r="AE7" s="6" t="inlineStr">
        <is>
          <t>BURGHER, ABRAM</t>
        </is>
      </c>
      <c r="AF7" s="6" t="inlineStr">
        <is>
          <t>ASAP - Gilbert</t>
        </is>
      </c>
      <c r="AG7" s="6" t="inlineStr">
        <is>
          <t>07/14/2026</t>
        </is>
      </c>
      <c r="AH7" s="6" t="inlineStr">
        <is>
          <t>BH</t>
        </is>
      </c>
      <c r="AI7" s="9" t="n"/>
      <c r="AJ7" s="5" t="n">
        <v>224</v>
      </c>
    </row>
    <row r="8">
      <c r="A8" s="2" t="n"/>
      <c r="B8" s="3" t="n"/>
      <c r="C8" s="4" t="n"/>
      <c r="D8" s="5" t="n">
        <v>561646420</v>
      </c>
      <c r="E8" s="6" t="inlineStr">
        <is>
          <t>HF543376536</t>
        </is>
      </c>
      <c r="F8" s="6" t="inlineStr">
        <is>
          <t>06/05/2026</t>
        </is>
      </c>
      <c r="G8" s="6" t="inlineStr">
        <is>
          <t>UnitedHealthcare Community Plan / Arizona Long Term Care</t>
        </is>
      </c>
      <c r="H8" s="6" t="inlineStr">
        <is>
          <t>UnitedHealthcare Community Plan / Arizona Long Term Care</t>
        </is>
      </c>
      <c r="I8" s="6" t="inlineStr">
        <is>
          <t>UnitedHealthcare Community Plan / Arizona Long Term Care</t>
        </is>
      </c>
      <c r="J8" s="6" t="inlineStr">
        <is>
          <t>99492</t>
        </is>
      </c>
      <c r="K8" s="4" t="n"/>
      <c r="L8" s="5">
        <f>IF($M8="","",$M8-TODAY())</f>
        <v/>
      </c>
      <c r="M8" s="7" t="n">
        <v>46268</v>
      </c>
      <c r="N8" s="6" t="inlineStr">
        <is>
          <t>90 days</t>
        </is>
      </c>
      <c r="O8" s="6" t="inlineStr">
        <is>
          <t>UHC COMMUNITY</t>
        </is>
      </c>
      <c r="P8" s="6" t="n"/>
      <c r="Q8" s="6" t="n"/>
      <c r="R8" s="6" t="n"/>
      <c r="S8" s="5" t="n">
        <v>1</v>
      </c>
      <c r="T8" s="8" t="n">
        <v>1029.98</v>
      </c>
      <c r="U8" s="8" t="n">
        <v>0</v>
      </c>
      <c r="V8" s="8" t="n">
        <v>0</v>
      </c>
      <c r="W8" s="6" t="n"/>
      <c r="X8" s="8" t="n">
        <v>1029.98</v>
      </c>
      <c r="Y8" s="5" t="n">
        <v>64</v>
      </c>
      <c r="Z8" s="6" t="inlineStr">
        <is>
          <t>F4320</t>
        </is>
      </c>
      <c r="AA8" s="6" t="n"/>
      <c r="AB8" s="6" t="n"/>
      <c r="AC8" s="6" t="n"/>
      <c r="AD8" s="5" t="n"/>
      <c r="AE8" s="6" t="inlineStr">
        <is>
          <t>MEARS, CHAD</t>
        </is>
      </c>
      <c r="AF8" s="6" t="inlineStr">
        <is>
          <t>ASAP - DEER VALLEY</t>
        </is>
      </c>
      <c r="AG8" s="6" t="inlineStr">
        <is>
          <t>07/14/2026</t>
        </is>
      </c>
      <c r="AH8" s="6" t="inlineStr">
        <is>
          <t>BH</t>
        </is>
      </c>
      <c r="AI8" s="9" t="n"/>
      <c r="AJ8" s="5" t="n">
        <v>888</v>
      </c>
    </row>
    <row r="9">
      <c r="A9" s="2" t="n"/>
      <c r="B9" s="3" t="n"/>
      <c r="C9" s="4" t="n"/>
      <c r="D9" s="5" t="n">
        <v>561646420</v>
      </c>
      <c r="E9" s="6" t="inlineStr">
        <is>
          <t>HF543376536</t>
        </is>
      </c>
      <c r="F9" s="6" t="inlineStr">
        <is>
          <t>06/05/2026</t>
        </is>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IF($M9="","",$M9-TODAY())</f>
        <v/>
      </c>
      <c r="M9" s="7" t="n">
        <v>46268</v>
      </c>
      <c r="N9" s="6" t="inlineStr">
        <is>
          <t>90 days</t>
        </is>
      </c>
      <c r="O9" s="6" t="inlineStr">
        <is>
          <t>UHC COMMUNITY</t>
        </is>
      </c>
      <c r="P9" s="6" t="n"/>
      <c r="Q9" s="6" t="n"/>
      <c r="R9" s="6" t="n"/>
      <c r="S9" s="5" t="n">
        <v>1</v>
      </c>
      <c r="T9" s="8" t="n">
        <v>396.27</v>
      </c>
      <c r="U9" s="8" t="n">
        <v>0</v>
      </c>
      <c r="V9" s="8" t="n">
        <v>0</v>
      </c>
      <c r="W9" s="6" t="n"/>
      <c r="X9" s="8" t="n">
        <v>396.27</v>
      </c>
      <c r="Y9" s="5" t="n">
        <v>64</v>
      </c>
      <c r="Z9" s="6" t="inlineStr">
        <is>
          <t>F4320</t>
        </is>
      </c>
      <c r="AA9" s="6" t="n"/>
      <c r="AB9" s="6" t="n"/>
      <c r="AC9" s="6" t="n"/>
      <c r="AD9" s="5" t="n"/>
      <c r="AE9" s="6" t="inlineStr">
        <is>
          <t>MEARS, CHAD</t>
        </is>
      </c>
      <c r="AF9" s="6" t="inlineStr">
        <is>
          <t>ASAP - DEER VALLEY</t>
        </is>
      </c>
      <c r="AG9" s="6" t="inlineStr">
        <is>
          <t>07/14/2026</t>
        </is>
      </c>
      <c r="AH9" s="6" t="inlineStr">
        <is>
          <t>BH</t>
        </is>
      </c>
      <c r="AI9" s="9" t="n"/>
      <c r="AJ9" s="5" t="n">
        <v>889</v>
      </c>
    </row>
    <row r="10">
      <c r="A10" s="2" t="n"/>
      <c r="B10" s="3" t="n"/>
      <c r="C10" s="4" t="n"/>
      <c r="D10" s="5" t="n">
        <v>561786626</v>
      </c>
      <c r="E10" s="6" t="inlineStr">
        <is>
          <t>HF525006986</t>
        </is>
      </c>
      <c r="F10" s="6" t="inlineStr">
        <is>
          <t>06/08/2026</t>
        </is>
      </c>
      <c r="G10" s="6" t="inlineStr">
        <is>
          <t>UnitedHealthcare Community Plan / Arizona Long Term Care</t>
        </is>
      </c>
      <c r="H10" s="6" t="inlineStr">
        <is>
          <t>UnitedHealthcare Community Plan / Arizona Long Term Care</t>
        </is>
      </c>
      <c r="I10" s="6" t="inlineStr">
        <is>
          <t>Mercy Care Plan (AHCCCS) - Complete Care &amp; Long Term Care (LTC)</t>
        </is>
      </c>
      <c r="J10" s="6" t="inlineStr">
        <is>
          <t>99494</t>
        </is>
      </c>
      <c r="K10" s="4" t="n"/>
      <c r="L10" s="5">
        <f>IF($M10="","",$M10-TODAY())</f>
        <v/>
      </c>
      <c r="M10" s="7" t="n">
        <v>46271</v>
      </c>
      <c r="N10" s="6" t="inlineStr">
        <is>
          <t>90 days</t>
        </is>
      </c>
      <c r="O10" s="6" t="inlineStr">
        <is>
          <t>UHC COMMUNITY</t>
        </is>
      </c>
      <c r="P10" s="6" t="n"/>
      <c r="Q10" s="6" t="n"/>
      <c r="R10" s="6" t="n"/>
      <c r="S10" s="5" t="n">
        <v>1</v>
      </c>
      <c r="T10" s="8" t="n">
        <v>396.27</v>
      </c>
      <c r="U10" s="8" t="n">
        <v>0</v>
      </c>
      <c r="V10" s="8" t="n">
        <v>0</v>
      </c>
      <c r="W10" s="6" t="n"/>
      <c r="X10" s="8" t="n">
        <v>396.27</v>
      </c>
      <c r="Y10" s="5" t="n">
        <v>61</v>
      </c>
      <c r="Z10" s="6" t="inlineStr">
        <is>
          <t>F4320</t>
        </is>
      </c>
      <c r="AA10" s="6" t="n"/>
      <c r="AB10" s="6" t="n"/>
      <c r="AC10" s="6" t="n"/>
      <c r="AD10" s="5" t="n"/>
      <c r="AE10" s="6" t="inlineStr">
        <is>
          <t>SARKAR, AWNIK</t>
        </is>
      </c>
      <c r="AF10" s="6" t="inlineStr">
        <is>
          <t>ASAP Peoria</t>
        </is>
      </c>
      <c r="AG10" s="6" t="inlineStr">
        <is>
          <t>07/14/2026</t>
        </is>
      </c>
      <c r="AH10" s="6" t="inlineStr">
        <is>
          <t>BH</t>
        </is>
      </c>
      <c r="AI10" s="9" t="n"/>
      <c r="AJ10" s="5" t="n">
        <v>561</v>
      </c>
    </row>
    <row r="11">
      <c r="A11" s="2" t="n"/>
      <c r="B11" s="3" t="n"/>
      <c r="C11" s="4" t="n"/>
      <c r="D11" s="5" t="n">
        <v>561786626</v>
      </c>
      <c r="E11" s="6" t="inlineStr">
        <is>
          <t>HF525006986</t>
        </is>
      </c>
      <c r="F11" s="6" t="inlineStr">
        <is>
          <t>06/08/2026</t>
        </is>
      </c>
      <c r="G11" s="6" t="inlineStr">
        <is>
          <t>UnitedHealthcare Community Plan / Arizona Long Term Care</t>
        </is>
      </c>
      <c r="H11" s="6" t="inlineStr">
        <is>
          <t>UnitedHealthcare Community Plan / Arizona Long Term Care</t>
        </is>
      </c>
      <c r="I11" s="6" t="inlineStr">
        <is>
          <t>Mercy Care Plan (AHCCCS) - Complete Care &amp; Long Term Care (LTC)</t>
        </is>
      </c>
      <c r="J11" s="6" t="inlineStr">
        <is>
          <t>99492</t>
        </is>
      </c>
      <c r="K11" s="4" t="n"/>
      <c r="L11" s="5">
        <f>IF($M11="","",$M11-TODAY())</f>
        <v/>
      </c>
      <c r="M11" s="7" t="n">
        <v>46271</v>
      </c>
      <c r="N11" s="6" t="inlineStr">
        <is>
          <t>90 days</t>
        </is>
      </c>
      <c r="O11" s="6" t="inlineStr">
        <is>
          <t>UHC COMMUNITY</t>
        </is>
      </c>
      <c r="P11" s="6" t="n"/>
      <c r="Q11" s="6" t="n"/>
      <c r="R11" s="6" t="n"/>
      <c r="S11" s="5" t="n">
        <v>1</v>
      </c>
      <c r="T11" s="8" t="n">
        <v>1029.98</v>
      </c>
      <c r="U11" s="8" t="n">
        <v>0</v>
      </c>
      <c r="V11" s="8" t="n">
        <v>0</v>
      </c>
      <c r="W11" s="6" t="n"/>
      <c r="X11" s="8" t="n">
        <v>1029.98</v>
      </c>
      <c r="Y11" s="5" t="n">
        <v>61</v>
      </c>
      <c r="Z11" s="6" t="inlineStr">
        <is>
          <t>F4320</t>
        </is>
      </c>
      <c r="AA11" s="6" t="n"/>
      <c r="AB11" s="6" t="n"/>
      <c r="AC11" s="6" t="n"/>
      <c r="AD11" s="5" t="n"/>
      <c r="AE11" s="6" t="inlineStr">
        <is>
          <t>SARKAR, AWNIK</t>
        </is>
      </c>
      <c r="AF11" s="6" t="inlineStr">
        <is>
          <t>ASAP Peoria</t>
        </is>
      </c>
      <c r="AG11" s="6" t="inlineStr">
        <is>
          <t>07/14/2026</t>
        </is>
      </c>
      <c r="AH11" s="6" t="inlineStr">
        <is>
          <t>BH</t>
        </is>
      </c>
      <c r="AI11" s="9" t="n"/>
      <c r="AJ11" s="5" t="n">
        <v>562</v>
      </c>
    </row>
    <row r="12">
      <c r="A12" s="2" t="n"/>
      <c r="B12" s="3" t="n"/>
      <c r="C12" s="4" t="n"/>
      <c r="D12" s="5" t="n">
        <v>562152108</v>
      </c>
      <c r="E12" s="6" t="inlineStr">
        <is>
          <t>HF372010397</t>
        </is>
      </c>
      <c r="F12" s="6" t="inlineStr">
        <is>
          <t>06/09/2026</t>
        </is>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IF($M12="","",$M12-TODAY())</f>
        <v/>
      </c>
      <c r="M12" s="7" t="n">
        <v>46272</v>
      </c>
      <c r="N12" s="6" t="inlineStr">
        <is>
          <t>90 days</t>
        </is>
      </c>
      <c r="O12" s="6" t="inlineStr">
        <is>
          <t>OPTUM</t>
        </is>
      </c>
      <c r="P12" s="6" t="n"/>
      <c r="Q12" s="6" t="n"/>
      <c r="R12" s="6" t="n"/>
      <c r="S12" s="5" t="n">
        <v>1</v>
      </c>
      <c r="T12" s="8" t="n">
        <v>976.64</v>
      </c>
      <c r="U12" s="8" t="n">
        <v>0</v>
      </c>
      <c r="V12" s="8" t="n">
        <v>0</v>
      </c>
      <c r="W12" s="6" t="n"/>
      <c r="X12" s="8" t="n">
        <v>976.64</v>
      </c>
      <c r="Y12" s="5" t="n">
        <v>60</v>
      </c>
      <c r="Z12" s="6" t="inlineStr">
        <is>
          <t>F1190</t>
        </is>
      </c>
      <c r="AA12" s="6" t="n"/>
      <c r="AB12" s="6" t="n"/>
      <c r="AC12" s="6" t="n"/>
      <c r="AD12" s="5" t="n"/>
      <c r="AE12" s="6" t="inlineStr">
        <is>
          <t>LEATHEM, JARRETT</t>
        </is>
      </c>
      <c r="AF12" s="6" t="inlineStr">
        <is>
          <t>ASAP Peoria</t>
        </is>
      </c>
      <c r="AG12" s="6" t="inlineStr">
        <is>
          <t>07/14/2026</t>
        </is>
      </c>
      <c r="AH12" s="6" t="inlineStr">
        <is>
          <t>BH</t>
        </is>
      </c>
      <c r="AI12" s="9" t="n"/>
      <c r="AJ12" s="5" t="n">
        <v>620</v>
      </c>
    </row>
    <row r="13">
      <c r="A13" s="2" t="n"/>
      <c r="B13" s="3" t="n"/>
      <c r="C13" s="4" t="n"/>
      <c r="D13" s="5" t="n">
        <v>562152108</v>
      </c>
      <c r="E13" s="6" t="inlineStr">
        <is>
          <t>HF372010397</t>
        </is>
      </c>
      <c r="F13" s="6" t="inlineStr">
        <is>
          <t>06/09/2026</t>
        </is>
      </c>
      <c r="G13" s="6" t="inlineStr">
        <is>
          <t>Optum Care Medical Network of Arizona, Utah, &amp; Washington (LifePrint)</t>
        </is>
      </c>
      <c r="H13" s="6" t="inlineStr">
        <is>
          <t>Optum Care Medical Network of Arizona, Utah, &amp; Washington (LifePrint)</t>
        </is>
      </c>
      <c r="I13" s="6" t="inlineStr">
        <is>
          <t>No Payer</t>
        </is>
      </c>
      <c r="J13" s="6" t="inlineStr">
        <is>
          <t>99494</t>
        </is>
      </c>
      <c r="K13" s="4" t="n"/>
      <c r="L13" s="5">
        <f>IF($M13="","",$M13-TODAY())</f>
        <v/>
      </c>
      <c r="M13" s="7" t="n">
        <v>46272</v>
      </c>
      <c r="N13" s="6" t="inlineStr">
        <is>
          <t>90 days</t>
        </is>
      </c>
      <c r="O13" s="6" t="inlineStr">
        <is>
          <t>OPTUM</t>
        </is>
      </c>
      <c r="P13" s="6" t="n"/>
      <c r="Q13" s="6" t="n"/>
      <c r="R13" s="6" t="n"/>
      <c r="S13" s="5" t="n">
        <v>1</v>
      </c>
      <c r="T13" s="8" t="n">
        <v>396.27</v>
      </c>
      <c r="U13" s="8" t="n">
        <v>0</v>
      </c>
      <c r="V13" s="8" t="n">
        <v>0</v>
      </c>
      <c r="W13" s="6" t="n"/>
      <c r="X13" s="8" t="n">
        <v>396.27</v>
      </c>
      <c r="Y13" s="5" t="n">
        <v>60</v>
      </c>
      <c r="Z13" s="6" t="inlineStr">
        <is>
          <t>F1190</t>
        </is>
      </c>
      <c r="AA13" s="6" t="n"/>
      <c r="AB13" s="6" t="n"/>
      <c r="AC13" s="6" t="n"/>
      <c r="AD13" s="5" t="n"/>
      <c r="AE13" s="6" t="inlineStr">
        <is>
          <t>LEATHEM, JARRETT</t>
        </is>
      </c>
      <c r="AF13" s="6" t="inlineStr">
        <is>
          <t>ASAP Peoria</t>
        </is>
      </c>
      <c r="AG13" s="6" t="inlineStr">
        <is>
          <t>07/14/2026</t>
        </is>
      </c>
      <c r="AH13" s="6" t="inlineStr">
        <is>
          <t>BH</t>
        </is>
      </c>
      <c r="AI13" s="9" t="n"/>
      <c r="AJ13" s="5" t="n">
        <v>621</v>
      </c>
    </row>
    <row r="14">
      <c r="A14" s="2" t="n"/>
      <c r="B14" s="3" t="n"/>
      <c r="C14" s="4" t="n"/>
      <c r="D14" s="5" t="n">
        <v>561886217</v>
      </c>
      <c r="E14" s="6" t="inlineStr">
        <is>
          <t>HF504127051</t>
        </is>
      </c>
      <c r="F14" s="6" t="inlineStr">
        <is>
          <t>06/10/2026</t>
        </is>
      </c>
      <c r="G14" s="6" t="inlineStr">
        <is>
          <t>UnitedHealthcare Community Plan / Arizona Long Term Care</t>
        </is>
      </c>
      <c r="H14" s="6" t="inlineStr">
        <is>
          <t>UnitedHealthcare Community Plan / Arizona Long Term Care</t>
        </is>
      </c>
      <c r="I14" s="6" t="inlineStr">
        <is>
          <t>Mercy Care Plan (AHCCCS) - Complete Care &amp; Long Term Care (LTC)</t>
        </is>
      </c>
      <c r="J14" s="6" t="inlineStr">
        <is>
          <t>99493</t>
        </is>
      </c>
      <c r="K14" s="4" t="n"/>
      <c r="L14" s="5">
        <f>IF($M14="","",$M14-TODAY())</f>
        <v/>
      </c>
      <c r="M14" s="7" t="n">
        <v>46273</v>
      </c>
      <c r="N14" s="6" t="inlineStr">
        <is>
          <t>90 days</t>
        </is>
      </c>
      <c r="O14" s="6" t="inlineStr">
        <is>
          <t>UHC COMMUNITY</t>
        </is>
      </c>
      <c r="P14" s="6" t="n"/>
      <c r="Q14" s="6" t="n"/>
      <c r="R14" s="6" t="n"/>
      <c r="S14" s="5" t="n">
        <v>1</v>
      </c>
      <c r="T14" s="8" t="n">
        <v>976.64</v>
      </c>
      <c r="U14" s="8" t="n">
        <v>0</v>
      </c>
      <c r="V14" s="8" t="n">
        <v>0</v>
      </c>
      <c r="W14" s="6" t="n"/>
      <c r="X14" s="8" t="n">
        <v>976.64</v>
      </c>
      <c r="Y14" s="5" t="n">
        <v>59</v>
      </c>
      <c r="Z14" s="6" t="inlineStr">
        <is>
          <t>F419</t>
        </is>
      </c>
      <c r="AA14" s="6" t="n"/>
      <c r="AB14" s="6" t="n"/>
      <c r="AC14" s="6" t="n"/>
      <c r="AD14" s="5" t="n"/>
      <c r="AE14" s="6" t="inlineStr">
        <is>
          <t>SARKAR, AWNIK</t>
        </is>
      </c>
      <c r="AF14" s="6" t="inlineStr">
        <is>
          <t>ASAP - Gilbert</t>
        </is>
      </c>
      <c r="AG14" s="6" t="inlineStr">
        <is>
          <t>07/14/2026</t>
        </is>
      </c>
      <c r="AH14" s="6" t="inlineStr">
        <is>
          <t>BH</t>
        </is>
      </c>
      <c r="AI14" s="9" t="n"/>
      <c r="AJ14" s="5" t="n">
        <v>775</v>
      </c>
    </row>
    <row r="15">
      <c r="A15" s="2" t="n"/>
      <c r="B15" s="3" t="n"/>
      <c r="C15" s="4" t="n"/>
      <c r="D15" s="5" t="n">
        <v>561886217</v>
      </c>
      <c r="E15" s="6" t="inlineStr">
        <is>
          <t>HF504127051</t>
        </is>
      </c>
      <c r="F15" s="6" t="inlineStr">
        <is>
          <t>06/10/2026</t>
        </is>
      </c>
      <c r="G15" s="6" t="inlineStr">
        <is>
          <t>UnitedHealthcare Community Plan / Arizona Long Term Care</t>
        </is>
      </c>
      <c r="H15" s="6" t="inlineStr">
        <is>
          <t>UnitedHealthcare Community Plan / Arizona Long Term Care</t>
        </is>
      </c>
      <c r="I15" s="6" t="inlineStr">
        <is>
          <t>Mercy Care Plan (AHCCCS) - Complete Care &amp; Long Term Care (LTC)</t>
        </is>
      </c>
      <c r="J15" s="6" t="inlineStr">
        <is>
          <t>99494</t>
        </is>
      </c>
      <c r="K15" s="4" t="n"/>
      <c r="L15" s="5">
        <f>IF($M15="","",$M15-TODAY())</f>
        <v/>
      </c>
      <c r="M15" s="7" t="n">
        <v>46273</v>
      </c>
      <c r="N15" s="6" t="inlineStr">
        <is>
          <t>90 days</t>
        </is>
      </c>
      <c r="O15" s="6" t="inlineStr">
        <is>
          <t>UHC COMMUNITY</t>
        </is>
      </c>
      <c r="P15" s="6" t="n"/>
      <c r="Q15" s="6" t="n"/>
      <c r="R15" s="6" t="n"/>
      <c r="S15" s="5" t="n">
        <v>1</v>
      </c>
      <c r="T15" s="8" t="n">
        <v>396.27</v>
      </c>
      <c r="U15" s="8" t="n">
        <v>0</v>
      </c>
      <c r="V15" s="8" t="n">
        <v>0</v>
      </c>
      <c r="W15" s="6" t="n"/>
      <c r="X15" s="8" t="n">
        <v>396.27</v>
      </c>
      <c r="Y15" s="5" t="n">
        <v>59</v>
      </c>
      <c r="Z15" s="6" t="inlineStr">
        <is>
          <t>F419</t>
        </is>
      </c>
      <c r="AA15" s="6" t="n"/>
      <c r="AB15" s="6" t="n"/>
      <c r="AC15" s="6" t="n"/>
      <c r="AD15" s="5" t="n"/>
      <c r="AE15" s="6" t="inlineStr">
        <is>
          <t>SARKAR, AWNIK</t>
        </is>
      </c>
      <c r="AF15" s="6" t="inlineStr">
        <is>
          <t>ASAP - Gilbert</t>
        </is>
      </c>
      <c r="AG15" s="6" t="inlineStr">
        <is>
          <t>07/14/2026</t>
        </is>
      </c>
      <c r="AH15" s="6" t="inlineStr">
        <is>
          <t>BH</t>
        </is>
      </c>
      <c r="AI15" s="9" t="n"/>
      <c r="AJ15" s="5" t="n">
        <v>776</v>
      </c>
    </row>
    <row r="16">
      <c r="A16" s="2" t="n"/>
      <c r="B16" s="3" t="n"/>
      <c r="C16" s="4" t="n"/>
      <c r="D16" s="5" t="n">
        <v>562166533</v>
      </c>
      <c r="E16" s="6" t="inlineStr">
        <is>
          <t>HF396067099</t>
        </is>
      </c>
      <c r="F16" s="6" t="inlineStr">
        <is>
          <t>06/10/2026</t>
        </is>
      </c>
      <c r="G16" s="6" t="inlineStr">
        <is>
          <t>UnitedHealthcare Community Plan / Arizona Long Term Care</t>
        </is>
      </c>
      <c r="H16" s="6" t="inlineStr">
        <is>
          <t>UnitedHealthcare Community Plan / Arizona Long Term Care</t>
        </is>
      </c>
      <c r="I16" s="6" t="inlineStr">
        <is>
          <t>Mercy Care Plan (AHCCCS) - Complete Care &amp; Long Term Care (LTC)</t>
        </is>
      </c>
      <c r="J16" s="6" t="inlineStr">
        <is>
          <t>99493</t>
        </is>
      </c>
      <c r="K16" s="4" t="n"/>
      <c r="L16" s="5">
        <f>IF($M16="","",$M16-TODAY())</f>
        <v/>
      </c>
      <c r="M16" s="7" t="n">
        <v>46273</v>
      </c>
      <c r="N16" s="6" t="inlineStr">
        <is>
          <t>90 days</t>
        </is>
      </c>
      <c r="O16" s="6" t="inlineStr">
        <is>
          <t>UHC COMMUNITY</t>
        </is>
      </c>
      <c r="P16" s="6" t="n"/>
      <c r="Q16" s="6" t="n"/>
      <c r="R16" s="6" t="n"/>
      <c r="S16" s="5" t="n">
        <v>1</v>
      </c>
      <c r="T16" s="8" t="n">
        <v>976.64</v>
      </c>
      <c r="U16" s="8" t="n">
        <v>0</v>
      </c>
      <c r="V16" s="8" t="n">
        <v>0</v>
      </c>
      <c r="W16" s="6" t="n"/>
      <c r="X16" s="8" t="n">
        <v>976.64</v>
      </c>
      <c r="Y16" s="5" t="n">
        <v>59</v>
      </c>
      <c r="Z16" s="6" t="inlineStr">
        <is>
          <t>F411</t>
        </is>
      </c>
      <c r="AA16" s="6" t="inlineStr">
        <is>
          <t>F332</t>
        </is>
      </c>
      <c r="AB16" s="6" t="n"/>
      <c r="AC16" s="6" t="n"/>
      <c r="AD16" s="5" t="n"/>
      <c r="AE16" s="6" t="inlineStr">
        <is>
          <t>O'NEIL, ROY</t>
        </is>
      </c>
      <c r="AF16" s="6" t="inlineStr">
        <is>
          <t>ASAP - DEER VALLEY</t>
        </is>
      </c>
      <c r="AG16" s="6" t="inlineStr">
        <is>
          <t>07/14/2026</t>
        </is>
      </c>
      <c r="AH16" s="6" t="inlineStr">
        <is>
          <t>BH</t>
        </is>
      </c>
      <c r="AI16" s="9" t="n"/>
      <c r="AJ16" s="5" t="n">
        <v>974</v>
      </c>
    </row>
    <row r="17">
      <c r="A17" s="2" t="n"/>
      <c r="B17" s="3" t="n"/>
      <c r="C17" s="4" t="n"/>
      <c r="D17" s="5" t="n">
        <v>562166533</v>
      </c>
      <c r="E17" s="6" t="inlineStr">
        <is>
          <t>HF396067099</t>
        </is>
      </c>
      <c r="F17" s="6" t="inlineStr">
        <is>
          <t>06/10/2026</t>
        </is>
      </c>
      <c r="G17" s="6" t="inlineStr">
        <is>
          <t>UnitedHealthcare Community Plan / Arizona Long Term Care</t>
        </is>
      </c>
      <c r="H17" s="6" t="inlineStr">
        <is>
          <t>UnitedHealthcare Community Plan / Arizona Long Term Care</t>
        </is>
      </c>
      <c r="I17" s="6" t="inlineStr">
        <is>
          <t>Mercy Care Plan (AHCCCS) - Complete Care &amp; Long Term Care (LTC)</t>
        </is>
      </c>
      <c r="J17" s="6" t="inlineStr">
        <is>
          <t>99494</t>
        </is>
      </c>
      <c r="K17" s="4" t="n"/>
      <c r="L17" s="5">
        <f>IF($M17="","",$M17-TODAY())</f>
        <v/>
      </c>
      <c r="M17" s="7" t="n">
        <v>46273</v>
      </c>
      <c r="N17" s="6" t="inlineStr">
        <is>
          <t>90 days</t>
        </is>
      </c>
      <c r="O17" s="6" t="inlineStr">
        <is>
          <t>UHC COMMUNITY</t>
        </is>
      </c>
      <c r="P17" s="6" t="n"/>
      <c r="Q17" s="6" t="n"/>
      <c r="R17" s="6" t="n"/>
      <c r="S17" s="5" t="n">
        <v>1</v>
      </c>
      <c r="T17" s="8" t="n">
        <v>396.27</v>
      </c>
      <c r="U17" s="8" t="n">
        <v>0</v>
      </c>
      <c r="V17" s="8" t="n">
        <v>0</v>
      </c>
      <c r="W17" s="6" t="n"/>
      <c r="X17" s="8" t="n">
        <v>396.27</v>
      </c>
      <c r="Y17" s="5" t="n">
        <v>59</v>
      </c>
      <c r="Z17" s="6" t="inlineStr">
        <is>
          <t>F411</t>
        </is>
      </c>
      <c r="AA17" s="6" t="inlineStr">
        <is>
          <t>F332</t>
        </is>
      </c>
      <c r="AB17" s="6" t="n"/>
      <c r="AC17" s="6" t="n"/>
      <c r="AD17" s="5" t="n"/>
      <c r="AE17" s="6" t="inlineStr">
        <is>
          <t>O'NEIL, ROY</t>
        </is>
      </c>
      <c r="AF17" s="6" t="inlineStr">
        <is>
          <t>ASAP - DEER VALLEY</t>
        </is>
      </c>
      <c r="AG17" s="6" t="inlineStr">
        <is>
          <t>07/14/2026</t>
        </is>
      </c>
      <c r="AH17" s="6" t="inlineStr">
        <is>
          <t>BH</t>
        </is>
      </c>
      <c r="AI17" s="9" t="n"/>
      <c r="AJ17" s="5" t="n">
        <v>975</v>
      </c>
    </row>
    <row r="18">
      <c r="A18" s="2" t="n"/>
      <c r="B18" s="3" t="n"/>
      <c r="C18" s="4" t="n"/>
      <c r="D18" s="5" t="n">
        <v>562169362</v>
      </c>
      <c r="E18" s="6" t="inlineStr">
        <is>
          <t>HF527805618</t>
        </is>
      </c>
      <c r="F18" s="6" t="inlineStr">
        <is>
          <t>06/10/2026</t>
        </is>
      </c>
      <c r="G18" s="6" t="inlineStr">
        <is>
          <t>UnitedHealthcare Community Plan / Arizona Long Term Care</t>
        </is>
      </c>
      <c r="H18" s="6" t="inlineStr">
        <is>
          <t>UnitedHealthcare Community Plan / Arizona Long Term Care</t>
        </is>
      </c>
      <c r="I18" s="6" t="inlineStr">
        <is>
          <t>No Payer</t>
        </is>
      </c>
      <c r="J18" s="6" t="inlineStr">
        <is>
          <t>99493</t>
        </is>
      </c>
      <c r="K18" s="4" t="n"/>
      <c r="L18" s="5">
        <f>IF($M18="","",$M18-TODAY())</f>
        <v/>
      </c>
      <c r="M18" s="7" t="n">
        <v>46273</v>
      </c>
      <c r="N18" s="6" t="inlineStr">
        <is>
          <t>90 days</t>
        </is>
      </c>
      <c r="O18" s="6" t="inlineStr">
        <is>
          <t>UHC COMMUNITY</t>
        </is>
      </c>
      <c r="P18" s="6" t="n"/>
      <c r="Q18" s="6" t="n"/>
      <c r="R18" s="6" t="n"/>
      <c r="S18" s="5" t="n">
        <v>1</v>
      </c>
      <c r="T18" s="8" t="n">
        <v>976.64</v>
      </c>
      <c r="U18" s="8" t="n">
        <v>0</v>
      </c>
      <c r="V18" s="8" t="n">
        <v>0</v>
      </c>
      <c r="W18" s="6" t="inlineStr">
        <is>
          <t>07/21/2026</t>
        </is>
      </c>
      <c r="X18" s="8" t="n">
        <v>976.64</v>
      </c>
      <c r="Y18" s="5" t="n">
        <v>59</v>
      </c>
      <c r="Z18" s="6" t="inlineStr">
        <is>
          <t>F4323</t>
        </is>
      </c>
      <c r="AA18" s="6" t="n"/>
      <c r="AB18" s="6" t="n"/>
      <c r="AC18" s="6" t="n"/>
      <c r="AD18" s="5" t="n"/>
      <c r="AE18" s="6" t="inlineStr">
        <is>
          <t>TURLEY, TODD</t>
        </is>
      </c>
      <c r="AF18" s="6" t="inlineStr">
        <is>
          <t>ASAP - DEER VALLEY</t>
        </is>
      </c>
      <c r="AG18" s="6" t="inlineStr">
        <is>
          <t>07/14/2026</t>
        </is>
      </c>
      <c r="AH18" s="6" t="inlineStr">
        <is>
          <t>BH</t>
        </is>
      </c>
      <c r="AI18" s="9" t="n"/>
      <c r="AJ18" s="5" t="n">
        <v>736</v>
      </c>
    </row>
    <row r="19">
      <c r="A19" s="2" t="n"/>
      <c r="B19" s="3" t="n"/>
      <c r="C19" s="4" t="n"/>
      <c r="D19" s="5" t="n">
        <v>562169362</v>
      </c>
      <c r="E19" s="6" t="inlineStr">
        <is>
          <t>HF527805618</t>
        </is>
      </c>
      <c r="F19" s="6" t="inlineStr">
        <is>
          <t>06/10/2026</t>
        </is>
      </c>
      <c r="G19" s="6" t="inlineStr">
        <is>
          <t>UnitedHealthcare Community Plan / Arizona Long Term Care</t>
        </is>
      </c>
      <c r="H19" s="6" t="inlineStr">
        <is>
          <t>UnitedHealthcare Community Plan / Arizona Long Term Care</t>
        </is>
      </c>
      <c r="I19" s="6" t="inlineStr">
        <is>
          <t>No Payer</t>
        </is>
      </c>
      <c r="J19" s="6" t="inlineStr">
        <is>
          <t>99494</t>
        </is>
      </c>
      <c r="K19" s="4" t="n"/>
      <c r="L19" s="5">
        <f>IF($M19="","",$M19-TODAY())</f>
        <v/>
      </c>
      <c r="M19" s="7" t="n">
        <v>46273</v>
      </c>
      <c r="N19" s="6" t="inlineStr">
        <is>
          <t>90 days</t>
        </is>
      </c>
      <c r="O19" s="6" t="inlineStr">
        <is>
          <t>UHC COMMUNITY</t>
        </is>
      </c>
      <c r="P19" s="6" t="n"/>
      <c r="Q19" s="6" t="n"/>
      <c r="R19" s="6" t="n"/>
      <c r="S19" s="5" t="n">
        <v>1</v>
      </c>
      <c r="T19" s="8" t="n">
        <v>396.27</v>
      </c>
      <c r="U19" s="8" t="n">
        <v>0</v>
      </c>
      <c r="V19" s="8" t="n">
        <v>0</v>
      </c>
      <c r="W19" s="6" t="inlineStr">
        <is>
          <t>07/21/2026</t>
        </is>
      </c>
      <c r="X19" s="8" t="n">
        <v>396.27</v>
      </c>
      <c r="Y19" s="5" t="n">
        <v>59</v>
      </c>
      <c r="Z19" s="6" t="inlineStr">
        <is>
          <t>F4323</t>
        </is>
      </c>
      <c r="AA19" s="6" t="n"/>
      <c r="AB19" s="6" t="n"/>
      <c r="AC19" s="6" t="n"/>
      <c r="AD19" s="5" t="n"/>
      <c r="AE19" s="6" t="inlineStr">
        <is>
          <t>TURLEY, TODD</t>
        </is>
      </c>
      <c r="AF19" s="6" t="inlineStr">
        <is>
          <t>ASAP - DEER VALLEY</t>
        </is>
      </c>
      <c r="AG19" s="6" t="inlineStr">
        <is>
          <t>07/14/2026</t>
        </is>
      </c>
      <c r="AH19" s="6" t="inlineStr">
        <is>
          <t>BH</t>
        </is>
      </c>
      <c r="AI19" s="9" t="n"/>
      <c r="AJ19" s="5" t="n">
        <v>737</v>
      </c>
    </row>
    <row r="20">
      <c r="A20" s="2" t="n"/>
      <c r="B20" s="3" t="n"/>
      <c r="C20" s="4" t="n"/>
      <c r="D20" s="5" t="n">
        <v>562154183</v>
      </c>
      <c r="E20" s="6" t="inlineStr">
        <is>
          <t>HF556561019</t>
        </is>
      </c>
      <c r="F20" s="6" t="inlineStr">
        <is>
          <t>06/11/2026</t>
        </is>
      </c>
      <c r="G20" s="6" t="inlineStr">
        <is>
          <t>UnitedHealthcare Community Plan / Arizona Long Term Care</t>
        </is>
      </c>
      <c r="H20" s="6" t="inlineStr">
        <is>
          <t>UnitedHealthcare Community Plan / Arizona Long Term Care</t>
        </is>
      </c>
      <c r="I20" s="6" t="inlineStr">
        <is>
          <t>No Payer</t>
        </is>
      </c>
      <c r="J20" s="6" t="inlineStr">
        <is>
          <t>99494</t>
        </is>
      </c>
      <c r="K20" s="4" t="n"/>
      <c r="L20" s="5">
        <f>IF($M20="","",$M20-TODAY())</f>
        <v/>
      </c>
      <c r="M20" s="7" t="n">
        <v>46274</v>
      </c>
      <c r="N20" s="6" t="inlineStr">
        <is>
          <t>90 days</t>
        </is>
      </c>
      <c r="O20" s="6" t="inlineStr">
        <is>
          <t>UHC COMMUNITY</t>
        </is>
      </c>
      <c r="P20" s="6" t="n"/>
      <c r="Q20" s="6" t="n"/>
      <c r="R20" s="6" t="n"/>
      <c r="S20" s="5" t="n">
        <v>1</v>
      </c>
      <c r="T20" s="8" t="n">
        <v>396.27</v>
      </c>
      <c r="U20" s="8" t="n">
        <v>0</v>
      </c>
      <c r="V20" s="8" t="n">
        <v>0</v>
      </c>
      <c r="W20" s="6" t="n"/>
      <c r="X20" s="8" t="n">
        <v>396.27</v>
      </c>
      <c r="Y20" s="5" t="n">
        <v>58</v>
      </c>
      <c r="Z20" s="6" t="inlineStr">
        <is>
          <t>F4320</t>
        </is>
      </c>
      <c r="AA20" s="6" t="n"/>
      <c r="AB20" s="6" t="n"/>
      <c r="AC20" s="6" t="n"/>
      <c r="AD20" s="5" t="n"/>
      <c r="AE20" s="6" t="inlineStr">
        <is>
          <t>KRAUSE, JEFFREY</t>
        </is>
      </c>
      <c r="AF20" s="6" t="inlineStr">
        <is>
          <t>ASAP - DEER VALLEY</t>
        </is>
      </c>
      <c r="AG20" s="6" t="inlineStr">
        <is>
          <t>07/14/2026</t>
        </is>
      </c>
      <c r="AH20" s="6" t="inlineStr">
        <is>
          <t>BH</t>
        </is>
      </c>
      <c r="AI20" s="9" t="n"/>
      <c r="AJ20" s="5" t="n">
        <v>609</v>
      </c>
    </row>
    <row r="21">
      <c r="A21" s="2" t="n"/>
      <c r="B21" s="3" t="n"/>
      <c r="C21" s="4" t="n"/>
      <c r="D21" s="5" t="n">
        <v>562154183</v>
      </c>
      <c r="E21" s="6" t="inlineStr">
        <is>
          <t>HF556561019</t>
        </is>
      </c>
      <c r="F21" s="6" t="inlineStr">
        <is>
          <t>06/11/2026</t>
        </is>
      </c>
      <c r="G21" s="6" t="inlineStr">
        <is>
          <t>UnitedHealthcare Community Plan / Arizona Long Term Care</t>
        </is>
      </c>
      <c r="H21" s="6" t="inlineStr">
        <is>
          <t>UnitedHealthcare Community Plan / Arizona Long Term Care</t>
        </is>
      </c>
      <c r="I21" s="6" t="inlineStr">
        <is>
          <t>No Payer</t>
        </is>
      </c>
      <c r="J21" s="6" t="inlineStr">
        <is>
          <t>99492</t>
        </is>
      </c>
      <c r="K21" s="4" t="n"/>
      <c r="L21" s="5">
        <f>IF($M21="","",$M21-TODAY())</f>
        <v/>
      </c>
      <c r="M21" s="7" t="n">
        <v>46274</v>
      </c>
      <c r="N21" s="6" t="inlineStr">
        <is>
          <t>90 days</t>
        </is>
      </c>
      <c r="O21" s="6" t="inlineStr">
        <is>
          <t>UHC COMMUNITY</t>
        </is>
      </c>
      <c r="P21" s="6" t="n"/>
      <c r="Q21" s="6" t="n"/>
      <c r="R21" s="6" t="n"/>
      <c r="S21" s="5" t="n">
        <v>1</v>
      </c>
      <c r="T21" s="8" t="n">
        <v>1029.98</v>
      </c>
      <c r="U21" s="8" t="n">
        <v>0</v>
      </c>
      <c r="V21" s="8" t="n">
        <v>0</v>
      </c>
      <c r="W21" s="6" t="n"/>
      <c r="X21" s="8" t="n">
        <v>1029.98</v>
      </c>
      <c r="Y21" s="5" t="n">
        <v>58</v>
      </c>
      <c r="Z21" s="6" t="inlineStr">
        <is>
          <t>F4320</t>
        </is>
      </c>
      <c r="AA21" s="6" t="n"/>
      <c r="AB21" s="6" t="n"/>
      <c r="AC21" s="6" t="n"/>
      <c r="AD21" s="5" t="n"/>
      <c r="AE21" s="6" t="inlineStr">
        <is>
          <t>KRAUSE, JEFFREY</t>
        </is>
      </c>
      <c r="AF21" s="6" t="inlineStr">
        <is>
          <t>ASAP - DEER VALLEY</t>
        </is>
      </c>
      <c r="AG21" s="6" t="inlineStr">
        <is>
          <t>07/14/2026</t>
        </is>
      </c>
      <c r="AH21" s="6" t="inlineStr">
        <is>
          <t>BH</t>
        </is>
      </c>
      <c r="AI21" s="9" t="n"/>
      <c r="AJ21" s="5" t="n">
        <v>610</v>
      </c>
    </row>
    <row r="22">
      <c r="A22" s="2" t="n"/>
      <c r="B22" s="3" t="n"/>
      <c r="C22" s="4" t="n"/>
      <c r="D22" s="5" t="n">
        <v>562171100</v>
      </c>
      <c r="E22" s="6" t="inlineStr">
        <is>
          <t>HF367456680</t>
        </is>
      </c>
      <c r="F22" s="6" t="inlineStr">
        <is>
          <t>06/11/2026</t>
        </is>
      </c>
      <c r="G22" s="6" t="inlineStr">
        <is>
          <t>UnitedHealthcare Community Plan / Arizona Long Term Care</t>
        </is>
      </c>
      <c r="H22" s="6" t="inlineStr">
        <is>
          <t>UnitedHealthcare Community Plan / Arizona Long Term Care</t>
        </is>
      </c>
      <c r="I22" s="6" t="inlineStr">
        <is>
          <t>UnitedHealthcare Community Plan / Arizona Long Term Care</t>
        </is>
      </c>
      <c r="J22" s="6" t="inlineStr">
        <is>
          <t>99493</t>
        </is>
      </c>
      <c r="K22" s="4" t="n"/>
      <c r="L22" s="5">
        <f>IF($M22="","",$M22-TODAY())</f>
        <v/>
      </c>
      <c r="M22" s="7" t="n">
        <v>46274</v>
      </c>
      <c r="N22" s="6" t="inlineStr">
        <is>
          <t>90 days</t>
        </is>
      </c>
      <c r="O22" s="6" t="inlineStr">
        <is>
          <t>UHC COMMUNITY</t>
        </is>
      </c>
      <c r="P22" s="6" t="n"/>
      <c r="Q22" s="6" t="n"/>
      <c r="R22" s="6" t="n"/>
      <c r="S22" s="5" t="n">
        <v>1</v>
      </c>
      <c r="T22" s="8" t="n">
        <v>976.64</v>
      </c>
      <c r="U22" s="8" t="n">
        <v>0</v>
      </c>
      <c r="V22" s="8" t="n">
        <v>0</v>
      </c>
      <c r="W22" s="6" t="n"/>
      <c r="X22" s="8" t="n">
        <v>976.64</v>
      </c>
      <c r="Y22" s="5" t="n">
        <v>58</v>
      </c>
      <c r="Z22" s="6" t="inlineStr">
        <is>
          <t>F332</t>
        </is>
      </c>
      <c r="AA22" s="6" t="inlineStr">
        <is>
          <t>F411</t>
        </is>
      </c>
      <c r="AB22" s="6" t="n"/>
      <c r="AC22" s="6" t="n"/>
      <c r="AD22" s="5" t="n"/>
      <c r="AE22" s="6" t="inlineStr">
        <is>
          <t>LEATHEM, JARRETT</t>
        </is>
      </c>
      <c r="AF22" s="6" t="inlineStr">
        <is>
          <t>ASAP - DEER VALLEY</t>
        </is>
      </c>
      <c r="AG22" s="6" t="inlineStr">
        <is>
          <t>07/14/2026</t>
        </is>
      </c>
      <c r="AH22" s="6" t="inlineStr">
        <is>
          <t>BH</t>
        </is>
      </c>
      <c r="AI22" s="9" t="n"/>
      <c r="AJ22" s="5" t="n">
        <v>881</v>
      </c>
    </row>
    <row r="23">
      <c r="A23" s="2" t="n"/>
      <c r="B23" s="3" t="n"/>
      <c r="C23" s="4" t="n"/>
      <c r="D23" s="5" t="n">
        <v>562171100</v>
      </c>
      <c r="E23" s="6" t="inlineStr">
        <is>
          <t>HF367456680</t>
        </is>
      </c>
      <c r="F23" s="6" t="inlineStr">
        <is>
          <t>06/11/2026</t>
        </is>
      </c>
      <c r="G23" s="6" t="inlineStr">
        <is>
          <t>UnitedHealthcare Community Plan / Arizona Long Term Care</t>
        </is>
      </c>
      <c r="H23" s="6" t="inlineStr">
        <is>
          <t>UnitedHealthcare Community Plan / Arizona Long Term Care</t>
        </is>
      </c>
      <c r="I23" s="6" t="inlineStr">
        <is>
          <t>UnitedHealthcare Community Plan / Arizona Long Term Care</t>
        </is>
      </c>
      <c r="J23" s="6" t="inlineStr">
        <is>
          <t>99494</t>
        </is>
      </c>
      <c r="K23" s="4" t="n"/>
      <c r="L23" s="5">
        <f>IF($M23="","",$M23-TODAY())</f>
        <v/>
      </c>
      <c r="M23" s="7" t="n">
        <v>46274</v>
      </c>
      <c r="N23" s="6" t="inlineStr">
        <is>
          <t>90 days</t>
        </is>
      </c>
      <c r="O23" s="6" t="inlineStr">
        <is>
          <t>UHC COMMUNITY</t>
        </is>
      </c>
      <c r="P23" s="6" t="n"/>
      <c r="Q23" s="6" t="n"/>
      <c r="R23" s="6" t="n"/>
      <c r="S23" s="5" t="n">
        <v>1</v>
      </c>
      <c r="T23" s="8" t="n">
        <v>396.27</v>
      </c>
      <c r="U23" s="8" t="n">
        <v>0</v>
      </c>
      <c r="V23" s="8" t="n">
        <v>0</v>
      </c>
      <c r="W23" s="6" t="n"/>
      <c r="X23" s="8" t="n">
        <v>396.27</v>
      </c>
      <c r="Y23" s="5" t="n">
        <v>58</v>
      </c>
      <c r="Z23" s="6" t="inlineStr">
        <is>
          <t>F332</t>
        </is>
      </c>
      <c r="AA23" s="6" t="inlineStr">
        <is>
          <t>F411</t>
        </is>
      </c>
      <c r="AB23" s="6" t="n"/>
      <c r="AC23" s="6" t="n"/>
      <c r="AD23" s="5" t="n"/>
      <c r="AE23" s="6" t="inlineStr">
        <is>
          <t>LEATHEM, JARRETT</t>
        </is>
      </c>
      <c r="AF23" s="6" t="inlineStr">
        <is>
          <t>ASAP - DEER VALLEY</t>
        </is>
      </c>
      <c r="AG23" s="6" t="inlineStr">
        <is>
          <t>07/14/2026</t>
        </is>
      </c>
      <c r="AH23" s="6" t="inlineStr">
        <is>
          <t>BH</t>
        </is>
      </c>
      <c r="AI23" s="9" t="n"/>
      <c r="AJ23" s="5" t="n">
        <v>883</v>
      </c>
    </row>
    <row r="24">
      <c r="A24" s="2" t="n"/>
      <c r="B24" s="3" t="n"/>
      <c r="C24" s="4" t="n"/>
      <c r="D24" s="5" t="n">
        <v>562172671</v>
      </c>
      <c r="E24" s="6" t="inlineStr">
        <is>
          <t>HF523425107</t>
        </is>
      </c>
      <c r="F24" s="6" t="inlineStr">
        <is>
          <t>06/11/2026</t>
        </is>
      </c>
      <c r="G24" s="6" t="inlineStr">
        <is>
          <t>UnitedHealthcare Community Plan / Arizona Long Term Care</t>
        </is>
      </c>
      <c r="H24" s="6" t="inlineStr">
        <is>
          <t>UnitedHealthcare Community Plan / Arizona Long Term Care</t>
        </is>
      </c>
      <c r="I24" s="6" t="inlineStr">
        <is>
          <t>No Payer</t>
        </is>
      </c>
      <c r="J24" s="6" t="inlineStr">
        <is>
          <t>99493</t>
        </is>
      </c>
      <c r="K24" s="4" t="n"/>
      <c r="L24" s="5">
        <f>IF($M24="","",$M24-TODAY())</f>
        <v/>
      </c>
      <c r="M24" s="7" t="n">
        <v>46274</v>
      </c>
      <c r="N24" s="6" t="inlineStr">
        <is>
          <t>90 days</t>
        </is>
      </c>
      <c r="O24" s="6" t="inlineStr">
        <is>
          <t>UHC COMMUNITY</t>
        </is>
      </c>
      <c r="P24" s="6" t="n"/>
      <c r="Q24" s="6" t="n"/>
      <c r="R24" s="6" t="n"/>
      <c r="S24" s="5" t="n">
        <v>1</v>
      </c>
      <c r="T24" s="8" t="n">
        <v>976.64</v>
      </c>
      <c r="U24" s="8" t="n">
        <v>0</v>
      </c>
      <c r="V24" s="8" t="n">
        <v>0</v>
      </c>
      <c r="W24" s="6" t="n"/>
      <c r="X24" s="8" t="n">
        <v>976.64</v>
      </c>
      <c r="Y24" s="5" t="n">
        <v>58</v>
      </c>
      <c r="Z24" s="6" t="inlineStr">
        <is>
          <t>F4323</t>
        </is>
      </c>
      <c r="AA24" s="6" t="n"/>
      <c r="AB24" s="6" t="n"/>
      <c r="AC24" s="6" t="n"/>
      <c r="AD24" s="5" t="n"/>
      <c r="AE24" s="6" t="inlineStr">
        <is>
          <t>TURLEY, TODD</t>
        </is>
      </c>
      <c r="AF24" s="6" t="inlineStr">
        <is>
          <t>ASAP - DEER VALLEY</t>
        </is>
      </c>
      <c r="AG24" s="6" t="inlineStr">
        <is>
          <t>07/14/2026</t>
        </is>
      </c>
      <c r="AH24" s="6" t="inlineStr">
        <is>
          <t>BH</t>
        </is>
      </c>
      <c r="AI24" s="9" t="n"/>
      <c r="AJ24" s="5" t="n">
        <v>227</v>
      </c>
    </row>
    <row r="25">
      <c r="A25" s="2" t="n"/>
      <c r="B25" s="3" t="n"/>
      <c r="C25" s="4" t="n"/>
      <c r="D25" s="5" t="n">
        <v>562172671</v>
      </c>
      <c r="E25" s="6" t="inlineStr">
        <is>
          <t>HF523425107</t>
        </is>
      </c>
      <c r="F25" s="6" t="inlineStr">
        <is>
          <t>06/11/2026</t>
        </is>
      </c>
      <c r="G25" s="6" t="inlineStr">
        <is>
          <t>UnitedHealthcare Community Plan / Arizona Long Term Care</t>
        </is>
      </c>
      <c r="H25" s="6" t="inlineStr">
        <is>
          <t>UnitedHealthcare Community Plan / Arizona Long Term Care</t>
        </is>
      </c>
      <c r="I25" s="6" t="inlineStr">
        <is>
          <t>No Payer</t>
        </is>
      </c>
      <c r="J25" s="6" t="inlineStr">
        <is>
          <t>99494</t>
        </is>
      </c>
      <c r="K25" s="4" t="n"/>
      <c r="L25" s="5">
        <f>IF($M25="","",$M25-TODAY())</f>
        <v/>
      </c>
      <c r="M25" s="7" t="n">
        <v>46274</v>
      </c>
      <c r="N25" s="6" t="inlineStr">
        <is>
          <t>90 days</t>
        </is>
      </c>
      <c r="O25" s="6" t="inlineStr">
        <is>
          <t>UHC COMMUNITY</t>
        </is>
      </c>
      <c r="P25" s="6" t="n"/>
      <c r="Q25" s="6" t="n"/>
      <c r="R25" s="6" t="n"/>
      <c r="S25" s="5" t="n">
        <v>1</v>
      </c>
      <c r="T25" s="8" t="n">
        <v>396.27</v>
      </c>
      <c r="U25" s="8" t="n">
        <v>0</v>
      </c>
      <c r="V25" s="8" t="n">
        <v>0</v>
      </c>
      <c r="W25" s="6" t="n"/>
      <c r="X25" s="8" t="n">
        <v>396.27</v>
      </c>
      <c r="Y25" s="5" t="n">
        <v>58</v>
      </c>
      <c r="Z25" s="6" t="inlineStr">
        <is>
          <t>F4323</t>
        </is>
      </c>
      <c r="AA25" s="6" t="n"/>
      <c r="AB25" s="6" t="n"/>
      <c r="AC25" s="6" t="n"/>
      <c r="AD25" s="5" t="n"/>
      <c r="AE25" s="6" t="inlineStr">
        <is>
          <t>TURLEY, TODD</t>
        </is>
      </c>
      <c r="AF25" s="6" t="inlineStr">
        <is>
          <t>ASAP - DEER VALLEY</t>
        </is>
      </c>
      <c r="AG25" s="6" t="inlineStr">
        <is>
          <t>07/14/2026</t>
        </is>
      </c>
      <c r="AH25" s="6" t="inlineStr">
        <is>
          <t>BH</t>
        </is>
      </c>
      <c r="AI25" s="9" t="n"/>
      <c r="AJ25" s="5" t="n">
        <v>228</v>
      </c>
    </row>
    <row r="26">
      <c r="A26" s="2" t="n"/>
      <c r="B26" s="3" t="n"/>
      <c r="C26" s="4" t="n"/>
      <c r="D26" s="5" t="n">
        <v>562179710</v>
      </c>
      <c r="E26" s="6" t="inlineStr">
        <is>
          <t>HF404885397</t>
        </is>
      </c>
      <c r="F26" s="6" t="inlineStr">
        <is>
          <t>06/11/2026</t>
        </is>
      </c>
      <c r="G26" s="6" t="inlineStr">
        <is>
          <t>UnitedHealthcare Community Plan / Arizona Long Term Care</t>
        </is>
      </c>
      <c r="H26" s="6" t="inlineStr">
        <is>
          <t>UnitedHealthcare Community Plan / Arizona Long Term Care</t>
        </is>
      </c>
      <c r="I26" s="6" t="inlineStr">
        <is>
          <t>No Payer</t>
        </is>
      </c>
      <c r="J26" s="6" t="inlineStr">
        <is>
          <t>99494</t>
        </is>
      </c>
      <c r="K26" s="4" t="n"/>
      <c r="L26" s="5">
        <f>IF($M26="","",$M26-TODAY())</f>
        <v/>
      </c>
      <c r="M26" s="7" t="n">
        <v>46274</v>
      </c>
      <c r="N26" s="6" t="inlineStr">
        <is>
          <t>90 days</t>
        </is>
      </c>
      <c r="O26" s="6" t="inlineStr">
        <is>
          <t>UHC COMMUNITY</t>
        </is>
      </c>
      <c r="P26" s="6" t="n"/>
      <c r="Q26" s="6" t="n"/>
      <c r="R26" s="6" t="n"/>
      <c r="S26" s="5" t="n">
        <v>1</v>
      </c>
      <c r="T26" s="8" t="n">
        <v>396.27</v>
      </c>
      <c r="U26" s="8" t="n">
        <v>0</v>
      </c>
      <c r="V26" s="8" t="n">
        <v>0</v>
      </c>
      <c r="W26" s="6" t="n"/>
      <c r="X26" s="8" t="n">
        <v>396.27</v>
      </c>
      <c r="Y26" s="5" t="n">
        <v>58</v>
      </c>
      <c r="Z26" s="6" t="inlineStr">
        <is>
          <t>F339</t>
        </is>
      </c>
      <c r="AA26" s="6" t="n"/>
      <c r="AB26" s="6" t="n"/>
      <c r="AC26" s="6" t="n"/>
      <c r="AD26" s="5" t="n"/>
      <c r="AE26" s="6" t="inlineStr">
        <is>
          <t>MORALES, DAVID</t>
        </is>
      </c>
      <c r="AF26" s="6" t="inlineStr">
        <is>
          <t>ASAP - DEER VALLEY</t>
        </is>
      </c>
      <c r="AG26" s="6" t="inlineStr">
        <is>
          <t>07/14/2026</t>
        </is>
      </c>
      <c r="AH26" s="6" t="inlineStr">
        <is>
          <t>BH</t>
        </is>
      </c>
      <c r="AI26" s="9" t="n"/>
      <c r="AJ26" s="5" t="n">
        <v>1003</v>
      </c>
    </row>
    <row r="27">
      <c r="A27" s="2" t="n"/>
      <c r="B27" s="3" t="n"/>
      <c r="C27" s="4" t="n"/>
      <c r="D27" s="5" t="n">
        <v>562179710</v>
      </c>
      <c r="E27" s="6" t="inlineStr">
        <is>
          <t>HF404885397</t>
        </is>
      </c>
      <c r="F27" s="6" t="inlineStr">
        <is>
          <t>06/11/2026</t>
        </is>
      </c>
      <c r="G27" s="6" t="inlineStr">
        <is>
          <t>UnitedHealthcare Community Plan / Arizona Long Term Care</t>
        </is>
      </c>
      <c r="H27" s="6" t="inlineStr">
        <is>
          <t>UnitedHealthcare Community Plan / Arizona Long Term Care</t>
        </is>
      </c>
      <c r="I27" s="6" t="inlineStr">
        <is>
          <t>No Payer</t>
        </is>
      </c>
      <c r="J27" s="6" t="inlineStr">
        <is>
          <t>99493</t>
        </is>
      </c>
      <c r="K27" s="4" t="n"/>
      <c r="L27" s="5">
        <f>IF($M27="","",$M27-TODAY())</f>
        <v/>
      </c>
      <c r="M27" s="7" t="n">
        <v>46274</v>
      </c>
      <c r="N27" s="6" t="inlineStr">
        <is>
          <t>90 days</t>
        </is>
      </c>
      <c r="O27" s="6" t="inlineStr">
        <is>
          <t>UHC COMMUNITY</t>
        </is>
      </c>
      <c r="P27" s="6" t="n"/>
      <c r="Q27" s="6" t="n"/>
      <c r="R27" s="6" t="n"/>
      <c r="S27" s="5" t="n">
        <v>1</v>
      </c>
      <c r="T27" s="8" t="n">
        <v>976.64</v>
      </c>
      <c r="U27" s="8" t="n">
        <v>0</v>
      </c>
      <c r="V27" s="8" t="n">
        <v>0</v>
      </c>
      <c r="W27" s="6" t="n"/>
      <c r="X27" s="8" t="n">
        <v>976.64</v>
      </c>
      <c r="Y27" s="5" t="n">
        <v>58</v>
      </c>
      <c r="Z27" s="6" t="inlineStr">
        <is>
          <t>F339</t>
        </is>
      </c>
      <c r="AA27" s="6" t="n"/>
      <c r="AB27" s="6" t="n"/>
      <c r="AC27" s="6" t="n"/>
      <c r="AD27" s="5" t="n"/>
      <c r="AE27" s="6" t="inlineStr">
        <is>
          <t>MORALES, DAVID</t>
        </is>
      </c>
      <c r="AF27" s="6" t="inlineStr">
        <is>
          <t>ASAP - DEER VALLEY</t>
        </is>
      </c>
      <c r="AG27" s="6" t="inlineStr">
        <is>
          <t>07/14/2026</t>
        </is>
      </c>
      <c r="AH27" s="6" t="inlineStr">
        <is>
          <t>BH</t>
        </is>
      </c>
      <c r="AI27" s="9" t="n"/>
      <c r="AJ27" s="5" t="n">
        <v>1004</v>
      </c>
    </row>
    <row r="28">
      <c r="A28" s="2" t="n"/>
      <c r="B28" s="3" t="n"/>
      <c r="C28" s="4" t="n"/>
      <c r="D28" s="5" t="n">
        <v>562371749</v>
      </c>
      <c r="E28" s="6" t="inlineStr">
        <is>
          <t>HF520885336</t>
        </is>
      </c>
      <c r="F28" s="6" t="inlineStr">
        <is>
          <t>06/15/2026</t>
        </is>
      </c>
      <c r="G28" s="6" t="inlineStr">
        <is>
          <t>UnitedHealthcare Community Plan / Arizona Long Term Care</t>
        </is>
      </c>
      <c r="H28" s="6" t="inlineStr">
        <is>
          <t>UnitedHealthcare Community Plan / Arizona Long Term Care</t>
        </is>
      </c>
      <c r="I28" s="6" t="inlineStr">
        <is>
          <t>UnitedHealthcare Community Plan / Arizona Long Term Care</t>
        </is>
      </c>
      <c r="J28" s="6" t="inlineStr">
        <is>
          <t>99492</t>
        </is>
      </c>
      <c r="K28" s="4" t="n"/>
      <c r="L28" s="5">
        <f>IF($M28="","",$M28-TODAY())</f>
        <v/>
      </c>
      <c r="M28" s="7" t="n">
        <v>46278</v>
      </c>
      <c r="N28" s="6" t="inlineStr">
        <is>
          <t>90 days</t>
        </is>
      </c>
      <c r="O28" s="6" t="inlineStr">
        <is>
          <t>UHC COMMUNITY</t>
        </is>
      </c>
      <c r="P28" s="6" t="n"/>
      <c r="Q28" s="6" t="n"/>
      <c r="R28" s="6" t="n"/>
      <c r="S28" s="5" t="n">
        <v>1</v>
      </c>
      <c r="T28" s="8" t="n">
        <v>1029.98</v>
      </c>
      <c r="U28" s="8" t="n">
        <v>0</v>
      </c>
      <c r="V28" s="8" t="n">
        <v>0</v>
      </c>
      <c r="W28" s="6" t="n"/>
      <c r="X28" s="8" t="n">
        <v>1029.98</v>
      </c>
      <c r="Y28" s="5" t="n">
        <v>54</v>
      </c>
      <c r="Z28" s="6" t="inlineStr">
        <is>
          <t>F4320</t>
        </is>
      </c>
      <c r="AA28" s="6" t="n"/>
      <c r="AB28" s="6" t="n"/>
      <c r="AC28" s="6" t="n"/>
      <c r="AD28" s="5" t="n"/>
      <c r="AE28" s="6" t="inlineStr">
        <is>
          <t>MCMURDIE, TODD</t>
        </is>
      </c>
      <c r="AF28" s="6" t="inlineStr">
        <is>
          <t>ASAP - Surprise - Reems</t>
        </is>
      </c>
      <c r="AG28" s="6" t="inlineStr">
        <is>
          <t>07/14/2026</t>
        </is>
      </c>
      <c r="AH28" s="6" t="inlineStr">
        <is>
          <t>BH</t>
        </is>
      </c>
      <c r="AI28" s="9" t="n"/>
      <c r="AJ28" s="5" t="n">
        <v>236</v>
      </c>
    </row>
    <row r="29">
      <c r="A29" s="2" t="n"/>
      <c r="B29" s="3" t="n"/>
      <c r="C29" s="4" t="n"/>
      <c r="D29" s="5" t="n">
        <v>562371749</v>
      </c>
      <c r="E29" s="6" t="inlineStr">
        <is>
          <t>HF520885336</t>
        </is>
      </c>
      <c r="F29" s="6" t="inlineStr">
        <is>
          <t>06/15/2026</t>
        </is>
      </c>
      <c r="G29" s="6" t="inlineStr">
        <is>
          <t>UnitedHealthcare Community Plan / Arizona Long Term Care</t>
        </is>
      </c>
      <c r="H29" s="6" t="inlineStr">
        <is>
          <t>UnitedHealthcare Community Plan / Arizona Long Term Care</t>
        </is>
      </c>
      <c r="I29" s="6" t="inlineStr">
        <is>
          <t>UnitedHealthcare Community Plan / Arizona Long Term Care</t>
        </is>
      </c>
      <c r="J29" s="6" t="inlineStr">
        <is>
          <t>99494</t>
        </is>
      </c>
      <c r="K29" s="4" t="n"/>
      <c r="L29" s="5">
        <f>IF($M29="","",$M29-TODAY())</f>
        <v/>
      </c>
      <c r="M29" s="7" t="n">
        <v>46278</v>
      </c>
      <c r="N29" s="6" t="inlineStr">
        <is>
          <t>90 days</t>
        </is>
      </c>
      <c r="O29" s="6" t="inlineStr">
        <is>
          <t>UHC COMMUNITY</t>
        </is>
      </c>
      <c r="P29" s="6" t="n"/>
      <c r="Q29" s="6" t="n"/>
      <c r="R29" s="6" t="n"/>
      <c r="S29" s="5" t="n">
        <v>1</v>
      </c>
      <c r="T29" s="8" t="n">
        <v>396.27</v>
      </c>
      <c r="U29" s="8" t="n">
        <v>0</v>
      </c>
      <c r="V29" s="8" t="n">
        <v>0</v>
      </c>
      <c r="W29" s="6" t="n"/>
      <c r="X29" s="8" t="n">
        <v>396.27</v>
      </c>
      <c r="Y29" s="5" t="n">
        <v>54</v>
      </c>
      <c r="Z29" s="6" t="inlineStr">
        <is>
          <t>F4320</t>
        </is>
      </c>
      <c r="AA29" s="6" t="n"/>
      <c r="AB29" s="6" t="n"/>
      <c r="AC29" s="6" t="n"/>
      <c r="AD29" s="5" t="n"/>
      <c r="AE29" s="6" t="inlineStr">
        <is>
          <t>MCMURDIE, TODD</t>
        </is>
      </c>
      <c r="AF29" s="6" t="inlineStr">
        <is>
          <t>ASAP - Surprise - Reems</t>
        </is>
      </c>
      <c r="AG29" s="6" t="inlineStr">
        <is>
          <t>07/14/2026</t>
        </is>
      </c>
      <c r="AH29" s="6" t="inlineStr">
        <is>
          <t>BH</t>
        </is>
      </c>
      <c r="AI29" s="9" t="n"/>
      <c r="AJ29" s="5" t="n">
        <v>237</v>
      </c>
    </row>
    <row r="30">
      <c r="A30" s="2" t="n"/>
      <c r="B30" s="3" t="n"/>
      <c r="C30" s="4" t="n"/>
      <c r="D30" s="5" t="n">
        <v>562510277</v>
      </c>
      <c r="E30" s="6" t="inlineStr">
        <is>
          <t>HF559372689</t>
        </is>
      </c>
      <c r="F30" s="6" t="inlineStr">
        <is>
          <t>06/16/2026</t>
        </is>
      </c>
      <c r="G30" s="6" t="inlineStr">
        <is>
          <t>UnitedHealthcare Community Plan / Arizona Long Term Care</t>
        </is>
      </c>
      <c r="H30" s="6" t="inlineStr">
        <is>
          <t>UnitedHealthcare Community Plan / Arizona Long Term Care</t>
        </is>
      </c>
      <c r="I30" s="6" t="inlineStr">
        <is>
          <t>No Payer</t>
        </is>
      </c>
      <c r="J30" s="6" t="inlineStr">
        <is>
          <t>99484</t>
        </is>
      </c>
      <c r="K30" s="4" t="n"/>
      <c r="L30" s="5">
        <f>IF($M30="","",$M30-TODAY())</f>
        <v/>
      </c>
      <c r="M30" s="7" t="n">
        <v>46279</v>
      </c>
      <c r="N30" s="6" t="inlineStr">
        <is>
          <t>90 days</t>
        </is>
      </c>
      <c r="O30" s="6" t="inlineStr">
        <is>
          <t>UHC COMMUNITY</t>
        </is>
      </c>
      <c r="P30" s="6" t="n"/>
      <c r="Q30" s="6" t="n"/>
      <c r="R30" s="6" t="n"/>
      <c r="S30" s="5" t="n">
        <v>1</v>
      </c>
      <c r="T30" s="8" t="n">
        <v>294.42</v>
      </c>
      <c r="U30" s="8" t="n">
        <v>0</v>
      </c>
      <c r="V30" s="8" t="n">
        <v>0</v>
      </c>
      <c r="W30" s="6" t="n"/>
      <c r="X30" s="8" t="n">
        <v>294.42</v>
      </c>
      <c r="Y30" s="5" t="n">
        <v>53</v>
      </c>
      <c r="Z30" s="6" t="inlineStr">
        <is>
          <t>Z79891</t>
        </is>
      </c>
      <c r="AA30" s="6" t="inlineStr">
        <is>
          <t>Z1331</t>
        </is>
      </c>
      <c r="AB30" s="6" t="n"/>
      <c r="AC30" s="6" t="n"/>
      <c r="AD30" s="5" t="n"/>
      <c r="AE30" s="6" t="inlineStr">
        <is>
          <t>WILSON, JARED</t>
        </is>
      </c>
      <c r="AF30" s="6" t="inlineStr">
        <is>
          <t>ASAP - Tucson</t>
        </is>
      </c>
      <c r="AG30" s="6" t="inlineStr">
        <is>
          <t>07/30/2026</t>
        </is>
      </c>
      <c r="AH30" s="6" t="inlineStr">
        <is>
          <t>BH</t>
        </is>
      </c>
      <c r="AI30" s="9" t="n"/>
      <c r="AJ30" s="5" t="n">
        <v>895</v>
      </c>
    </row>
    <row r="31">
      <c r="A31" s="2" t="n"/>
      <c r="B31" s="3" t="n"/>
      <c r="C31" s="4" t="n"/>
      <c r="D31" s="5" t="n">
        <v>562603267</v>
      </c>
      <c r="E31" s="6" t="inlineStr">
        <is>
          <t>HF499452983</t>
        </is>
      </c>
      <c r="F31" s="6" t="inlineStr">
        <is>
          <t>06/17/2026</t>
        </is>
      </c>
      <c r="G31" s="6" t="inlineStr">
        <is>
          <t>UnitedHealthcare Community Plan / Arizona Long Term Care</t>
        </is>
      </c>
      <c r="H31" s="6" t="inlineStr">
        <is>
          <t>UnitedHealthcare Community Plan / Arizona Long Term Care</t>
        </is>
      </c>
      <c r="I31" s="6" t="inlineStr">
        <is>
          <t>No Payer</t>
        </is>
      </c>
      <c r="J31" s="6" t="inlineStr">
        <is>
          <t>99494</t>
        </is>
      </c>
      <c r="K31" s="4" t="n"/>
      <c r="L31" s="5">
        <f>IF($M31="","",$M31-TODAY())</f>
        <v/>
      </c>
      <c r="M31" s="7" t="n">
        <v>46280</v>
      </c>
      <c r="N31" s="6" t="inlineStr">
        <is>
          <t>90 days</t>
        </is>
      </c>
      <c r="O31" s="6" t="inlineStr">
        <is>
          <t>UHC COMMUNITY</t>
        </is>
      </c>
      <c r="P31" s="6" t="n"/>
      <c r="Q31" s="6" t="n"/>
      <c r="R31" s="6" t="n"/>
      <c r="S31" s="5" t="n">
        <v>2</v>
      </c>
      <c r="T31" s="8" t="n">
        <v>792.54</v>
      </c>
      <c r="U31" s="8" t="n">
        <v>0</v>
      </c>
      <c r="V31" s="8" t="n">
        <v>0</v>
      </c>
      <c r="W31" s="6" t="n"/>
      <c r="X31" s="8" t="n">
        <v>792.54</v>
      </c>
      <c r="Y31" s="5" t="n">
        <v>52</v>
      </c>
      <c r="Z31" s="6" t="inlineStr">
        <is>
          <t>F39</t>
        </is>
      </c>
      <c r="AA31" s="6" t="n"/>
      <c r="AB31" s="6" t="n"/>
      <c r="AC31" s="6" t="n"/>
      <c r="AD31" s="5" t="n"/>
      <c r="AE31" s="6" t="inlineStr">
        <is>
          <t>KALLGREN, MARK</t>
        </is>
      </c>
      <c r="AF31" s="6" t="inlineStr">
        <is>
          <t>ASAP - Gilbert</t>
        </is>
      </c>
      <c r="AG31" s="6" t="inlineStr">
        <is>
          <t>07/14/2026</t>
        </is>
      </c>
      <c r="AH31" s="6" t="inlineStr">
        <is>
          <t>BH</t>
        </is>
      </c>
      <c r="AI31" s="9" t="n"/>
      <c r="AJ31" s="5" t="n">
        <v>641</v>
      </c>
    </row>
    <row r="32">
      <c r="A32" s="2" t="n"/>
      <c r="B32" s="3" t="n"/>
      <c r="C32" s="4" t="n"/>
      <c r="D32" s="5" t="n">
        <v>562603267</v>
      </c>
      <c r="E32" s="6" t="inlineStr">
        <is>
          <t>HF499452983</t>
        </is>
      </c>
      <c r="F32" s="6" t="inlineStr">
        <is>
          <t>06/17/2026</t>
        </is>
      </c>
      <c r="G32" s="6" t="inlineStr">
        <is>
          <t>UnitedHealthcare Community Plan / Arizona Long Term Care</t>
        </is>
      </c>
      <c r="H32" s="6" t="inlineStr">
        <is>
          <t>UnitedHealthcare Community Plan / Arizona Long Term Care</t>
        </is>
      </c>
      <c r="I32" s="6" t="inlineStr">
        <is>
          <t>No Payer</t>
        </is>
      </c>
      <c r="J32" s="6" t="inlineStr">
        <is>
          <t>99493</t>
        </is>
      </c>
      <c r="K32" s="4" t="n"/>
      <c r="L32" s="5">
        <f>IF($M32="","",$M32-TODAY())</f>
        <v/>
      </c>
      <c r="M32" s="7" t="n">
        <v>46280</v>
      </c>
      <c r="N32" s="6" t="inlineStr">
        <is>
          <t>90 days</t>
        </is>
      </c>
      <c r="O32" s="6" t="inlineStr">
        <is>
          <t>UHC COMMUNITY</t>
        </is>
      </c>
      <c r="P32" s="6" t="n"/>
      <c r="Q32" s="6" t="n"/>
      <c r="R32" s="6" t="n"/>
      <c r="S32" s="5" t="n">
        <v>1</v>
      </c>
      <c r="T32" s="8" t="n">
        <v>976.64</v>
      </c>
      <c r="U32" s="8" t="n">
        <v>0</v>
      </c>
      <c r="V32" s="8" t="n">
        <v>0</v>
      </c>
      <c r="W32" s="6" t="n"/>
      <c r="X32" s="8" t="n">
        <v>976.64</v>
      </c>
      <c r="Y32" s="5" t="n">
        <v>52</v>
      </c>
      <c r="Z32" s="6" t="inlineStr">
        <is>
          <t>F39</t>
        </is>
      </c>
      <c r="AA32" s="6" t="n"/>
      <c r="AB32" s="6" t="n"/>
      <c r="AC32" s="6" t="n"/>
      <c r="AD32" s="5" t="n"/>
      <c r="AE32" s="6" t="inlineStr">
        <is>
          <t>KALLGREN, MARK</t>
        </is>
      </c>
      <c r="AF32" s="6" t="inlineStr">
        <is>
          <t>ASAP - Gilbert</t>
        </is>
      </c>
      <c r="AG32" s="6" t="inlineStr">
        <is>
          <t>07/14/2026</t>
        </is>
      </c>
      <c r="AH32" s="6" t="inlineStr">
        <is>
          <t>BH</t>
        </is>
      </c>
      <c r="AI32" s="9" t="n"/>
      <c r="AJ32" s="5" t="n">
        <v>642</v>
      </c>
    </row>
    <row r="33">
      <c r="A33" s="2" t="n"/>
      <c r="B33" s="3" t="n"/>
      <c r="C33" s="4" t="n"/>
      <c r="D33" s="5" t="n">
        <v>562803289</v>
      </c>
      <c r="E33" s="6" t="inlineStr">
        <is>
          <t>HF441046082</t>
        </is>
      </c>
      <c r="F33" s="6" t="inlineStr">
        <is>
          <t>06/18/2026</t>
        </is>
      </c>
      <c r="G33" s="6" t="inlineStr">
        <is>
          <t>United Healthcare</t>
        </is>
      </c>
      <c r="H33" s="6" t="inlineStr">
        <is>
          <t>United Healthcare</t>
        </is>
      </c>
      <c r="I33" s="6" t="inlineStr">
        <is>
          <t>No Payer</t>
        </is>
      </c>
      <c r="J33" s="6" t="inlineStr">
        <is>
          <t>99494</t>
        </is>
      </c>
      <c r="K33" s="4" t="n"/>
      <c r="L33" s="5">
        <f>IF($M33="","",$M33-TODAY())</f>
        <v/>
      </c>
      <c r="M33" s="7" t="n">
        <v>46281</v>
      </c>
      <c r="N33" s="6" t="inlineStr">
        <is>
          <t>90 days</t>
        </is>
      </c>
      <c r="O33" s="6" t="inlineStr">
        <is>
          <t>UHC COMMERCIAL</t>
        </is>
      </c>
      <c r="P33" s="6" t="n"/>
      <c r="Q33" s="6" t="n"/>
      <c r="R33" s="6" t="n"/>
      <c r="S33" s="5" t="n">
        <v>1</v>
      </c>
      <c r="T33" s="8" t="n">
        <v>396.27</v>
      </c>
      <c r="U33" s="8" t="n">
        <v>0</v>
      </c>
      <c r="V33" s="8" t="n">
        <v>0</v>
      </c>
      <c r="W33" s="6" t="n"/>
      <c r="X33" s="8" t="n">
        <v>396.27</v>
      </c>
      <c r="Y33" s="5" t="n">
        <v>51</v>
      </c>
      <c r="Z33" s="6" t="inlineStr">
        <is>
          <t>F4320</t>
        </is>
      </c>
      <c r="AA33" s="6" t="n"/>
      <c r="AB33" s="6" t="n"/>
      <c r="AC33" s="6" t="n"/>
      <c r="AD33" s="5" t="n"/>
      <c r="AE33" s="6" t="inlineStr">
        <is>
          <t>LUKE, TIMOTHY</t>
        </is>
      </c>
      <c r="AF33" s="6" t="inlineStr">
        <is>
          <t>ASAP - Avondale</t>
        </is>
      </c>
      <c r="AG33" s="6" t="inlineStr">
        <is>
          <t>07/14/2026</t>
        </is>
      </c>
      <c r="AH33" s="6" t="inlineStr">
        <is>
          <t>BH</t>
        </is>
      </c>
      <c r="AI33" s="9" t="n"/>
      <c r="AJ33" s="5" t="n">
        <v>1000</v>
      </c>
    </row>
    <row r="34">
      <c r="A34" s="2" t="n"/>
      <c r="B34" s="3" t="n"/>
      <c r="C34" s="4" t="n"/>
      <c r="D34" s="5" t="n">
        <v>562803289</v>
      </c>
      <c r="E34" s="6" t="inlineStr">
        <is>
          <t>HF441046082</t>
        </is>
      </c>
      <c r="F34" s="6" t="inlineStr">
        <is>
          <t>06/18/2026</t>
        </is>
      </c>
      <c r="G34" s="6" t="inlineStr">
        <is>
          <t>United Healthcare</t>
        </is>
      </c>
      <c r="H34" s="6" t="inlineStr">
        <is>
          <t>United Healthcare</t>
        </is>
      </c>
      <c r="I34" s="6" t="inlineStr">
        <is>
          <t>No Payer</t>
        </is>
      </c>
      <c r="J34" s="6" t="inlineStr">
        <is>
          <t>99492</t>
        </is>
      </c>
      <c r="K34" s="4" t="n"/>
      <c r="L34" s="5">
        <f>IF($M34="","",$M34-TODAY())</f>
        <v/>
      </c>
      <c r="M34" s="7" t="n">
        <v>46281</v>
      </c>
      <c r="N34" s="6" t="inlineStr">
        <is>
          <t>90 days</t>
        </is>
      </c>
      <c r="O34" s="6" t="inlineStr">
        <is>
          <t>UHC COMMERCIAL</t>
        </is>
      </c>
      <c r="P34" s="6" t="n"/>
      <c r="Q34" s="6" t="n"/>
      <c r="R34" s="6" t="n"/>
      <c r="S34" s="5" t="n">
        <v>1</v>
      </c>
      <c r="T34" s="8" t="n">
        <v>1029.98</v>
      </c>
      <c r="U34" s="8" t="n">
        <v>0</v>
      </c>
      <c r="V34" s="8" t="n">
        <v>0</v>
      </c>
      <c r="W34" s="6" t="n"/>
      <c r="X34" s="8" t="n">
        <v>1029.98</v>
      </c>
      <c r="Y34" s="5" t="n">
        <v>51</v>
      </c>
      <c r="Z34" s="6" t="inlineStr">
        <is>
          <t>F4320</t>
        </is>
      </c>
      <c r="AA34" s="6" t="n"/>
      <c r="AB34" s="6" t="n"/>
      <c r="AC34" s="6" t="n"/>
      <c r="AD34" s="5" t="n"/>
      <c r="AE34" s="6" t="inlineStr">
        <is>
          <t>LUKE, TIMOTHY</t>
        </is>
      </c>
      <c r="AF34" s="6" t="inlineStr">
        <is>
          <t>ASAP - Avondale</t>
        </is>
      </c>
      <c r="AG34" s="6" t="inlineStr">
        <is>
          <t>07/14/2026</t>
        </is>
      </c>
      <c r="AH34" s="6" t="inlineStr">
        <is>
          <t>BH</t>
        </is>
      </c>
      <c r="AI34" s="9" t="n"/>
      <c r="AJ34" s="5" t="n">
        <v>1001</v>
      </c>
    </row>
    <row r="35">
      <c r="A35" s="2" t="n"/>
      <c r="B35" s="3" t="n"/>
      <c r="C35" s="4" t="n"/>
      <c r="D35" s="5" t="n">
        <v>563023433</v>
      </c>
      <c r="E35" s="6" t="inlineStr">
        <is>
          <t>HF561451630</t>
        </is>
      </c>
      <c r="F35" s="6" t="inlineStr">
        <is>
          <t>06/22/2026</t>
        </is>
      </c>
      <c r="G35" s="6" t="inlineStr">
        <is>
          <t>Blue Cross Blue Shield of Arizona (BCBS AZ)</t>
        </is>
      </c>
      <c r="H35" s="6" t="inlineStr">
        <is>
          <t>Blue Cross Blue Shield of Arizona (BCBS AZ)</t>
        </is>
      </c>
      <c r="I35" s="6" t="inlineStr">
        <is>
          <t>No Payer</t>
        </is>
      </c>
      <c r="J35" s="6" t="inlineStr">
        <is>
          <t>99484</t>
        </is>
      </c>
      <c r="K35" s="4" t="n"/>
      <c r="L35" s="5">
        <f>IF($M35="","",$M35-TODAY())</f>
        <v/>
      </c>
      <c r="M35" s="7" t="n">
        <v>46285</v>
      </c>
      <c r="N35" s="6" t="inlineStr">
        <is>
          <t>90 days</t>
        </is>
      </c>
      <c r="O35" s="6" t="inlineStr">
        <is>
          <t>BCBS</t>
        </is>
      </c>
      <c r="P35" s="6" t="n"/>
      <c r="Q35" s="6" t="n"/>
      <c r="R35" s="6" t="n"/>
      <c r="S35" s="5" t="n">
        <v>1</v>
      </c>
      <c r="T35" s="8" t="n">
        <v>294.42</v>
      </c>
      <c r="U35" s="8" t="n">
        <v>0</v>
      </c>
      <c r="V35" s="8" t="n">
        <v>0</v>
      </c>
      <c r="W35" s="6" t="n"/>
      <c r="X35" s="8" t="n">
        <v>294.42</v>
      </c>
      <c r="Y35" s="5" t="n">
        <v>47</v>
      </c>
      <c r="Z35" s="6" t="inlineStr">
        <is>
          <t>Z79891</t>
        </is>
      </c>
      <c r="AA35" s="6" t="inlineStr">
        <is>
          <t>Z1331</t>
        </is>
      </c>
      <c r="AB35" s="6" t="n"/>
      <c r="AC35" s="6" t="n"/>
      <c r="AD35" s="5" t="n"/>
      <c r="AE35" s="6" t="inlineStr">
        <is>
          <t>WILSON, JARED</t>
        </is>
      </c>
      <c r="AF35" s="6" t="inlineStr">
        <is>
          <t>ASAP - Tucson</t>
        </is>
      </c>
      <c r="AG35" s="6" t="inlineStr">
        <is>
          <t>07/31/2026</t>
        </is>
      </c>
      <c r="AH35" s="6" t="inlineStr">
        <is>
          <t>BH</t>
        </is>
      </c>
      <c r="AI35" s="9" t="inlineStr">
        <is>
          <t>BCBS AZ dropped from 365 to 90 days on 01/01/2026. All dates of service here are 2026, so 90 days applies.</t>
        </is>
      </c>
      <c r="AJ35" s="5" t="n">
        <v>643</v>
      </c>
    </row>
    <row r="36">
      <c r="A36" s="2" t="n"/>
      <c r="B36" s="3" t="n"/>
      <c r="C36" s="4" t="n"/>
      <c r="D36" s="5" t="n">
        <v>563287939</v>
      </c>
      <c r="E36" s="6" t="inlineStr">
        <is>
          <t>HF551927338</t>
        </is>
      </c>
      <c r="F36" s="6" t="inlineStr">
        <is>
          <t>06/22/2026</t>
        </is>
      </c>
      <c r="G36" s="6" t="inlineStr">
        <is>
          <t>UnitedHealthcare Community Plan / Arizona Long Term Care</t>
        </is>
      </c>
      <c r="H36" s="6" t="inlineStr">
        <is>
          <t>UnitedHealthcare Community Plan / Arizona Long Term Care</t>
        </is>
      </c>
      <c r="I36" s="6" t="inlineStr">
        <is>
          <t>No Payer</t>
        </is>
      </c>
      <c r="J36" s="6" t="inlineStr">
        <is>
          <t>99494</t>
        </is>
      </c>
      <c r="K36" s="4" t="n"/>
      <c r="L36" s="5">
        <f>IF($M36="","",$M36-TODAY())</f>
        <v/>
      </c>
      <c r="M36" s="7" t="n">
        <v>46285</v>
      </c>
      <c r="N36" s="6" t="inlineStr">
        <is>
          <t>90 days</t>
        </is>
      </c>
      <c r="O36" s="6" t="inlineStr">
        <is>
          <t>UHC COMMUNITY</t>
        </is>
      </c>
      <c r="P36" s="6" t="n"/>
      <c r="Q36" s="6" t="n"/>
      <c r="R36" s="6" t="n"/>
      <c r="S36" s="5" t="n">
        <v>1</v>
      </c>
      <c r="T36" s="8" t="n">
        <v>396.27</v>
      </c>
      <c r="U36" s="8" t="n">
        <v>0</v>
      </c>
      <c r="V36" s="8" t="n">
        <v>0</v>
      </c>
      <c r="W36" s="6" t="n"/>
      <c r="X36" s="8" t="n">
        <v>396.27</v>
      </c>
      <c r="Y36" s="5" t="n">
        <v>47</v>
      </c>
      <c r="Z36" s="6" t="inlineStr">
        <is>
          <t>F4323</t>
        </is>
      </c>
      <c r="AA36" s="6" t="n"/>
      <c r="AB36" s="6" t="n"/>
      <c r="AC36" s="6" t="n"/>
      <c r="AD36" s="5" t="n"/>
      <c r="AE36" s="6" t="inlineStr">
        <is>
          <t>KRAUSE, JEFFREY</t>
        </is>
      </c>
      <c r="AF36" s="6" t="inlineStr">
        <is>
          <t>ASAP Peoria</t>
        </is>
      </c>
      <c r="AG36" s="6" t="inlineStr">
        <is>
          <t>07/14/2026</t>
        </is>
      </c>
      <c r="AH36" s="6" t="inlineStr">
        <is>
          <t>BH</t>
        </is>
      </c>
      <c r="AI36" s="9" t="n"/>
      <c r="AJ36" s="5" t="n">
        <v>225</v>
      </c>
    </row>
    <row r="37">
      <c r="A37" s="2" t="n"/>
      <c r="B37" s="3" t="n"/>
      <c r="C37" s="4" t="n"/>
      <c r="D37" s="5" t="n">
        <v>563287939</v>
      </c>
      <c r="E37" s="6" t="inlineStr">
        <is>
          <t>HF551927338</t>
        </is>
      </c>
      <c r="F37" s="6" t="inlineStr">
        <is>
          <t>06/22/2026</t>
        </is>
      </c>
      <c r="G37" s="6" t="inlineStr">
        <is>
          <t>UnitedHealthcare Community Plan / Arizona Long Term Care</t>
        </is>
      </c>
      <c r="H37" s="6" t="inlineStr">
        <is>
          <t>UnitedHealthcare Community Plan / Arizona Long Term Care</t>
        </is>
      </c>
      <c r="I37" s="6" t="inlineStr">
        <is>
          <t>No Payer</t>
        </is>
      </c>
      <c r="J37" s="6" t="inlineStr">
        <is>
          <t>99492</t>
        </is>
      </c>
      <c r="K37" s="4" t="n"/>
      <c r="L37" s="5">
        <f>IF($M37="","",$M37-TODAY())</f>
        <v/>
      </c>
      <c r="M37" s="7" t="n">
        <v>46285</v>
      </c>
      <c r="N37" s="6" t="inlineStr">
        <is>
          <t>90 days</t>
        </is>
      </c>
      <c r="O37" s="6" t="inlineStr">
        <is>
          <t>UHC COMMUNITY</t>
        </is>
      </c>
      <c r="P37" s="6" t="n"/>
      <c r="Q37" s="6" t="n"/>
      <c r="R37" s="6" t="n"/>
      <c r="S37" s="5" t="n">
        <v>1</v>
      </c>
      <c r="T37" s="8" t="n">
        <v>1029.98</v>
      </c>
      <c r="U37" s="8" t="n">
        <v>0</v>
      </c>
      <c r="V37" s="8" t="n">
        <v>0</v>
      </c>
      <c r="W37" s="6" t="n"/>
      <c r="X37" s="8" t="n">
        <v>1029.98</v>
      </c>
      <c r="Y37" s="5" t="n">
        <v>47</v>
      </c>
      <c r="Z37" s="6" t="inlineStr">
        <is>
          <t>F4323</t>
        </is>
      </c>
      <c r="AA37" s="6" t="n"/>
      <c r="AB37" s="6" t="n"/>
      <c r="AC37" s="6" t="n"/>
      <c r="AD37" s="5" t="n"/>
      <c r="AE37" s="6" t="inlineStr">
        <is>
          <t>KRAUSE, JEFFREY</t>
        </is>
      </c>
      <c r="AF37" s="6" t="inlineStr">
        <is>
          <t>ASAP Peoria</t>
        </is>
      </c>
      <c r="AG37" s="6" t="inlineStr">
        <is>
          <t>07/14/2026</t>
        </is>
      </c>
      <c r="AH37" s="6" t="inlineStr">
        <is>
          <t>BH</t>
        </is>
      </c>
      <c r="AI37" s="9" t="n"/>
      <c r="AJ37" s="5" t="n">
        <v>226</v>
      </c>
    </row>
    <row r="38">
      <c r="A38" s="2" t="n"/>
      <c r="B38" s="3" t="n"/>
      <c r="C38" s="4" t="n"/>
      <c r="D38" s="5" t="n">
        <v>563304325</v>
      </c>
      <c r="E38" s="6" t="inlineStr">
        <is>
          <t>HF560594716</t>
        </is>
      </c>
      <c r="F38" s="6" t="inlineStr">
        <is>
          <t>06/24/2026</t>
        </is>
      </c>
      <c r="G38" s="6" t="inlineStr">
        <is>
          <t>United Healthcare</t>
        </is>
      </c>
      <c r="H38" s="6" t="inlineStr">
        <is>
          <t>United Healthcare</t>
        </is>
      </c>
      <c r="I38" s="6" t="inlineStr">
        <is>
          <t>No Payer</t>
        </is>
      </c>
      <c r="J38" s="6" t="inlineStr">
        <is>
          <t>99484</t>
        </is>
      </c>
      <c r="K38" s="4" t="n"/>
      <c r="L38" s="5">
        <f>IF($M38="","",$M38-TODAY())</f>
        <v/>
      </c>
      <c r="M38" s="7" t="n">
        <v>46287</v>
      </c>
      <c r="N38" s="6" t="inlineStr">
        <is>
          <t>90 days</t>
        </is>
      </c>
      <c r="O38" s="6" t="inlineStr">
        <is>
          <t>UHC COMMERCIAL</t>
        </is>
      </c>
      <c r="P38" s="6" t="n"/>
      <c r="Q38" s="6" t="n"/>
      <c r="R38" s="6" t="n"/>
      <c r="S38" s="5" t="n">
        <v>1</v>
      </c>
      <c r="T38" s="8" t="n">
        <v>294.42</v>
      </c>
      <c r="U38" s="8" t="n">
        <v>0</v>
      </c>
      <c r="V38" s="8" t="n">
        <v>0</v>
      </c>
      <c r="W38" s="6" t="n"/>
      <c r="X38" s="8" t="n">
        <v>294.42</v>
      </c>
      <c r="Y38" s="5" t="n">
        <v>45</v>
      </c>
      <c r="Z38" s="6" t="inlineStr">
        <is>
          <t>Z79891</t>
        </is>
      </c>
      <c r="AA38" s="6" t="inlineStr">
        <is>
          <t>Z1331</t>
        </is>
      </c>
      <c r="AB38" s="6" t="n"/>
      <c r="AC38" s="6" t="n"/>
      <c r="AD38" s="5" t="n"/>
      <c r="AE38" s="6" t="inlineStr">
        <is>
          <t>WILSON, JARED</t>
        </is>
      </c>
      <c r="AF38" s="6" t="inlineStr">
        <is>
          <t>ASAP - Tucson</t>
        </is>
      </c>
      <c r="AG38" s="6" t="inlineStr">
        <is>
          <t>07/30/2026</t>
        </is>
      </c>
      <c r="AH38" s="6" t="inlineStr">
        <is>
          <t>BH</t>
        </is>
      </c>
      <c r="AI38" s="9" t="n"/>
      <c r="AJ38" s="5" t="n">
        <v>970</v>
      </c>
    </row>
    <row r="39">
      <c r="A39" s="2" t="n"/>
      <c r="B39" s="3" t="n"/>
      <c r="C39" s="4" t="n"/>
      <c r="D39" s="5" t="n">
        <v>563477944</v>
      </c>
      <c r="E39" s="6" t="inlineStr">
        <is>
          <t>HF560559288</t>
        </is>
      </c>
      <c r="F39" s="6" t="inlineStr">
        <is>
          <t>06/25/2026</t>
        </is>
      </c>
      <c r="G39" s="6" t="inlineStr">
        <is>
          <t>United Healthcare</t>
        </is>
      </c>
      <c r="H39" s="6" t="inlineStr">
        <is>
          <t>United Healthcare</t>
        </is>
      </c>
      <c r="I39" s="6" t="inlineStr">
        <is>
          <t>No Payer</t>
        </is>
      </c>
      <c r="J39" s="6" t="inlineStr">
        <is>
          <t>99494</t>
        </is>
      </c>
      <c r="K39" s="4" t="n"/>
      <c r="L39" s="5">
        <f>IF($M39="","",$M39-TODAY())</f>
        <v/>
      </c>
      <c r="M39" s="7" t="n">
        <v>46288</v>
      </c>
      <c r="N39" s="6" t="inlineStr">
        <is>
          <t>90 days</t>
        </is>
      </c>
      <c r="O39" s="6" t="inlineStr">
        <is>
          <t>UHC COMMERCIAL</t>
        </is>
      </c>
      <c r="P39" s="6" t="n"/>
      <c r="Q39" s="6" t="n"/>
      <c r="R39" s="6" t="n"/>
      <c r="S39" s="5" t="n">
        <v>1</v>
      </c>
      <c r="T39" s="8" t="n">
        <v>396.27</v>
      </c>
      <c r="U39" s="8" t="n">
        <v>0</v>
      </c>
      <c r="V39" s="8" t="n">
        <v>0</v>
      </c>
      <c r="W39" s="6" t="n"/>
      <c r="X39" s="8" t="n">
        <v>396.27</v>
      </c>
      <c r="Y39" s="5" t="n">
        <v>44</v>
      </c>
      <c r="Z39" s="6" t="inlineStr">
        <is>
          <t>F4320</t>
        </is>
      </c>
      <c r="AA39" s="6" t="n"/>
      <c r="AB39" s="6" t="n"/>
      <c r="AC39" s="6" t="n"/>
      <c r="AD39" s="5" t="n"/>
      <c r="AE39" s="6" t="inlineStr">
        <is>
          <t>CURRIE, DAVID</t>
        </is>
      </c>
      <c r="AF39" s="6" t="inlineStr">
        <is>
          <t>ASAP - Avondale</t>
        </is>
      </c>
      <c r="AG39" s="6" t="inlineStr">
        <is>
          <t>07/14/2026</t>
        </is>
      </c>
      <c r="AH39" s="6" t="inlineStr">
        <is>
          <t>BH</t>
        </is>
      </c>
      <c r="AI39" s="9" t="n"/>
      <c r="AJ39" s="5" t="n">
        <v>302</v>
      </c>
    </row>
    <row r="40">
      <c r="A40" s="2" t="n"/>
      <c r="B40" s="3" t="n"/>
      <c r="C40" s="4" t="n"/>
      <c r="D40" s="5" t="n">
        <v>563477944</v>
      </c>
      <c r="E40" s="6" t="inlineStr">
        <is>
          <t>HF560559288</t>
        </is>
      </c>
      <c r="F40" s="6" t="inlineStr">
        <is>
          <t>06/25/2026</t>
        </is>
      </c>
      <c r="G40" s="6" t="inlineStr">
        <is>
          <t>United Healthcare</t>
        </is>
      </c>
      <c r="H40" s="6" t="inlineStr">
        <is>
          <t>United Healthcare</t>
        </is>
      </c>
      <c r="I40" s="6" t="inlineStr">
        <is>
          <t>No Payer</t>
        </is>
      </c>
      <c r="J40" s="6" t="inlineStr">
        <is>
          <t>99492</t>
        </is>
      </c>
      <c r="K40" s="4" t="n"/>
      <c r="L40" s="5">
        <f>IF($M40="","",$M40-TODAY())</f>
        <v/>
      </c>
      <c r="M40" s="7" t="n">
        <v>46288</v>
      </c>
      <c r="N40" s="6" t="inlineStr">
        <is>
          <t>90 days</t>
        </is>
      </c>
      <c r="O40" s="6" t="inlineStr">
        <is>
          <t>UHC COMMERCIAL</t>
        </is>
      </c>
      <c r="P40" s="6" t="n"/>
      <c r="Q40" s="6" t="n"/>
      <c r="R40" s="6" t="n"/>
      <c r="S40" s="5" t="n">
        <v>1</v>
      </c>
      <c r="T40" s="8" t="n">
        <v>1029.98</v>
      </c>
      <c r="U40" s="8" t="n">
        <v>0</v>
      </c>
      <c r="V40" s="8" t="n">
        <v>0</v>
      </c>
      <c r="W40" s="6" t="n"/>
      <c r="X40" s="8" t="n">
        <v>1029.98</v>
      </c>
      <c r="Y40" s="5" t="n">
        <v>44</v>
      </c>
      <c r="Z40" s="6" t="inlineStr">
        <is>
          <t>F4320</t>
        </is>
      </c>
      <c r="AA40" s="6" t="n"/>
      <c r="AB40" s="6" t="n"/>
      <c r="AC40" s="6" t="n"/>
      <c r="AD40" s="5" t="n"/>
      <c r="AE40" s="6" t="inlineStr">
        <is>
          <t>CURRIE, DAVID</t>
        </is>
      </c>
      <c r="AF40" s="6" t="inlineStr">
        <is>
          <t>ASAP - Avondale</t>
        </is>
      </c>
      <c r="AG40" s="6" t="inlineStr">
        <is>
          <t>07/14/2026</t>
        </is>
      </c>
      <c r="AH40" s="6" t="inlineStr">
        <is>
          <t>BH</t>
        </is>
      </c>
      <c r="AI40" s="9" t="n"/>
      <c r="AJ40" s="5" t="n">
        <v>303</v>
      </c>
    </row>
    <row r="41">
      <c r="A41" s="2" t="n"/>
      <c r="B41" s="3" t="n"/>
      <c r="C41" s="4" t="n"/>
      <c r="D41" s="5" t="n">
        <v>563587472</v>
      </c>
      <c r="E41" s="6" t="inlineStr">
        <is>
          <t>HF542993364</t>
        </is>
      </c>
      <c r="F41" s="6" t="inlineStr">
        <is>
          <t>06/25/2026</t>
        </is>
      </c>
      <c r="G41" s="6" t="inlineStr">
        <is>
          <t>United Healthcare</t>
        </is>
      </c>
      <c r="H41" s="6" t="inlineStr">
        <is>
          <t>United Healthcare</t>
        </is>
      </c>
      <c r="I41" s="6" t="inlineStr">
        <is>
          <t>No Payer</t>
        </is>
      </c>
      <c r="J41" s="6" t="inlineStr">
        <is>
          <t>99492</t>
        </is>
      </c>
      <c r="K41" s="4" t="n"/>
      <c r="L41" s="5">
        <f>IF($M41="","",$M41-TODAY())</f>
        <v/>
      </c>
      <c r="M41" s="7" t="n">
        <v>46288</v>
      </c>
      <c r="N41" s="6" t="inlineStr">
        <is>
          <t>90 days</t>
        </is>
      </c>
      <c r="O41" s="6" t="inlineStr">
        <is>
          <t>UHC COMMERCIAL</t>
        </is>
      </c>
      <c r="P41" s="6" t="n"/>
      <c r="Q41" s="6" t="n"/>
      <c r="R41" s="6" t="n"/>
      <c r="S41" s="5" t="n">
        <v>1</v>
      </c>
      <c r="T41" s="8" t="n">
        <v>1029.98</v>
      </c>
      <c r="U41" s="8" t="n">
        <v>0</v>
      </c>
      <c r="V41" s="8" t="n">
        <v>0</v>
      </c>
      <c r="W41" s="6" t="n"/>
      <c r="X41" s="8" t="n">
        <v>1029.98</v>
      </c>
      <c r="Y41" s="5" t="n">
        <v>44</v>
      </c>
      <c r="Z41" s="6" t="inlineStr">
        <is>
          <t>F4323</t>
        </is>
      </c>
      <c r="AA41" s="6" t="n"/>
      <c r="AB41" s="6" t="n"/>
      <c r="AC41" s="6" t="n"/>
      <c r="AD41" s="5" t="n"/>
      <c r="AE41" s="6" t="inlineStr">
        <is>
          <t>SARKAR, AWNIK</t>
        </is>
      </c>
      <c r="AF41" s="6" t="inlineStr">
        <is>
          <t>ASAP - DEER VALLEY</t>
        </is>
      </c>
      <c r="AG41" s="6" t="inlineStr">
        <is>
          <t>07/14/2026</t>
        </is>
      </c>
      <c r="AH41" s="6" t="inlineStr">
        <is>
          <t>BH</t>
        </is>
      </c>
      <c r="AI41" s="9" t="n"/>
      <c r="AJ41" s="5" t="n">
        <v>310</v>
      </c>
    </row>
    <row r="42">
      <c r="A42" s="2" t="n"/>
      <c r="B42" s="3" t="n"/>
      <c r="C42" s="4" t="n"/>
      <c r="D42" s="5" t="n">
        <v>563587472</v>
      </c>
      <c r="E42" s="6" t="inlineStr">
        <is>
          <t>HF542993364</t>
        </is>
      </c>
      <c r="F42" s="6" t="inlineStr">
        <is>
          <t>06/25/2026</t>
        </is>
      </c>
      <c r="G42" s="6" t="inlineStr">
        <is>
          <t>United Healthcare</t>
        </is>
      </c>
      <c r="H42" s="6" t="inlineStr">
        <is>
          <t>United Healthcare</t>
        </is>
      </c>
      <c r="I42" s="6" t="inlineStr">
        <is>
          <t>No Payer</t>
        </is>
      </c>
      <c r="J42" s="6" t="inlineStr">
        <is>
          <t>99494</t>
        </is>
      </c>
      <c r="K42" s="4" t="n"/>
      <c r="L42" s="5">
        <f>IF($M42="","",$M42-TODAY())</f>
        <v/>
      </c>
      <c r="M42" s="7" t="n">
        <v>46288</v>
      </c>
      <c r="N42" s="6" t="inlineStr">
        <is>
          <t>90 days</t>
        </is>
      </c>
      <c r="O42" s="6" t="inlineStr">
        <is>
          <t>UHC COMMERCIAL</t>
        </is>
      </c>
      <c r="P42" s="6" t="n"/>
      <c r="Q42" s="6" t="n"/>
      <c r="R42" s="6" t="n"/>
      <c r="S42" s="5" t="n">
        <v>1</v>
      </c>
      <c r="T42" s="8" t="n">
        <v>396.27</v>
      </c>
      <c r="U42" s="8" t="n">
        <v>0</v>
      </c>
      <c r="V42" s="8" t="n">
        <v>0</v>
      </c>
      <c r="W42" s="6" t="n"/>
      <c r="X42" s="8" t="n">
        <v>396.27</v>
      </c>
      <c r="Y42" s="5" t="n">
        <v>44</v>
      </c>
      <c r="Z42" s="6" t="inlineStr">
        <is>
          <t>F4323</t>
        </is>
      </c>
      <c r="AA42" s="6" t="n"/>
      <c r="AB42" s="6" t="n"/>
      <c r="AC42" s="6" t="n"/>
      <c r="AD42" s="5" t="n"/>
      <c r="AE42" s="6" t="inlineStr">
        <is>
          <t>SARKAR, AWNIK</t>
        </is>
      </c>
      <c r="AF42" s="6" t="inlineStr">
        <is>
          <t>ASAP - DEER VALLEY</t>
        </is>
      </c>
      <c r="AG42" s="6" t="inlineStr">
        <is>
          <t>07/14/2026</t>
        </is>
      </c>
      <c r="AH42" s="6" t="inlineStr">
        <is>
          <t>BH</t>
        </is>
      </c>
      <c r="AI42" s="9" t="n"/>
      <c r="AJ42" s="5" t="n">
        <v>311</v>
      </c>
    </row>
    <row r="43">
      <c r="A43" s="2" t="n"/>
      <c r="B43" s="3" t="n"/>
      <c r="C43" s="4" t="n"/>
      <c r="D43" s="5" t="n">
        <v>563573367</v>
      </c>
      <c r="E43" s="6" t="inlineStr">
        <is>
          <t>HF559534762</t>
        </is>
      </c>
      <c r="F43" s="6" t="inlineStr">
        <is>
          <t>06/26/2026</t>
        </is>
      </c>
      <c r="G43" s="6" t="inlineStr">
        <is>
          <t>Optum Care Medical Network of Arizona, Utah, &amp; Washington (LifePrint)</t>
        </is>
      </c>
      <c r="H43" s="6" t="inlineStr">
        <is>
          <t>Optum Care Medical Network of Arizona, Utah, &amp; Washington (LifePrint)</t>
        </is>
      </c>
      <c r="I43" s="6" t="inlineStr">
        <is>
          <t>No Payer</t>
        </is>
      </c>
      <c r="J43" s="6" t="inlineStr">
        <is>
          <t>99484</t>
        </is>
      </c>
      <c r="K43" s="4" t="n"/>
      <c r="L43" s="5">
        <f>IF($M43="","",$M43-TODAY())</f>
        <v/>
      </c>
      <c r="M43" s="7" t="n">
        <v>46289</v>
      </c>
      <c r="N43" s="6" t="inlineStr">
        <is>
          <t>90 days</t>
        </is>
      </c>
      <c r="O43" s="6" t="inlineStr">
        <is>
          <t>OPTUM</t>
        </is>
      </c>
      <c r="P43" s="6" t="n"/>
      <c r="Q43" s="6" t="n"/>
      <c r="R43" s="6" t="n"/>
      <c r="S43" s="5" t="n">
        <v>1</v>
      </c>
      <c r="T43" s="8" t="n">
        <v>294.42</v>
      </c>
      <c r="U43" s="8" t="n">
        <v>0</v>
      </c>
      <c r="V43" s="8" t="n">
        <v>0</v>
      </c>
      <c r="W43" s="6" t="n"/>
      <c r="X43" s="8" t="n">
        <v>294.42</v>
      </c>
      <c r="Y43" s="5" t="n">
        <v>43</v>
      </c>
      <c r="Z43" s="6" t="inlineStr">
        <is>
          <t>G894</t>
        </is>
      </c>
      <c r="AA43" s="6" t="n"/>
      <c r="AB43" s="6" t="n"/>
      <c r="AC43" s="6" t="n"/>
      <c r="AD43" s="5" t="n"/>
      <c r="AE43" s="6" t="inlineStr">
        <is>
          <t>WILSON, JARED</t>
        </is>
      </c>
      <c r="AF43" s="6" t="inlineStr">
        <is>
          <t>ASAP - Tucson</t>
        </is>
      </c>
      <c r="AG43" s="6" t="inlineStr">
        <is>
          <t>07/30/2026</t>
        </is>
      </c>
      <c r="AH43" s="6" t="inlineStr">
        <is>
          <t>BH</t>
        </is>
      </c>
      <c r="AI43" s="9" t="n"/>
      <c r="AJ43" s="5" t="n">
        <v>1074</v>
      </c>
    </row>
    <row r="44">
      <c r="A44" s="2" t="n"/>
      <c r="B44" s="3" t="n"/>
      <c r="C44" s="4" t="n"/>
      <c r="D44" s="5" t="n">
        <v>563581475</v>
      </c>
      <c r="E44" s="6" t="inlineStr">
        <is>
          <t>HF563227502</t>
        </is>
      </c>
      <c r="F44" s="6" t="inlineStr">
        <is>
          <t>06/26/2026</t>
        </is>
      </c>
      <c r="G44" s="6" t="inlineStr">
        <is>
          <t>Blue Cross Blue Shield of Arizona (BCBS AZ)</t>
        </is>
      </c>
      <c r="H44" s="6" t="inlineStr">
        <is>
          <t>Blue Cross Blue Shield of Arizona (BCBS AZ)</t>
        </is>
      </c>
      <c r="I44" s="6" t="inlineStr">
        <is>
          <t>No Payer</t>
        </is>
      </c>
      <c r="J44" s="6" t="inlineStr">
        <is>
          <t>99484</t>
        </is>
      </c>
      <c r="K44" s="4" t="n"/>
      <c r="L44" s="5">
        <f>IF($M44="","",$M44-TODAY())</f>
        <v/>
      </c>
      <c r="M44" s="7" t="n">
        <v>46289</v>
      </c>
      <c r="N44" s="6" t="inlineStr">
        <is>
          <t>90 days</t>
        </is>
      </c>
      <c r="O44" s="6" t="inlineStr">
        <is>
          <t>BCBS</t>
        </is>
      </c>
      <c r="P44" s="6" t="inlineStr">
        <is>
          <t>95</t>
        </is>
      </c>
      <c r="Q44" s="6" t="n"/>
      <c r="R44" s="6" t="n"/>
      <c r="S44" s="5" t="n">
        <v>1</v>
      </c>
      <c r="T44" s="8" t="n">
        <v>294.42</v>
      </c>
      <c r="U44" s="8" t="n">
        <v>0</v>
      </c>
      <c r="V44" s="8" t="n">
        <v>0</v>
      </c>
      <c r="W44" s="6" t="n"/>
      <c r="X44" s="8" t="n">
        <v>294.42</v>
      </c>
      <c r="Y44" s="5" t="n">
        <v>43</v>
      </c>
      <c r="Z44" s="6" t="inlineStr">
        <is>
          <t>G8921</t>
        </is>
      </c>
      <c r="AA44" s="6" t="inlineStr">
        <is>
          <t>M792</t>
        </is>
      </c>
      <c r="AB44" s="6" t="inlineStr">
        <is>
          <t>M79601</t>
        </is>
      </c>
      <c r="AC44" s="6" t="inlineStr">
        <is>
          <t>M25531</t>
        </is>
      </c>
      <c r="AD44" s="5" t="n"/>
      <c r="AE44" s="6" t="inlineStr">
        <is>
          <t>WILSON, JARED</t>
        </is>
      </c>
      <c r="AF44" s="6" t="inlineStr">
        <is>
          <t>ASAP - Tucson</t>
        </is>
      </c>
      <c r="AG44" s="6" t="inlineStr">
        <is>
          <t>08/06/2026</t>
        </is>
      </c>
      <c r="AH44" s="6" t="inlineStr">
        <is>
          <t>BH</t>
        </is>
      </c>
      <c r="AI44" s="9" t="inlineStr">
        <is>
          <t>BCBS AZ dropped from 365 to 90 days on 01/01/2026. All dates of service here are 2026, so 90 days applies.</t>
        </is>
      </c>
      <c r="AJ44" s="5" t="n">
        <v>493</v>
      </c>
    </row>
    <row r="45">
      <c r="A45" s="2" t="n"/>
      <c r="B45" s="3" t="n"/>
      <c r="C45" s="4" t="n"/>
      <c r="D45" s="5" t="n">
        <v>563651746</v>
      </c>
      <c r="E45" s="6" t="inlineStr">
        <is>
          <t>HF515993669</t>
        </is>
      </c>
      <c r="F45" s="6" t="inlineStr">
        <is>
          <t>06/26/2026</t>
        </is>
      </c>
      <c r="G45" s="6" t="inlineStr">
        <is>
          <t>UnitedHealthcare Community Plan / Arizona Long Term Care</t>
        </is>
      </c>
      <c r="H45" s="6" t="inlineStr">
        <is>
          <t>UnitedHealthcare Community Plan / Arizona Long Term Care</t>
        </is>
      </c>
      <c r="I45" s="6" t="inlineStr">
        <is>
          <t>No Payer</t>
        </is>
      </c>
      <c r="J45" s="6" t="inlineStr">
        <is>
          <t>99494</t>
        </is>
      </c>
      <c r="K45" s="4" t="n"/>
      <c r="L45" s="5">
        <f>IF($M45="","",$M45-TODAY())</f>
        <v/>
      </c>
      <c r="M45" s="7" t="n">
        <v>46289</v>
      </c>
      <c r="N45" s="6" t="inlineStr">
        <is>
          <t>90 days</t>
        </is>
      </c>
      <c r="O45" s="6" t="inlineStr">
        <is>
          <t>UHC COMMUNITY</t>
        </is>
      </c>
      <c r="P45" s="6" t="n"/>
      <c r="Q45" s="6" t="n"/>
      <c r="R45" s="6" t="n"/>
      <c r="S45" s="5" t="n">
        <v>1</v>
      </c>
      <c r="T45" s="8" t="n">
        <v>396.27</v>
      </c>
      <c r="U45" s="8" t="n">
        <v>0</v>
      </c>
      <c r="V45" s="8" t="n">
        <v>0</v>
      </c>
      <c r="W45" s="6" t="n"/>
      <c r="X45" s="8" t="n">
        <v>396.27</v>
      </c>
      <c r="Y45" s="5" t="n">
        <v>43</v>
      </c>
      <c r="Z45" s="6" t="inlineStr">
        <is>
          <t>F411</t>
        </is>
      </c>
      <c r="AA45" s="6" t="inlineStr">
        <is>
          <t>F32A</t>
        </is>
      </c>
      <c r="AB45" s="6" t="n"/>
      <c r="AC45" s="6" t="n"/>
      <c r="AD45" s="5" t="n"/>
      <c r="AE45" s="6" t="inlineStr">
        <is>
          <t>BURGHER, ABRAM</t>
        </is>
      </c>
      <c r="AF45" s="6" t="inlineStr">
        <is>
          <t>ASAP - DEER VALLEY</t>
        </is>
      </c>
      <c r="AG45" s="6" t="inlineStr">
        <is>
          <t>07/14/2026</t>
        </is>
      </c>
      <c r="AH45" s="6" t="inlineStr">
        <is>
          <t>BH</t>
        </is>
      </c>
      <c r="AI45" s="9" t="n"/>
      <c r="AJ45" s="5" t="n">
        <v>617</v>
      </c>
    </row>
    <row r="46">
      <c r="A46" s="2" t="n"/>
      <c r="B46" s="3" t="n"/>
      <c r="C46" s="4" t="n"/>
      <c r="D46" s="5" t="n">
        <v>563651746</v>
      </c>
      <c r="E46" s="6" t="inlineStr">
        <is>
          <t>HF515993669</t>
        </is>
      </c>
      <c r="F46" s="6" t="inlineStr">
        <is>
          <t>06/26/2026</t>
        </is>
      </c>
      <c r="G46" s="6" t="inlineStr">
        <is>
          <t>UnitedHealthcare Community Plan / Arizona Long Term Care</t>
        </is>
      </c>
      <c r="H46" s="6" t="inlineStr">
        <is>
          <t>UnitedHealthcare Community Plan / Arizona Long Term Care</t>
        </is>
      </c>
      <c r="I46" s="6" t="inlineStr">
        <is>
          <t>No Payer</t>
        </is>
      </c>
      <c r="J46" s="6" t="inlineStr">
        <is>
          <t>99492</t>
        </is>
      </c>
      <c r="K46" s="4" t="n"/>
      <c r="L46" s="5">
        <f>IF($M46="","",$M46-TODAY())</f>
        <v/>
      </c>
      <c r="M46" s="7" t="n">
        <v>46289</v>
      </c>
      <c r="N46" s="6" t="inlineStr">
        <is>
          <t>90 days</t>
        </is>
      </c>
      <c r="O46" s="6" t="inlineStr">
        <is>
          <t>UHC COMMUNITY</t>
        </is>
      </c>
      <c r="P46" s="6" t="n"/>
      <c r="Q46" s="6" t="n"/>
      <c r="R46" s="6" t="n"/>
      <c r="S46" s="5" t="n">
        <v>1</v>
      </c>
      <c r="T46" s="8" t="n">
        <v>1029.98</v>
      </c>
      <c r="U46" s="8" t="n">
        <v>0</v>
      </c>
      <c r="V46" s="8" t="n">
        <v>0</v>
      </c>
      <c r="W46" s="6" t="n"/>
      <c r="X46" s="8" t="n">
        <v>1029.98</v>
      </c>
      <c r="Y46" s="5" t="n">
        <v>43</v>
      </c>
      <c r="Z46" s="6" t="inlineStr">
        <is>
          <t>F411</t>
        </is>
      </c>
      <c r="AA46" s="6" t="inlineStr">
        <is>
          <t>F32A</t>
        </is>
      </c>
      <c r="AB46" s="6" t="n"/>
      <c r="AC46" s="6" t="n"/>
      <c r="AD46" s="5" t="n"/>
      <c r="AE46" s="6" t="inlineStr">
        <is>
          <t>BURGHER, ABRAM</t>
        </is>
      </c>
      <c r="AF46" s="6" t="inlineStr">
        <is>
          <t>ASAP - DEER VALLEY</t>
        </is>
      </c>
      <c r="AG46" s="6" t="inlineStr">
        <is>
          <t>07/14/2026</t>
        </is>
      </c>
      <c r="AH46" s="6" t="inlineStr">
        <is>
          <t>BH</t>
        </is>
      </c>
      <c r="AI46" s="9" t="n"/>
      <c r="AJ46" s="5" t="n">
        <v>618</v>
      </c>
    </row>
    <row r="47">
      <c r="A47" s="2" t="n"/>
      <c r="B47" s="3" t="n"/>
      <c r="C47" s="4" t="n"/>
      <c r="D47" s="5" t="n">
        <v>563878935</v>
      </c>
      <c r="E47" s="6" t="inlineStr">
        <is>
          <t>HF427642543</t>
        </is>
      </c>
      <c r="F47" s="6" t="inlineStr">
        <is>
          <t>06/30/2026</t>
        </is>
      </c>
      <c r="G47" s="6" t="inlineStr">
        <is>
          <t>UnitedHealthcare Community Plan / Arizona Long Term Care</t>
        </is>
      </c>
      <c r="H47" s="6" t="inlineStr">
        <is>
          <t>UnitedHealthcare Community Plan / Arizona Long Term Care</t>
        </is>
      </c>
      <c r="I47" s="6" t="inlineStr">
        <is>
          <t>No Payer</t>
        </is>
      </c>
      <c r="J47" s="6" t="inlineStr">
        <is>
          <t>99492</t>
        </is>
      </c>
      <c r="K47" s="4" t="n"/>
      <c r="L47" s="5">
        <f>IF($M47="","",$M47-TODAY())</f>
        <v/>
      </c>
      <c r="M47" s="7" t="n">
        <v>46293</v>
      </c>
      <c r="N47" s="6" t="inlineStr">
        <is>
          <t>90 days</t>
        </is>
      </c>
      <c r="O47" s="6" t="inlineStr">
        <is>
          <t>UHC COMMUNITY</t>
        </is>
      </c>
      <c r="P47" s="6" t="n"/>
      <c r="Q47" s="6" t="n"/>
      <c r="R47" s="6" t="n"/>
      <c r="S47" s="5" t="n">
        <v>1</v>
      </c>
      <c r="T47" s="8" t="n">
        <v>1029.98</v>
      </c>
      <c r="U47" s="8" t="n">
        <v>0</v>
      </c>
      <c r="V47" s="8" t="n">
        <v>0</v>
      </c>
      <c r="W47" s="6" t="n"/>
      <c r="X47" s="8" t="n">
        <v>1029.98</v>
      </c>
      <c r="Y47" s="5" t="n">
        <v>39</v>
      </c>
      <c r="Z47" s="6" t="inlineStr">
        <is>
          <t>F4320</t>
        </is>
      </c>
      <c r="AA47" s="6" t="n"/>
      <c r="AB47" s="6" t="n"/>
      <c r="AC47" s="6" t="n"/>
      <c r="AD47" s="5" t="n"/>
      <c r="AE47" s="6" t="inlineStr">
        <is>
          <t>O'NEIL, ROY</t>
        </is>
      </c>
      <c r="AF47" s="6" t="inlineStr">
        <is>
          <t>ASAP - Avondale</t>
        </is>
      </c>
      <c r="AG47" s="6" t="inlineStr">
        <is>
          <t>07/14/2026</t>
        </is>
      </c>
      <c r="AH47" s="6" t="inlineStr">
        <is>
          <t>BH</t>
        </is>
      </c>
      <c r="AI47" s="9" t="n"/>
      <c r="AJ47" s="5" t="n">
        <v>600</v>
      </c>
    </row>
    <row r="48">
      <c r="A48" s="2" t="n"/>
      <c r="B48" s="3" t="n"/>
      <c r="C48" s="4" t="n"/>
      <c r="D48" s="5" t="n">
        <v>561405599</v>
      </c>
      <c r="E48" s="6" t="inlineStr">
        <is>
          <t>HF550023598</t>
        </is>
      </c>
      <c r="F48" s="6" t="inlineStr">
        <is>
          <t>06/02/2026</t>
        </is>
      </c>
      <c r="G48" s="6" t="inlineStr">
        <is>
          <t>Aetna Legacy</t>
        </is>
      </c>
      <c r="H48" s="6" t="inlineStr">
        <is>
          <t>Aetna Legacy</t>
        </is>
      </c>
      <c r="I48" s="6" t="inlineStr">
        <is>
          <t>No Payer</t>
        </is>
      </c>
      <c r="J48" s="6" t="inlineStr">
        <is>
          <t>99493</t>
        </is>
      </c>
      <c r="K48" s="4" t="n"/>
      <c r="L48" s="5">
        <f>IF($M48="","",$M48-TODAY())</f>
        <v/>
      </c>
      <c r="M48" s="7" t="n">
        <v>46295</v>
      </c>
      <c r="N48" s="6" t="inlineStr">
        <is>
          <t>120 days</t>
        </is>
      </c>
      <c r="O48" s="6" t="inlineStr">
        <is>
          <t>AETNA</t>
        </is>
      </c>
      <c r="P48" s="6" t="n"/>
      <c r="Q48" s="6" t="n"/>
      <c r="R48" s="6" t="n"/>
      <c r="S48" s="5" t="n">
        <v>1</v>
      </c>
      <c r="T48" s="8" t="n">
        <v>976.64</v>
      </c>
      <c r="U48" s="8" t="n">
        <v>0</v>
      </c>
      <c r="V48" s="8" t="n">
        <v>0</v>
      </c>
      <c r="W48" s="6" t="n"/>
      <c r="X48" s="8" t="n">
        <v>976.64</v>
      </c>
      <c r="Y48" s="5" t="n">
        <v>67</v>
      </c>
      <c r="Z48" s="6" t="inlineStr">
        <is>
          <t>F4323</t>
        </is>
      </c>
      <c r="AA48" s="6" t="n"/>
      <c r="AB48" s="6" t="n"/>
      <c r="AC48" s="6" t="n"/>
      <c r="AD48" s="5" t="n"/>
      <c r="AE48" s="6" t="inlineStr">
        <is>
          <t>MORALES, DAVID</t>
        </is>
      </c>
      <c r="AF48" s="6" t="inlineStr">
        <is>
          <t>ASAP Peoria</t>
        </is>
      </c>
      <c r="AG48" s="6" t="inlineStr">
        <is>
          <t>07/14/2026</t>
        </is>
      </c>
      <c r="AH48" s="6" t="inlineStr">
        <is>
          <t>BH</t>
        </is>
      </c>
      <c r="AI48" s="9" t="inlineStr">
        <is>
          <t>120 days is per our contract rather than a published Aetna policy.</t>
        </is>
      </c>
      <c r="AJ48" s="5" t="n">
        <v>602</v>
      </c>
    </row>
    <row r="49">
      <c r="A49" s="2" t="n"/>
      <c r="B49" s="3" t="n"/>
      <c r="C49" s="4" t="n"/>
      <c r="D49" s="5" t="n">
        <v>561405599</v>
      </c>
      <c r="E49" s="6" t="inlineStr">
        <is>
          <t>HF550023598</t>
        </is>
      </c>
      <c r="F49" s="6" t="inlineStr">
        <is>
          <t>06/02/2026</t>
        </is>
      </c>
      <c r="G49" s="6" t="inlineStr">
        <is>
          <t>Aetna Legacy</t>
        </is>
      </c>
      <c r="H49" s="6" t="inlineStr">
        <is>
          <t>Aetna Legacy</t>
        </is>
      </c>
      <c r="I49" s="6" t="inlineStr">
        <is>
          <t>No Payer</t>
        </is>
      </c>
      <c r="J49" s="6" t="inlineStr">
        <is>
          <t>99494</t>
        </is>
      </c>
      <c r="K49" s="4" t="n"/>
      <c r="L49" s="5">
        <f>IF($M49="","",$M49-TODAY())</f>
        <v/>
      </c>
      <c r="M49" s="7" t="n">
        <v>46295</v>
      </c>
      <c r="N49" s="6" t="inlineStr">
        <is>
          <t>120 days</t>
        </is>
      </c>
      <c r="O49" s="6" t="inlineStr">
        <is>
          <t>AETNA</t>
        </is>
      </c>
      <c r="P49" s="6" t="n"/>
      <c r="Q49" s="6" t="n"/>
      <c r="R49" s="6" t="n"/>
      <c r="S49" s="5" t="n">
        <v>1</v>
      </c>
      <c r="T49" s="8" t="n">
        <v>396.27</v>
      </c>
      <c r="U49" s="8" t="n">
        <v>0</v>
      </c>
      <c r="V49" s="8" t="n">
        <v>0</v>
      </c>
      <c r="W49" s="6" t="n"/>
      <c r="X49" s="8" t="n">
        <v>396.27</v>
      </c>
      <c r="Y49" s="5" t="n">
        <v>67</v>
      </c>
      <c r="Z49" s="6" t="inlineStr">
        <is>
          <t>F4323</t>
        </is>
      </c>
      <c r="AA49" s="6" t="n"/>
      <c r="AB49" s="6" t="n"/>
      <c r="AC49" s="6" t="n"/>
      <c r="AD49" s="5" t="n"/>
      <c r="AE49" s="6" t="inlineStr">
        <is>
          <t>MORALES, DAVID</t>
        </is>
      </c>
      <c r="AF49" s="6" t="inlineStr">
        <is>
          <t>ASAP Peoria</t>
        </is>
      </c>
      <c r="AG49" s="6" t="inlineStr">
        <is>
          <t>07/14/2026</t>
        </is>
      </c>
      <c r="AH49" s="6" t="inlineStr">
        <is>
          <t>BH</t>
        </is>
      </c>
      <c r="AI49" s="9" t="inlineStr">
        <is>
          <t>120 days is per our contract rather than a published Aetna policy.</t>
        </is>
      </c>
      <c r="AJ49" s="5" t="n">
        <v>603</v>
      </c>
    </row>
    <row r="50">
      <c r="A50" s="2" t="n"/>
      <c r="B50" s="3" t="n"/>
      <c r="C50" s="4" t="n"/>
      <c r="D50" s="5" t="n">
        <v>561419093</v>
      </c>
      <c r="E50" s="6" t="inlineStr">
        <is>
          <t>HF509339752</t>
        </is>
      </c>
      <c r="F50" s="6" t="inlineStr">
        <is>
          <t>06/03/2026</t>
        </is>
      </c>
      <c r="G50" s="6" t="inlineStr">
        <is>
          <t>Aetna Medicare PPO</t>
        </is>
      </c>
      <c r="H50" s="6" t="inlineStr">
        <is>
          <t>Aetna Medicare PPO</t>
        </is>
      </c>
      <c r="I50" s="6" t="inlineStr">
        <is>
          <t>No Payer</t>
        </is>
      </c>
      <c r="J50" s="6" t="inlineStr">
        <is>
          <t>99492</t>
        </is>
      </c>
      <c r="K50" s="4" t="n"/>
      <c r="L50" s="5">
        <f>IF($M50="","",$M50-TODAY())</f>
        <v/>
      </c>
      <c r="M50" s="7" t="n">
        <v>46296</v>
      </c>
      <c r="N50" s="6" t="inlineStr">
        <is>
          <t>120 days</t>
        </is>
      </c>
      <c r="O50" s="6" t="inlineStr">
        <is>
          <t>AETNA</t>
        </is>
      </c>
      <c r="P50" s="6" t="n"/>
      <c r="Q50" s="6" t="n"/>
      <c r="R50" s="6" t="n"/>
      <c r="S50" s="5" t="n">
        <v>1</v>
      </c>
      <c r="T50" s="8" t="n">
        <v>1029.98</v>
      </c>
      <c r="U50" s="8" t="n">
        <v>0</v>
      </c>
      <c r="V50" s="8" t="n">
        <v>0</v>
      </c>
      <c r="W50" s="6" t="n"/>
      <c r="X50" s="8" t="n">
        <v>1029.98</v>
      </c>
      <c r="Y50" s="5" t="n">
        <v>66</v>
      </c>
      <c r="Z50" s="6" t="inlineStr">
        <is>
          <t>F4320</t>
        </is>
      </c>
      <c r="AA50" s="6" t="n"/>
      <c r="AB50" s="6" t="n"/>
      <c r="AC50" s="6" t="n"/>
      <c r="AD50" s="5" t="n"/>
      <c r="AE50" s="6" t="inlineStr">
        <is>
          <t>MEARS, CHAD</t>
        </is>
      </c>
      <c r="AF50" s="6" t="inlineStr">
        <is>
          <t>ASAP - DEER VALLEY</t>
        </is>
      </c>
      <c r="AG50" s="6" t="inlineStr">
        <is>
          <t>07/14/2026</t>
        </is>
      </c>
      <c r="AH50" s="6" t="inlineStr">
        <is>
          <t>BH</t>
        </is>
      </c>
      <c r="AI50" s="9" t="inlineStr">
        <is>
          <t>120 days is per our contract rather than a published Aetna policy.</t>
        </is>
      </c>
      <c r="AJ50" s="5" t="n">
        <v>861</v>
      </c>
    </row>
    <row r="51">
      <c r="A51" s="2" t="n"/>
      <c r="B51" s="3" t="n"/>
      <c r="C51" s="4" t="n"/>
      <c r="D51" s="5" t="n">
        <v>561419093</v>
      </c>
      <c r="E51" s="6" t="inlineStr">
        <is>
          <t>HF509339752</t>
        </is>
      </c>
      <c r="F51" s="6" t="inlineStr">
        <is>
          <t>06/03/2026</t>
        </is>
      </c>
      <c r="G51" s="6" t="inlineStr">
        <is>
          <t>Aetna Medicare PPO</t>
        </is>
      </c>
      <c r="H51" s="6" t="inlineStr">
        <is>
          <t>Aetna Medicare PPO</t>
        </is>
      </c>
      <c r="I51" s="6" t="inlineStr">
        <is>
          <t>No Payer</t>
        </is>
      </c>
      <c r="J51" s="6" t="inlineStr">
        <is>
          <t>99494</t>
        </is>
      </c>
      <c r="K51" s="4" t="n"/>
      <c r="L51" s="5">
        <f>IF($M51="","",$M51-TODAY())</f>
        <v/>
      </c>
      <c r="M51" s="7" t="n">
        <v>46296</v>
      </c>
      <c r="N51" s="6" t="inlineStr">
        <is>
          <t>120 days</t>
        </is>
      </c>
      <c r="O51" s="6" t="inlineStr">
        <is>
          <t>AETNA</t>
        </is>
      </c>
      <c r="P51" s="6" t="n"/>
      <c r="Q51" s="6" t="n"/>
      <c r="R51" s="6" t="n"/>
      <c r="S51" s="5" t="n">
        <v>1</v>
      </c>
      <c r="T51" s="8" t="n">
        <v>396.27</v>
      </c>
      <c r="U51" s="8" t="n">
        <v>0</v>
      </c>
      <c r="V51" s="8" t="n">
        <v>0</v>
      </c>
      <c r="W51" s="6" t="n"/>
      <c r="X51" s="8" t="n">
        <v>396.27</v>
      </c>
      <c r="Y51" s="5" t="n">
        <v>66</v>
      </c>
      <c r="Z51" s="6" t="inlineStr">
        <is>
          <t>F4320</t>
        </is>
      </c>
      <c r="AA51" s="6" t="n"/>
      <c r="AB51" s="6" t="n"/>
      <c r="AC51" s="6" t="n"/>
      <c r="AD51" s="5" t="n"/>
      <c r="AE51" s="6" t="inlineStr">
        <is>
          <t>MEARS, CHAD</t>
        </is>
      </c>
      <c r="AF51" s="6" t="inlineStr">
        <is>
          <t>ASAP - DEER VALLEY</t>
        </is>
      </c>
      <c r="AG51" s="6" t="inlineStr">
        <is>
          <t>07/14/2026</t>
        </is>
      </c>
      <c r="AH51" s="6" t="inlineStr">
        <is>
          <t>BH</t>
        </is>
      </c>
      <c r="AI51" s="9" t="inlineStr">
        <is>
          <t>120 days is per our contract rather than a published Aetna policy.</t>
        </is>
      </c>
      <c r="AJ51" s="5" t="n">
        <v>862</v>
      </c>
    </row>
    <row r="52">
      <c r="A52" s="2" t="n"/>
      <c r="B52" s="3" t="n"/>
      <c r="C52" s="4" t="n"/>
      <c r="D52" s="5" t="n">
        <v>561399071</v>
      </c>
      <c r="E52" s="6" t="inlineStr">
        <is>
          <t>HF462418285</t>
        </is>
      </c>
      <c r="F52" s="6" t="inlineStr">
        <is>
          <t>06/05/2026</t>
        </is>
      </c>
      <c r="G52" s="6" t="inlineStr">
        <is>
          <t>Aetna Legacy</t>
        </is>
      </c>
      <c r="H52" s="6" t="inlineStr">
        <is>
          <t>Aetna Legacy</t>
        </is>
      </c>
      <c r="I52" s="6" t="inlineStr">
        <is>
          <t>No Payer</t>
        </is>
      </c>
      <c r="J52" s="6" t="inlineStr">
        <is>
          <t>99494</t>
        </is>
      </c>
      <c r="K52" s="4" t="n"/>
      <c r="L52" s="5">
        <f>IF($M52="","",$M52-TODAY())</f>
        <v/>
      </c>
      <c r="M52" s="7" t="n">
        <v>46298</v>
      </c>
      <c r="N52" s="6" t="inlineStr">
        <is>
          <t>120 days</t>
        </is>
      </c>
      <c r="O52" s="6" t="inlineStr">
        <is>
          <t>AETNA</t>
        </is>
      </c>
      <c r="P52" s="6" t="n"/>
      <c r="Q52" s="6" t="n"/>
      <c r="R52" s="6" t="n"/>
      <c r="S52" s="5" t="n">
        <v>1</v>
      </c>
      <c r="T52" s="8" t="n">
        <v>396.27</v>
      </c>
      <c r="U52" s="8" t="n">
        <v>0</v>
      </c>
      <c r="V52" s="8" t="n">
        <v>0</v>
      </c>
      <c r="W52" s="6" t="n"/>
      <c r="X52" s="8" t="n">
        <v>396.27</v>
      </c>
      <c r="Y52" s="5" t="n">
        <v>64</v>
      </c>
      <c r="Z52" s="6" t="inlineStr">
        <is>
          <t>F4323</t>
        </is>
      </c>
      <c r="AA52" s="6" t="n"/>
      <c r="AB52" s="6" t="n"/>
      <c r="AC52" s="6" t="n"/>
      <c r="AD52" s="5" t="n"/>
      <c r="AE52" s="6" t="inlineStr">
        <is>
          <t>O'NEIL, ROY</t>
        </is>
      </c>
      <c r="AF52" s="6" t="inlineStr">
        <is>
          <t>ASAP - Gilbert</t>
        </is>
      </c>
      <c r="AG52" s="6" t="inlineStr">
        <is>
          <t>07/14/2026</t>
        </is>
      </c>
      <c r="AH52" s="6" t="inlineStr">
        <is>
          <t>BH</t>
        </is>
      </c>
      <c r="AI52" s="9" t="inlineStr">
        <is>
          <t>120 days is per our contract rather than a published Aetna policy.</t>
        </is>
      </c>
      <c r="AJ52" s="5" t="n">
        <v>1056</v>
      </c>
    </row>
    <row r="53">
      <c r="A53" s="2" t="n"/>
      <c r="B53" s="3" t="n"/>
      <c r="C53" s="4" t="n"/>
      <c r="D53" s="5" t="n">
        <v>561399071</v>
      </c>
      <c r="E53" s="6" t="inlineStr">
        <is>
          <t>HF462418285</t>
        </is>
      </c>
      <c r="F53" s="6" t="inlineStr">
        <is>
          <t>06/05/2026</t>
        </is>
      </c>
      <c r="G53" s="6" t="inlineStr">
        <is>
          <t>Aetna Legacy</t>
        </is>
      </c>
      <c r="H53" s="6" t="inlineStr">
        <is>
          <t>Aetna Legacy</t>
        </is>
      </c>
      <c r="I53" s="6" t="inlineStr">
        <is>
          <t>No Payer</t>
        </is>
      </c>
      <c r="J53" s="6" t="inlineStr">
        <is>
          <t>99493</t>
        </is>
      </c>
      <c r="K53" s="4" t="n"/>
      <c r="L53" s="5">
        <f>IF($M53="","",$M53-TODAY())</f>
        <v/>
      </c>
      <c r="M53" s="7" t="n">
        <v>46298</v>
      </c>
      <c r="N53" s="6" t="inlineStr">
        <is>
          <t>120 days</t>
        </is>
      </c>
      <c r="O53" s="6" t="inlineStr">
        <is>
          <t>AETNA</t>
        </is>
      </c>
      <c r="P53" s="6" t="n"/>
      <c r="Q53" s="6" t="n"/>
      <c r="R53" s="6" t="n"/>
      <c r="S53" s="5" t="n">
        <v>1</v>
      </c>
      <c r="T53" s="8" t="n">
        <v>976.64</v>
      </c>
      <c r="U53" s="8" t="n">
        <v>0</v>
      </c>
      <c r="V53" s="8" t="n">
        <v>0</v>
      </c>
      <c r="W53" s="6" t="n"/>
      <c r="X53" s="8" t="n">
        <v>976.64</v>
      </c>
      <c r="Y53" s="5" t="n">
        <v>64</v>
      </c>
      <c r="Z53" s="6" t="inlineStr">
        <is>
          <t>F4323</t>
        </is>
      </c>
      <c r="AA53" s="6" t="n"/>
      <c r="AB53" s="6" t="n"/>
      <c r="AC53" s="6" t="n"/>
      <c r="AD53" s="5" t="n"/>
      <c r="AE53" s="6" t="inlineStr">
        <is>
          <t>O'NEIL, ROY</t>
        </is>
      </c>
      <c r="AF53" s="6" t="inlineStr">
        <is>
          <t>ASAP - Gilbert</t>
        </is>
      </c>
      <c r="AG53" s="6" t="inlineStr">
        <is>
          <t>07/14/2026</t>
        </is>
      </c>
      <c r="AH53" s="6" t="inlineStr">
        <is>
          <t>BH</t>
        </is>
      </c>
      <c r="AI53" s="9" t="inlineStr">
        <is>
          <t>120 days is per our contract rather than a published Aetna policy.</t>
        </is>
      </c>
      <c r="AJ53" s="5" t="n">
        <v>1057</v>
      </c>
    </row>
    <row r="54">
      <c r="A54" s="2" t="n"/>
      <c r="B54" s="3" t="n"/>
      <c r="C54" s="4" t="n"/>
      <c r="D54" s="5" t="n">
        <v>561595295</v>
      </c>
      <c r="E54" s="6" t="inlineStr">
        <is>
          <t>HF507546981</t>
        </is>
      </c>
      <c r="F54" s="6" t="inlineStr">
        <is>
          <t>06/08/2026</t>
        </is>
      </c>
      <c r="G54" s="6" t="inlineStr">
        <is>
          <t>Aetna Legacy</t>
        </is>
      </c>
      <c r="H54" s="6" t="inlineStr">
        <is>
          <t>Aetna Legacy</t>
        </is>
      </c>
      <c r="I54" s="6" t="inlineStr">
        <is>
          <t>No Payer</t>
        </is>
      </c>
      <c r="J54" s="6" t="inlineStr">
        <is>
          <t>99494</t>
        </is>
      </c>
      <c r="K54" s="4" t="n"/>
      <c r="L54" s="5">
        <f>IF($M54="","",$M54-TODAY())</f>
        <v/>
      </c>
      <c r="M54" s="7" t="n">
        <v>46301</v>
      </c>
      <c r="N54" s="6" t="inlineStr">
        <is>
          <t>120 days</t>
        </is>
      </c>
      <c r="O54" s="6" t="inlineStr">
        <is>
          <t>AETNA</t>
        </is>
      </c>
      <c r="P54" s="6" t="n"/>
      <c r="Q54" s="6" t="n"/>
      <c r="R54" s="6" t="n"/>
      <c r="S54" s="5" t="n">
        <v>1</v>
      </c>
      <c r="T54" s="8" t="n">
        <v>396.27</v>
      </c>
      <c r="U54" s="8" t="n">
        <v>0</v>
      </c>
      <c r="V54" s="8" t="n">
        <v>0</v>
      </c>
      <c r="W54" s="6" t="n"/>
      <c r="X54" s="8" t="n">
        <v>396.27</v>
      </c>
      <c r="Y54" s="5" t="n">
        <v>61</v>
      </c>
      <c r="Z54" s="6" t="inlineStr">
        <is>
          <t>F4320</t>
        </is>
      </c>
      <c r="AA54" s="6" t="n"/>
      <c r="AB54" s="6" t="n"/>
      <c r="AC54" s="6" t="n"/>
      <c r="AD54" s="5" t="n"/>
      <c r="AE54" s="6" t="inlineStr">
        <is>
          <t>O'NEIL, ROY</t>
        </is>
      </c>
      <c r="AF54" s="6" t="inlineStr">
        <is>
          <t>ASAP Peoria</t>
        </is>
      </c>
      <c r="AG54" s="6" t="inlineStr">
        <is>
          <t>07/14/2026</t>
        </is>
      </c>
      <c r="AH54" s="6" t="inlineStr">
        <is>
          <t>BH</t>
        </is>
      </c>
      <c r="AI54" s="9" t="inlineStr">
        <is>
          <t>120 days is per our contract rather than a published Aetna policy.</t>
        </is>
      </c>
      <c r="AJ54" s="5" t="n">
        <v>1027</v>
      </c>
    </row>
    <row r="55">
      <c r="A55" s="2" t="n"/>
      <c r="B55" s="3" t="n"/>
      <c r="C55" s="4" t="n"/>
      <c r="D55" s="5" t="n">
        <v>561595295</v>
      </c>
      <c r="E55" s="6" t="inlineStr">
        <is>
          <t>HF507546981</t>
        </is>
      </c>
      <c r="F55" s="6" t="inlineStr">
        <is>
          <t>06/08/2026</t>
        </is>
      </c>
      <c r="G55" s="6" t="inlineStr">
        <is>
          <t>Aetna Legacy</t>
        </is>
      </c>
      <c r="H55" s="6" t="inlineStr">
        <is>
          <t>Aetna Legacy</t>
        </is>
      </c>
      <c r="I55" s="6" t="inlineStr">
        <is>
          <t>No Payer</t>
        </is>
      </c>
      <c r="J55" s="6" t="inlineStr">
        <is>
          <t>99492</t>
        </is>
      </c>
      <c r="K55" s="4" t="n"/>
      <c r="L55" s="5">
        <f>IF($M55="","",$M55-TODAY())</f>
        <v/>
      </c>
      <c r="M55" s="7" t="n">
        <v>46301</v>
      </c>
      <c r="N55" s="6" t="inlineStr">
        <is>
          <t>120 days</t>
        </is>
      </c>
      <c r="O55" s="6" t="inlineStr">
        <is>
          <t>AETNA</t>
        </is>
      </c>
      <c r="P55" s="6" t="n"/>
      <c r="Q55" s="6" t="n"/>
      <c r="R55" s="6" t="n"/>
      <c r="S55" s="5" t="n">
        <v>1</v>
      </c>
      <c r="T55" s="8" t="n">
        <v>1029.98</v>
      </c>
      <c r="U55" s="8" t="n">
        <v>0</v>
      </c>
      <c r="V55" s="8" t="n">
        <v>0</v>
      </c>
      <c r="W55" s="6" t="n"/>
      <c r="X55" s="8" t="n">
        <v>1029.98</v>
      </c>
      <c r="Y55" s="5" t="n">
        <v>61</v>
      </c>
      <c r="Z55" s="6" t="inlineStr">
        <is>
          <t>F4320</t>
        </is>
      </c>
      <c r="AA55" s="6" t="n"/>
      <c r="AB55" s="6" t="n"/>
      <c r="AC55" s="6" t="n"/>
      <c r="AD55" s="5" t="n"/>
      <c r="AE55" s="6" t="inlineStr">
        <is>
          <t>O'NEIL, ROY</t>
        </is>
      </c>
      <c r="AF55" s="6" t="inlineStr">
        <is>
          <t>ASAP Peoria</t>
        </is>
      </c>
      <c r="AG55" s="6" t="inlineStr">
        <is>
          <t>07/14/2026</t>
        </is>
      </c>
      <c r="AH55" s="6" t="inlineStr">
        <is>
          <t>BH</t>
        </is>
      </c>
      <c r="AI55" s="9" t="inlineStr">
        <is>
          <t>120 days is per our contract rather than a published Aetna policy.</t>
        </is>
      </c>
      <c r="AJ55" s="5" t="n">
        <v>1049</v>
      </c>
    </row>
    <row r="56">
      <c r="A56" s="2" t="n"/>
      <c r="B56" s="3" t="n"/>
      <c r="C56" s="4" t="n"/>
      <c r="D56" s="5" t="n">
        <v>562134294</v>
      </c>
      <c r="E56" s="6" t="inlineStr">
        <is>
          <t>HF529910506</t>
        </is>
      </c>
      <c r="F56" s="6" t="inlineStr">
        <is>
          <t>06/09/2026</t>
        </is>
      </c>
      <c r="G56" s="6" t="inlineStr">
        <is>
          <t>Banner Health &amp; Aetna Health Insurance Company</t>
        </is>
      </c>
      <c r="H56" s="6" t="inlineStr">
        <is>
          <t>Banner Health &amp; Aetna Health Insurance Company</t>
        </is>
      </c>
      <c r="I56" s="6" t="inlineStr">
        <is>
          <t>UnitedHealthcare Community Plan / Arizona Long Term Care</t>
        </is>
      </c>
      <c r="J56" s="6" t="inlineStr">
        <is>
          <t>99493</t>
        </is>
      </c>
      <c r="K56" s="4" t="n"/>
      <c r="L56" s="5">
        <f>IF($M56="","",$M56-TODAY())</f>
        <v/>
      </c>
      <c r="M56" s="7" t="n">
        <v>46302</v>
      </c>
      <c r="N56" s="6" t="inlineStr">
        <is>
          <t>120 days</t>
        </is>
      </c>
      <c r="O56" s="6" t="inlineStr">
        <is>
          <t>BANNER HEALTH &amp; AETNA</t>
        </is>
      </c>
      <c r="P56" s="6" t="n"/>
      <c r="Q56" s="6" t="n"/>
      <c r="R56" s="6" t="n"/>
      <c r="S56" s="5" t="n">
        <v>1</v>
      </c>
      <c r="T56" s="8" t="n">
        <v>976.64</v>
      </c>
      <c r="U56" s="8" t="n">
        <v>0</v>
      </c>
      <c r="V56" s="8" t="n">
        <v>0</v>
      </c>
      <c r="W56" s="6" t="n"/>
      <c r="X56" s="8" t="n">
        <v>976.64</v>
      </c>
      <c r="Y56" s="5" t="n">
        <v>60</v>
      </c>
      <c r="Z56" s="6" t="inlineStr">
        <is>
          <t>F330</t>
        </is>
      </c>
      <c r="AA56" s="6" t="inlineStr">
        <is>
          <t>F411</t>
        </is>
      </c>
      <c r="AB56" s="6" t="n"/>
      <c r="AC56" s="6" t="n"/>
      <c r="AD56" s="5" t="n"/>
      <c r="AE56" s="6" t="inlineStr">
        <is>
          <t>MEARS, CHAD</t>
        </is>
      </c>
      <c r="AF56" s="6" t="inlineStr">
        <is>
          <t>ASAP Peoria</t>
        </is>
      </c>
      <c r="AG56" s="6" t="inlineStr">
        <is>
          <t>07/14/2026</t>
        </is>
      </c>
      <c r="AH56" s="6" t="inlineStr">
        <is>
          <t>BH</t>
        </is>
      </c>
      <c r="AI56" s="9" t="n"/>
      <c r="AJ56" s="5" t="n">
        <v>238</v>
      </c>
    </row>
    <row r="57">
      <c r="A57" s="2" t="n"/>
      <c r="B57" s="3" t="n"/>
      <c r="C57" s="4" t="n"/>
      <c r="D57" s="5" t="n">
        <v>562134294</v>
      </c>
      <c r="E57" s="6" t="inlineStr">
        <is>
          <t>HF529910506</t>
        </is>
      </c>
      <c r="F57" s="6" t="inlineStr">
        <is>
          <t>06/09/2026</t>
        </is>
      </c>
      <c r="G57" s="6" t="inlineStr">
        <is>
          <t>Banner Health &amp; Aetna Health Insurance Company</t>
        </is>
      </c>
      <c r="H57" s="6" t="inlineStr">
        <is>
          <t>Banner Health &amp; Aetna Health Insurance Company</t>
        </is>
      </c>
      <c r="I57" s="6" t="inlineStr">
        <is>
          <t>UnitedHealthcare Community Plan / Arizona Long Term Care</t>
        </is>
      </c>
      <c r="J57" s="6" t="inlineStr">
        <is>
          <t>99494</t>
        </is>
      </c>
      <c r="K57" s="4" t="n"/>
      <c r="L57" s="5">
        <f>IF($M57="","",$M57-TODAY())</f>
        <v/>
      </c>
      <c r="M57" s="7" t="n">
        <v>46302</v>
      </c>
      <c r="N57" s="6" t="inlineStr">
        <is>
          <t>120 days</t>
        </is>
      </c>
      <c r="O57" s="6" t="inlineStr">
        <is>
          <t>BANNER HEALTH &amp; AETNA</t>
        </is>
      </c>
      <c r="P57" s="6" t="n"/>
      <c r="Q57" s="6" t="n"/>
      <c r="R57" s="6" t="n"/>
      <c r="S57" s="5" t="n">
        <v>2</v>
      </c>
      <c r="T57" s="8" t="n">
        <v>792.54</v>
      </c>
      <c r="U57" s="8" t="n">
        <v>0</v>
      </c>
      <c r="V57" s="8" t="n">
        <v>0</v>
      </c>
      <c r="W57" s="6" t="n"/>
      <c r="X57" s="8" t="n">
        <v>792.54</v>
      </c>
      <c r="Y57" s="5" t="n">
        <v>60</v>
      </c>
      <c r="Z57" s="6" t="inlineStr">
        <is>
          <t>F330</t>
        </is>
      </c>
      <c r="AA57" s="6" t="inlineStr">
        <is>
          <t>F411</t>
        </is>
      </c>
      <c r="AB57" s="6" t="n"/>
      <c r="AC57" s="6" t="n"/>
      <c r="AD57" s="5" t="n"/>
      <c r="AE57" s="6" t="inlineStr">
        <is>
          <t>MEARS, CHAD</t>
        </is>
      </c>
      <c r="AF57" s="6" t="inlineStr">
        <is>
          <t>ASAP Peoria</t>
        </is>
      </c>
      <c r="AG57" s="6" t="inlineStr">
        <is>
          <t>07/14/2026</t>
        </is>
      </c>
      <c r="AH57" s="6" t="inlineStr">
        <is>
          <t>BH</t>
        </is>
      </c>
      <c r="AI57" s="9" t="n"/>
      <c r="AJ57" s="5" t="n">
        <v>239</v>
      </c>
    </row>
    <row r="58">
      <c r="A58" s="2" t="n"/>
      <c r="B58" s="3" t="n"/>
      <c r="C58" s="4" t="n"/>
      <c r="D58" s="5" t="n">
        <v>561951317</v>
      </c>
      <c r="E58" s="6" t="inlineStr">
        <is>
          <t>HF524119358</t>
        </is>
      </c>
      <c r="F58" s="6" t="inlineStr">
        <is>
          <t>06/10/2026</t>
        </is>
      </c>
      <c r="G58" s="6" t="inlineStr">
        <is>
          <t>AMBETTER</t>
        </is>
      </c>
      <c r="H58" s="6" t="inlineStr">
        <is>
          <t>AMBETTER</t>
        </is>
      </c>
      <c r="I58" s="6" t="inlineStr">
        <is>
          <t>No Payer</t>
        </is>
      </c>
      <c r="J58" s="6" t="inlineStr">
        <is>
          <t>99493</t>
        </is>
      </c>
      <c r="K58" s="4" t="n"/>
      <c r="L58" s="5">
        <f>IF($M58="","",$M58-TODAY())</f>
        <v/>
      </c>
      <c r="M58" s="7" t="n">
        <v>46303</v>
      </c>
      <c r="N58" s="6" t="inlineStr">
        <is>
          <t>120 days</t>
        </is>
      </c>
      <c r="O58" s="6" t="inlineStr">
        <is>
          <t>AMBETTER</t>
        </is>
      </c>
      <c r="P58" s="6" t="n"/>
      <c r="Q58" s="6" t="n"/>
      <c r="R58" s="6" t="n"/>
      <c r="S58" s="5" t="n">
        <v>1</v>
      </c>
      <c r="T58" s="8" t="n">
        <v>976.64</v>
      </c>
      <c r="U58" s="8" t="n">
        <v>0</v>
      </c>
      <c r="V58" s="8" t="n">
        <v>0</v>
      </c>
      <c r="W58" s="6" t="n"/>
      <c r="X58" s="8" t="n">
        <v>976.64</v>
      </c>
      <c r="Y58" s="5" t="n">
        <v>59</v>
      </c>
      <c r="Z58" s="6" t="inlineStr">
        <is>
          <t>F1190</t>
        </is>
      </c>
      <c r="AA58" s="6" t="n"/>
      <c r="AB58" s="6" t="n"/>
      <c r="AC58" s="6" t="n"/>
      <c r="AD58" s="5" t="n"/>
      <c r="AE58" s="6" t="inlineStr">
        <is>
          <t>KALLGREN, MARK</t>
        </is>
      </c>
      <c r="AF58" s="6" t="inlineStr">
        <is>
          <t>ASAP - Gilbert</t>
        </is>
      </c>
      <c r="AG58" s="6" t="inlineStr">
        <is>
          <t>07/14/2026</t>
        </is>
      </c>
      <c r="AH58" s="6" t="inlineStr">
        <is>
          <t>BH</t>
        </is>
      </c>
      <c r="AI58" s="9" t="n"/>
      <c r="AJ58" s="5" t="n">
        <v>516</v>
      </c>
    </row>
    <row r="59">
      <c r="A59" s="2" t="n"/>
      <c r="B59" s="3" t="n"/>
      <c r="C59" s="4" t="n"/>
      <c r="D59" s="5" t="n">
        <v>561951317</v>
      </c>
      <c r="E59" s="6" t="inlineStr">
        <is>
          <t>HF524119358</t>
        </is>
      </c>
      <c r="F59" s="6" t="inlineStr">
        <is>
          <t>06/10/2026</t>
        </is>
      </c>
      <c r="G59" s="6" t="inlineStr">
        <is>
          <t>AMBETTER</t>
        </is>
      </c>
      <c r="H59" s="6" t="inlineStr">
        <is>
          <t>AMBETTER</t>
        </is>
      </c>
      <c r="I59" s="6" t="inlineStr">
        <is>
          <t>No Payer</t>
        </is>
      </c>
      <c r="J59" s="6" t="inlineStr">
        <is>
          <t>99494</t>
        </is>
      </c>
      <c r="K59" s="4" t="n"/>
      <c r="L59" s="5">
        <f>IF($M59="","",$M59-TODAY())</f>
        <v/>
      </c>
      <c r="M59" s="7" t="n">
        <v>46303</v>
      </c>
      <c r="N59" s="6" t="inlineStr">
        <is>
          <t>120 days</t>
        </is>
      </c>
      <c r="O59" s="6" t="inlineStr">
        <is>
          <t>AMBETTER</t>
        </is>
      </c>
      <c r="P59" s="6" t="n"/>
      <c r="Q59" s="6" t="n"/>
      <c r="R59" s="6" t="n"/>
      <c r="S59" s="5" t="n">
        <v>1</v>
      </c>
      <c r="T59" s="8" t="n">
        <v>396.27</v>
      </c>
      <c r="U59" s="8" t="n">
        <v>0</v>
      </c>
      <c r="V59" s="8" t="n">
        <v>0</v>
      </c>
      <c r="W59" s="6" t="n"/>
      <c r="X59" s="8" t="n">
        <v>396.27</v>
      </c>
      <c r="Y59" s="5" t="n">
        <v>59</v>
      </c>
      <c r="Z59" s="6" t="inlineStr">
        <is>
          <t>F1190</t>
        </is>
      </c>
      <c r="AA59" s="6" t="n"/>
      <c r="AB59" s="6" t="n"/>
      <c r="AC59" s="6" t="n"/>
      <c r="AD59" s="5" t="n"/>
      <c r="AE59" s="6" t="inlineStr">
        <is>
          <t>KALLGREN, MARK</t>
        </is>
      </c>
      <c r="AF59" s="6" t="inlineStr">
        <is>
          <t>ASAP - Gilbert</t>
        </is>
      </c>
      <c r="AG59" s="6" t="inlineStr">
        <is>
          <t>07/14/2026</t>
        </is>
      </c>
      <c r="AH59" s="6" t="inlineStr">
        <is>
          <t>BH</t>
        </is>
      </c>
      <c r="AI59" s="9" t="n"/>
      <c r="AJ59" s="5" t="n">
        <v>517</v>
      </c>
    </row>
    <row r="60">
      <c r="A60" s="2" t="n"/>
      <c r="B60" s="3" t="n"/>
      <c r="C60" s="4" t="n"/>
      <c r="D60" s="5" t="n">
        <v>561962926</v>
      </c>
      <c r="E60" s="6" t="inlineStr">
        <is>
          <t>HF545220191</t>
        </is>
      </c>
      <c r="F60" s="6" t="inlineStr">
        <is>
          <t>06/10/2026</t>
        </is>
      </c>
      <c r="G60" s="6" t="inlineStr">
        <is>
          <t>Banner Health &amp; Aetna Health Insurance Company</t>
        </is>
      </c>
      <c r="H60" s="6" t="inlineStr">
        <is>
          <t>Banner Health &amp; Aetna Health Insurance Company</t>
        </is>
      </c>
      <c r="I60" s="6" t="inlineStr">
        <is>
          <t>No Payer</t>
        </is>
      </c>
      <c r="J60" s="6" t="inlineStr">
        <is>
          <t>99492</t>
        </is>
      </c>
      <c r="K60" s="4" t="n"/>
      <c r="L60" s="5">
        <f>IF($M60="","",$M60-TODAY())</f>
        <v/>
      </c>
      <c r="M60" s="7" t="n">
        <v>46303</v>
      </c>
      <c r="N60" s="6" t="inlineStr">
        <is>
          <t>120 days</t>
        </is>
      </c>
      <c r="O60" s="6" t="inlineStr">
        <is>
          <t>BANNER HEALTH &amp; AETNA</t>
        </is>
      </c>
      <c r="P60" s="6" t="n"/>
      <c r="Q60" s="6" t="n"/>
      <c r="R60" s="6" t="n"/>
      <c r="S60" s="5" t="n">
        <v>1</v>
      </c>
      <c r="T60" s="8" t="n">
        <v>1029.98</v>
      </c>
      <c r="U60" s="8" t="n">
        <v>0</v>
      </c>
      <c r="V60" s="8" t="n">
        <v>0</v>
      </c>
      <c r="W60" s="6" t="n"/>
      <c r="X60" s="8" t="n">
        <v>1029.98</v>
      </c>
      <c r="Y60" s="5" t="n">
        <v>59</v>
      </c>
      <c r="Z60" s="6" t="inlineStr">
        <is>
          <t>F411</t>
        </is>
      </c>
      <c r="AA60" s="6" t="n"/>
      <c r="AB60" s="6" t="n"/>
      <c r="AC60" s="6" t="n"/>
      <c r="AD60" s="5" t="n"/>
      <c r="AE60" s="6" t="inlineStr">
        <is>
          <t>LEATHEM, JARRETT</t>
        </is>
      </c>
      <c r="AF60" s="6" t="inlineStr">
        <is>
          <t>ASAP - Gilbert</t>
        </is>
      </c>
      <c r="AG60" s="6" t="inlineStr">
        <is>
          <t>07/14/2026</t>
        </is>
      </c>
      <c r="AH60" s="6" t="inlineStr">
        <is>
          <t>BH</t>
        </is>
      </c>
      <c r="AI60" s="9" t="n"/>
      <c r="AJ60" s="5" t="n">
        <v>998</v>
      </c>
    </row>
    <row r="61">
      <c r="A61" s="2" t="n"/>
      <c r="B61" s="3" t="n"/>
      <c r="C61" s="4" t="n"/>
      <c r="D61" s="5" t="n">
        <v>561962926</v>
      </c>
      <c r="E61" s="6" t="inlineStr">
        <is>
          <t>HF545220191</t>
        </is>
      </c>
      <c r="F61" s="6" t="inlineStr">
        <is>
          <t>06/10/2026</t>
        </is>
      </c>
      <c r="G61" s="6" t="inlineStr">
        <is>
          <t>Banner Health &amp; Aetna Health Insurance Company</t>
        </is>
      </c>
      <c r="H61" s="6" t="inlineStr">
        <is>
          <t>Banner Health &amp; Aetna Health Insurance Company</t>
        </is>
      </c>
      <c r="I61" s="6" t="inlineStr">
        <is>
          <t>No Payer</t>
        </is>
      </c>
      <c r="J61" s="6" t="inlineStr">
        <is>
          <t>99494</t>
        </is>
      </c>
      <c r="K61" s="4" t="n"/>
      <c r="L61" s="5">
        <f>IF($M61="","",$M61-TODAY())</f>
        <v/>
      </c>
      <c r="M61" s="7" t="n">
        <v>46303</v>
      </c>
      <c r="N61" s="6" t="inlineStr">
        <is>
          <t>120 days</t>
        </is>
      </c>
      <c r="O61" s="6" t="inlineStr">
        <is>
          <t>BANNER HEALTH &amp; AETNA</t>
        </is>
      </c>
      <c r="P61" s="6" t="n"/>
      <c r="Q61" s="6" t="n"/>
      <c r="R61" s="6" t="n"/>
      <c r="S61" s="5" t="n">
        <v>1</v>
      </c>
      <c r="T61" s="8" t="n">
        <v>396.27</v>
      </c>
      <c r="U61" s="8" t="n">
        <v>0</v>
      </c>
      <c r="V61" s="8" t="n">
        <v>0</v>
      </c>
      <c r="W61" s="6" t="n"/>
      <c r="X61" s="8" t="n">
        <v>396.27</v>
      </c>
      <c r="Y61" s="5" t="n">
        <v>59</v>
      </c>
      <c r="Z61" s="6" t="inlineStr">
        <is>
          <t>F411</t>
        </is>
      </c>
      <c r="AA61" s="6" t="n"/>
      <c r="AB61" s="6" t="n"/>
      <c r="AC61" s="6" t="n"/>
      <c r="AD61" s="5" t="n"/>
      <c r="AE61" s="6" t="inlineStr">
        <is>
          <t>LEATHEM, JARRETT</t>
        </is>
      </c>
      <c r="AF61" s="6" t="inlineStr">
        <is>
          <t>ASAP - Gilbert</t>
        </is>
      </c>
      <c r="AG61" s="6" t="inlineStr">
        <is>
          <t>07/14/2026</t>
        </is>
      </c>
      <c r="AH61" s="6" t="inlineStr">
        <is>
          <t>BH</t>
        </is>
      </c>
      <c r="AI61" s="9" t="n"/>
      <c r="AJ61" s="5" t="n">
        <v>1002</v>
      </c>
    </row>
    <row r="62">
      <c r="A62" s="2" t="n"/>
      <c r="B62" s="3" t="n"/>
      <c r="C62" s="4" t="n"/>
      <c r="D62" s="5" t="n">
        <v>562066397</v>
      </c>
      <c r="E62" s="6" t="inlineStr">
        <is>
          <t>HF534791010</t>
        </is>
      </c>
      <c r="F62" s="6" t="inlineStr">
        <is>
          <t>06/11/2026</t>
        </is>
      </c>
      <c r="G62" s="6" t="inlineStr">
        <is>
          <t>Banner Health &amp; Aetna Health Insurance Company</t>
        </is>
      </c>
      <c r="H62" s="6" t="inlineStr">
        <is>
          <t>Banner Health &amp; Aetna Health Insurance Company</t>
        </is>
      </c>
      <c r="I62" s="6" t="inlineStr">
        <is>
          <t>No Payer</t>
        </is>
      </c>
      <c r="J62" s="6" t="inlineStr">
        <is>
          <t>99492</t>
        </is>
      </c>
      <c r="K62" s="4" t="n"/>
      <c r="L62" s="5">
        <f>IF($M62="","",$M62-TODAY())</f>
        <v/>
      </c>
      <c r="M62" s="7" t="n">
        <v>46304</v>
      </c>
      <c r="N62" s="6" t="inlineStr">
        <is>
          <t>120 days</t>
        </is>
      </c>
      <c r="O62" s="6" t="inlineStr">
        <is>
          <t>BANNER HEALTH &amp; AETNA</t>
        </is>
      </c>
      <c r="P62" s="6" t="n"/>
      <c r="Q62" s="6" t="n"/>
      <c r="R62" s="6" t="n"/>
      <c r="S62" s="5" t="n">
        <v>1</v>
      </c>
      <c r="T62" s="8" t="n">
        <v>1029.98</v>
      </c>
      <c r="U62" s="8" t="n">
        <v>0</v>
      </c>
      <c r="V62" s="8" t="n">
        <v>0</v>
      </c>
      <c r="W62" s="6" t="n"/>
      <c r="X62" s="8" t="n">
        <v>1029.98</v>
      </c>
      <c r="Y62" s="5" t="n">
        <v>58</v>
      </c>
      <c r="Z62" s="6" t="inlineStr">
        <is>
          <t>F4320</t>
        </is>
      </c>
      <c r="AA62" s="6" t="n"/>
      <c r="AB62" s="6" t="n"/>
      <c r="AC62" s="6" t="n"/>
      <c r="AD62" s="5" t="n"/>
      <c r="AE62" s="6" t="inlineStr">
        <is>
          <t>CURRIE, DAVID</t>
        </is>
      </c>
      <c r="AF62" s="6" t="inlineStr">
        <is>
          <t>ASAP - Avondale</t>
        </is>
      </c>
      <c r="AG62" s="6" t="inlineStr">
        <is>
          <t>07/14/2026</t>
        </is>
      </c>
      <c r="AH62" s="6" t="inlineStr">
        <is>
          <t>BH</t>
        </is>
      </c>
      <c r="AI62" s="9" t="n"/>
      <c r="AJ62" s="5" t="n">
        <v>847</v>
      </c>
    </row>
    <row r="63">
      <c r="A63" s="2" t="n"/>
      <c r="B63" s="3" t="n"/>
      <c r="C63" s="4" t="n"/>
      <c r="D63" s="5" t="n">
        <v>562066397</v>
      </c>
      <c r="E63" s="6" t="inlineStr">
        <is>
          <t>HF534791010</t>
        </is>
      </c>
      <c r="F63" s="6" t="inlineStr">
        <is>
          <t>06/11/2026</t>
        </is>
      </c>
      <c r="G63" s="6" t="inlineStr">
        <is>
          <t>Banner Health &amp; Aetna Health Insurance Company</t>
        </is>
      </c>
      <c r="H63" s="6" t="inlineStr">
        <is>
          <t>Banner Health &amp; Aetna Health Insurance Company</t>
        </is>
      </c>
      <c r="I63" s="6" t="inlineStr">
        <is>
          <t>No Payer</t>
        </is>
      </c>
      <c r="J63" s="6" t="inlineStr">
        <is>
          <t>99494</t>
        </is>
      </c>
      <c r="K63" s="4" t="n"/>
      <c r="L63" s="5">
        <f>IF($M63="","",$M63-TODAY())</f>
        <v/>
      </c>
      <c r="M63" s="7" t="n">
        <v>46304</v>
      </c>
      <c r="N63" s="6" t="inlineStr">
        <is>
          <t>120 days</t>
        </is>
      </c>
      <c r="O63" s="6" t="inlineStr">
        <is>
          <t>BANNER HEALTH &amp; AETNA</t>
        </is>
      </c>
      <c r="P63" s="6" t="n"/>
      <c r="Q63" s="6" t="n"/>
      <c r="R63" s="6" t="n"/>
      <c r="S63" s="5" t="n">
        <v>1</v>
      </c>
      <c r="T63" s="8" t="n">
        <v>396.27</v>
      </c>
      <c r="U63" s="8" t="n">
        <v>0</v>
      </c>
      <c r="V63" s="8" t="n">
        <v>0</v>
      </c>
      <c r="W63" s="6" t="n"/>
      <c r="X63" s="8" t="n">
        <v>396.27</v>
      </c>
      <c r="Y63" s="5" t="n">
        <v>58</v>
      </c>
      <c r="Z63" s="6" t="inlineStr">
        <is>
          <t>F4320</t>
        </is>
      </c>
      <c r="AA63" s="6" t="n"/>
      <c r="AB63" s="6" t="n"/>
      <c r="AC63" s="6" t="n"/>
      <c r="AD63" s="5" t="n"/>
      <c r="AE63" s="6" t="inlineStr">
        <is>
          <t>CURRIE, DAVID</t>
        </is>
      </c>
      <c r="AF63" s="6" t="inlineStr">
        <is>
          <t>ASAP - Avondale</t>
        </is>
      </c>
      <c r="AG63" s="6" t="inlineStr">
        <is>
          <t>07/14/2026</t>
        </is>
      </c>
      <c r="AH63" s="6" t="inlineStr">
        <is>
          <t>BH</t>
        </is>
      </c>
      <c r="AI63" s="9" t="n"/>
      <c r="AJ63" s="5" t="n">
        <v>848</v>
      </c>
    </row>
    <row r="64">
      <c r="A64" s="2" t="n"/>
      <c r="B64" s="3" t="n"/>
      <c r="C64" s="4" t="n"/>
      <c r="D64" s="5" t="n">
        <v>562674720</v>
      </c>
      <c r="E64" s="6" t="inlineStr">
        <is>
          <t>HF521915818</t>
        </is>
      </c>
      <c r="F64" s="6" t="inlineStr">
        <is>
          <t>06/17/2026</t>
        </is>
      </c>
      <c r="G64" s="6" t="inlineStr">
        <is>
          <t>Aetna Legacy</t>
        </is>
      </c>
      <c r="H64" s="6" t="inlineStr">
        <is>
          <t>Aetna Legacy</t>
        </is>
      </c>
      <c r="I64" s="6" t="inlineStr">
        <is>
          <t>No Payer</t>
        </is>
      </c>
      <c r="J64" s="6" t="inlineStr">
        <is>
          <t>99492</t>
        </is>
      </c>
      <c r="K64" s="4" t="n"/>
      <c r="L64" s="5">
        <f>IF($M64="","",$M64-TODAY())</f>
        <v/>
      </c>
      <c r="M64" s="7" t="n">
        <v>46310</v>
      </c>
      <c r="N64" s="6" t="inlineStr">
        <is>
          <t>120 days</t>
        </is>
      </c>
      <c r="O64" s="6" t="inlineStr">
        <is>
          <t>AETNA</t>
        </is>
      </c>
      <c r="P64" s="6" t="n"/>
      <c r="Q64" s="6" t="n"/>
      <c r="R64" s="6" t="n"/>
      <c r="S64" s="5" t="n">
        <v>1</v>
      </c>
      <c r="T64" s="8" t="n">
        <v>1029.98</v>
      </c>
      <c r="U64" s="8" t="n">
        <v>0</v>
      </c>
      <c r="V64" s="8" t="n">
        <v>0</v>
      </c>
      <c r="W64" s="6" t="n"/>
      <c r="X64" s="8" t="n">
        <v>1029.98</v>
      </c>
      <c r="Y64" s="5" t="n">
        <v>52</v>
      </c>
      <c r="Z64" s="6" t="inlineStr">
        <is>
          <t>F39</t>
        </is>
      </c>
      <c r="AA64" s="6" t="n"/>
      <c r="AB64" s="6" t="n"/>
      <c r="AC64" s="6" t="n"/>
      <c r="AD64" s="5" t="n"/>
      <c r="AE64" s="6" t="inlineStr">
        <is>
          <t>BURGHER, ABRAM</t>
        </is>
      </c>
      <c r="AF64" s="6" t="inlineStr">
        <is>
          <t>ASAP - Gilbert</t>
        </is>
      </c>
      <c r="AG64" s="6" t="inlineStr">
        <is>
          <t>07/14/2026</t>
        </is>
      </c>
      <c r="AH64" s="6" t="inlineStr">
        <is>
          <t>BH</t>
        </is>
      </c>
      <c r="AI64" s="9" t="inlineStr">
        <is>
          <t>120 days is per our contract rather than a published Aetna policy.</t>
        </is>
      </c>
      <c r="AJ64" s="5" t="n">
        <v>1041</v>
      </c>
    </row>
    <row r="65">
      <c r="A65" s="2" t="n"/>
      <c r="B65" s="3" t="n"/>
      <c r="C65" s="4" t="n"/>
      <c r="D65" s="5" t="n">
        <v>562674720</v>
      </c>
      <c r="E65" s="6" t="inlineStr">
        <is>
          <t>HF521915818</t>
        </is>
      </c>
      <c r="F65" s="6" t="inlineStr">
        <is>
          <t>06/17/2026</t>
        </is>
      </c>
      <c r="G65" s="6" t="inlineStr">
        <is>
          <t>Aetna Legacy</t>
        </is>
      </c>
      <c r="H65" s="6" t="inlineStr">
        <is>
          <t>Aetna Legacy</t>
        </is>
      </c>
      <c r="I65" s="6" t="inlineStr">
        <is>
          <t>No Payer</t>
        </is>
      </c>
      <c r="J65" s="6" t="inlineStr">
        <is>
          <t>99494</t>
        </is>
      </c>
      <c r="K65" s="4" t="n"/>
      <c r="L65" s="5">
        <f>IF($M65="","",$M65-TODAY())</f>
        <v/>
      </c>
      <c r="M65" s="7" t="n">
        <v>46310</v>
      </c>
      <c r="N65" s="6" t="inlineStr">
        <is>
          <t>120 days</t>
        </is>
      </c>
      <c r="O65" s="6" t="inlineStr">
        <is>
          <t>AETNA</t>
        </is>
      </c>
      <c r="P65" s="6" t="n"/>
      <c r="Q65" s="6" t="n"/>
      <c r="R65" s="6" t="n"/>
      <c r="S65" s="5" t="n">
        <v>1</v>
      </c>
      <c r="T65" s="8" t="n">
        <v>396.27</v>
      </c>
      <c r="U65" s="8" t="n">
        <v>0</v>
      </c>
      <c r="V65" s="8" t="n">
        <v>0</v>
      </c>
      <c r="W65" s="6" t="n"/>
      <c r="X65" s="8" t="n">
        <v>396.27</v>
      </c>
      <c r="Y65" s="5" t="n">
        <v>52</v>
      </c>
      <c r="Z65" s="6" t="inlineStr">
        <is>
          <t>F39</t>
        </is>
      </c>
      <c r="AA65" s="6" t="n"/>
      <c r="AB65" s="6" t="n"/>
      <c r="AC65" s="6" t="n"/>
      <c r="AD65" s="5" t="n"/>
      <c r="AE65" s="6" t="inlineStr">
        <is>
          <t>BURGHER, ABRAM</t>
        </is>
      </c>
      <c r="AF65" s="6" t="inlineStr">
        <is>
          <t>ASAP - Gilbert</t>
        </is>
      </c>
      <c r="AG65" s="6" t="inlineStr">
        <is>
          <t>07/14/2026</t>
        </is>
      </c>
      <c r="AH65" s="6" t="inlineStr">
        <is>
          <t>BH</t>
        </is>
      </c>
      <c r="AI65" s="9" t="inlineStr">
        <is>
          <t>120 days is per our contract rather than a published Aetna policy.</t>
        </is>
      </c>
      <c r="AJ65" s="5" t="n">
        <v>1042</v>
      </c>
    </row>
    <row r="66">
      <c r="A66" s="2" t="n"/>
      <c r="B66" s="3" t="n"/>
      <c r="C66" s="4" t="n"/>
      <c r="D66" s="5" t="n">
        <v>562865132</v>
      </c>
      <c r="E66" s="6" t="inlineStr">
        <is>
          <t>HF332213773</t>
        </is>
      </c>
      <c r="F66" s="6" t="inlineStr">
        <is>
          <t>06/19/2026</t>
        </is>
      </c>
      <c r="G66" s="6" t="inlineStr">
        <is>
          <t>Aetna Legacy</t>
        </is>
      </c>
      <c r="H66" s="6" t="inlineStr">
        <is>
          <t>Aetna Legacy</t>
        </is>
      </c>
      <c r="I66" s="6" t="inlineStr">
        <is>
          <t>No Payer</t>
        </is>
      </c>
      <c r="J66" s="6" t="inlineStr">
        <is>
          <t>99492</t>
        </is>
      </c>
      <c r="K66" s="4" t="n"/>
      <c r="L66" s="5">
        <f>IF($M66="","",$M66-TODAY())</f>
        <v/>
      </c>
      <c r="M66" s="7" t="n">
        <v>46312</v>
      </c>
      <c r="N66" s="6" t="inlineStr">
        <is>
          <t>120 days</t>
        </is>
      </c>
      <c r="O66" s="6" t="inlineStr">
        <is>
          <t>AETNA</t>
        </is>
      </c>
      <c r="P66" s="6" t="n"/>
      <c r="Q66" s="6" t="n"/>
      <c r="R66" s="6" t="n"/>
      <c r="S66" s="5" t="n">
        <v>1</v>
      </c>
      <c r="T66" s="8" t="n">
        <v>1029.98</v>
      </c>
      <c r="U66" s="8" t="n">
        <v>0</v>
      </c>
      <c r="V66" s="8" t="n">
        <v>0</v>
      </c>
      <c r="W66" s="6" t="n"/>
      <c r="X66" s="8" t="n">
        <v>1029.98</v>
      </c>
      <c r="Y66" s="5" t="n">
        <v>50</v>
      </c>
      <c r="Z66" s="6" t="inlineStr">
        <is>
          <t>F4320</t>
        </is>
      </c>
      <c r="AA66" s="6" t="n"/>
      <c r="AB66" s="6" t="n"/>
      <c r="AC66" s="6" t="n"/>
      <c r="AD66" s="5" t="n"/>
      <c r="AE66" s="6" t="inlineStr">
        <is>
          <t>MCMURDIE, TODD</t>
        </is>
      </c>
      <c r="AF66" s="6" t="inlineStr">
        <is>
          <t>ASAP - Surprise - Reems</t>
        </is>
      </c>
      <c r="AG66" s="6" t="inlineStr">
        <is>
          <t>07/14/2026</t>
        </is>
      </c>
      <c r="AH66" s="6" t="inlineStr">
        <is>
          <t>BH</t>
        </is>
      </c>
      <c r="AI66" s="9" t="inlineStr">
        <is>
          <t>120 days is per our contract rather than a published Aetna policy.</t>
        </is>
      </c>
      <c r="AJ66" s="5" t="n">
        <v>823</v>
      </c>
    </row>
    <row r="67">
      <c r="A67" s="2" t="n"/>
      <c r="B67" s="3" t="n"/>
      <c r="C67" s="4" t="n"/>
      <c r="D67" s="5" t="n">
        <v>562865132</v>
      </c>
      <c r="E67" s="6" t="inlineStr">
        <is>
          <t>HF332213773</t>
        </is>
      </c>
      <c r="F67" s="6" t="inlineStr">
        <is>
          <t>06/19/2026</t>
        </is>
      </c>
      <c r="G67" s="6" t="inlineStr">
        <is>
          <t>Aetna Legacy</t>
        </is>
      </c>
      <c r="H67" s="6" t="inlineStr">
        <is>
          <t>Aetna Legacy</t>
        </is>
      </c>
      <c r="I67" s="6" t="inlineStr">
        <is>
          <t>No Payer</t>
        </is>
      </c>
      <c r="J67" s="6" t="inlineStr">
        <is>
          <t>99494</t>
        </is>
      </c>
      <c r="K67" s="4" t="n"/>
      <c r="L67" s="5">
        <f>IF($M67="","",$M67-TODAY())</f>
        <v/>
      </c>
      <c r="M67" s="7" t="n">
        <v>46312</v>
      </c>
      <c r="N67" s="6" t="inlineStr">
        <is>
          <t>120 days</t>
        </is>
      </c>
      <c r="O67" s="6" t="inlineStr">
        <is>
          <t>AETNA</t>
        </is>
      </c>
      <c r="P67" s="6" t="n"/>
      <c r="Q67" s="6" t="n"/>
      <c r="R67" s="6" t="n"/>
      <c r="S67" s="5" t="n">
        <v>1</v>
      </c>
      <c r="T67" s="8" t="n">
        <v>396.27</v>
      </c>
      <c r="U67" s="8" t="n">
        <v>0</v>
      </c>
      <c r="V67" s="8" t="n">
        <v>0</v>
      </c>
      <c r="W67" s="6" t="n"/>
      <c r="X67" s="8" t="n">
        <v>396.27</v>
      </c>
      <c r="Y67" s="5" t="n">
        <v>50</v>
      </c>
      <c r="Z67" s="6" t="inlineStr">
        <is>
          <t>F4320</t>
        </is>
      </c>
      <c r="AA67" s="6" t="n"/>
      <c r="AB67" s="6" t="n"/>
      <c r="AC67" s="6" t="n"/>
      <c r="AD67" s="5" t="n"/>
      <c r="AE67" s="6" t="inlineStr">
        <is>
          <t>MCMURDIE, TODD</t>
        </is>
      </c>
      <c r="AF67" s="6" t="inlineStr">
        <is>
          <t>ASAP - Surprise - Reems</t>
        </is>
      </c>
      <c r="AG67" s="6" t="inlineStr">
        <is>
          <t>07/14/2026</t>
        </is>
      </c>
      <c r="AH67" s="6" t="inlineStr">
        <is>
          <t>BH</t>
        </is>
      </c>
      <c r="AI67" s="9" t="inlineStr">
        <is>
          <t>120 days is per our contract rather than a published Aetna policy.</t>
        </is>
      </c>
      <c r="AJ67" s="5" t="n">
        <v>830</v>
      </c>
    </row>
    <row r="68">
      <c r="A68" s="2" t="n"/>
      <c r="B68" s="3" t="n"/>
      <c r="C68" s="4" t="n"/>
      <c r="D68" s="5" t="n">
        <v>563308164</v>
      </c>
      <c r="E68" s="6" t="inlineStr">
        <is>
          <t>HF447955847</t>
        </is>
      </c>
      <c r="F68" s="6" t="inlineStr">
        <is>
          <t>06/22/2026</t>
        </is>
      </c>
      <c r="G68" s="6" t="inlineStr">
        <is>
          <t>Banner Health &amp; Aetna Health Insurance Company</t>
        </is>
      </c>
      <c r="H68" s="6" t="inlineStr">
        <is>
          <t>Banner Health &amp; Aetna Health Insurance Company</t>
        </is>
      </c>
      <c r="I68" s="6" t="inlineStr">
        <is>
          <t>No Payer</t>
        </is>
      </c>
      <c r="J68" s="6" t="inlineStr">
        <is>
          <t>99492</t>
        </is>
      </c>
      <c r="K68" s="4" t="n"/>
      <c r="L68" s="5">
        <f>IF($M68="","",$M68-TODAY())</f>
        <v/>
      </c>
      <c r="M68" s="7" t="n">
        <v>46315</v>
      </c>
      <c r="N68" s="6" t="inlineStr">
        <is>
          <t>120 days</t>
        </is>
      </c>
      <c r="O68" s="6" t="inlineStr">
        <is>
          <t>BANNER HEALTH &amp; AETNA</t>
        </is>
      </c>
      <c r="P68" s="6" t="n"/>
      <c r="Q68" s="6" t="n"/>
      <c r="R68" s="6" t="n"/>
      <c r="S68" s="5" t="n">
        <v>1</v>
      </c>
      <c r="T68" s="8" t="n">
        <v>1029.98</v>
      </c>
      <c r="U68" s="8" t="n">
        <v>0</v>
      </c>
      <c r="V68" s="8" t="n">
        <v>0</v>
      </c>
      <c r="W68" s="6" t="n"/>
      <c r="X68" s="8" t="n">
        <v>1029.98</v>
      </c>
      <c r="Y68" s="5" t="n">
        <v>47</v>
      </c>
      <c r="Z68" s="6" t="inlineStr">
        <is>
          <t>F1190</t>
        </is>
      </c>
      <c r="AA68" s="6" t="n"/>
      <c r="AB68" s="6" t="n"/>
      <c r="AC68" s="6" t="n"/>
      <c r="AD68" s="5" t="n"/>
      <c r="AE68" s="6" t="inlineStr">
        <is>
          <t>TURLEY, TODD</t>
        </is>
      </c>
      <c r="AF68" s="6" t="inlineStr">
        <is>
          <t>ASAP Peoria</t>
        </is>
      </c>
      <c r="AG68" s="6" t="inlineStr">
        <is>
          <t>07/14/2026</t>
        </is>
      </c>
      <c r="AH68" s="6" t="inlineStr">
        <is>
          <t>BH</t>
        </is>
      </c>
      <c r="AI68" s="9" t="n"/>
      <c r="AJ68" s="5" t="n">
        <v>832</v>
      </c>
    </row>
    <row r="69">
      <c r="A69" s="2" t="n"/>
      <c r="B69" s="3" t="n"/>
      <c r="C69" s="4" t="n"/>
      <c r="D69" s="5" t="n">
        <v>563308164</v>
      </c>
      <c r="E69" s="6" t="inlineStr">
        <is>
          <t>HF447955847</t>
        </is>
      </c>
      <c r="F69" s="6" t="inlineStr">
        <is>
          <t>06/22/2026</t>
        </is>
      </c>
      <c r="G69" s="6" t="inlineStr">
        <is>
          <t>Banner Health &amp; Aetna Health Insurance Company</t>
        </is>
      </c>
      <c r="H69" s="6" t="inlineStr">
        <is>
          <t>Banner Health &amp; Aetna Health Insurance Company</t>
        </is>
      </c>
      <c r="I69" s="6" t="inlineStr">
        <is>
          <t>No Payer</t>
        </is>
      </c>
      <c r="J69" s="6" t="inlineStr">
        <is>
          <t>99494</t>
        </is>
      </c>
      <c r="K69" s="4" t="n"/>
      <c r="L69" s="5">
        <f>IF($M69="","",$M69-TODAY())</f>
        <v/>
      </c>
      <c r="M69" s="7" t="n">
        <v>46315</v>
      </c>
      <c r="N69" s="6" t="inlineStr">
        <is>
          <t>120 days</t>
        </is>
      </c>
      <c r="O69" s="6" t="inlineStr">
        <is>
          <t>BANNER HEALTH &amp; AETNA</t>
        </is>
      </c>
      <c r="P69" s="6" t="n"/>
      <c r="Q69" s="6" t="n"/>
      <c r="R69" s="6" t="n"/>
      <c r="S69" s="5" t="n">
        <v>1</v>
      </c>
      <c r="T69" s="8" t="n">
        <v>396.27</v>
      </c>
      <c r="U69" s="8" t="n">
        <v>0</v>
      </c>
      <c r="V69" s="8" t="n">
        <v>0</v>
      </c>
      <c r="W69" s="6" t="n"/>
      <c r="X69" s="8" t="n">
        <v>396.27</v>
      </c>
      <c r="Y69" s="5" t="n">
        <v>47</v>
      </c>
      <c r="Z69" s="6" t="inlineStr">
        <is>
          <t>F1190</t>
        </is>
      </c>
      <c r="AA69" s="6" t="n"/>
      <c r="AB69" s="6" t="n"/>
      <c r="AC69" s="6" t="n"/>
      <c r="AD69" s="5" t="n"/>
      <c r="AE69" s="6" t="inlineStr">
        <is>
          <t>TURLEY, TODD</t>
        </is>
      </c>
      <c r="AF69" s="6" t="inlineStr">
        <is>
          <t>ASAP Peoria</t>
        </is>
      </c>
      <c r="AG69" s="6" t="inlineStr">
        <is>
          <t>07/14/2026</t>
        </is>
      </c>
      <c r="AH69" s="6" t="inlineStr">
        <is>
          <t>BH</t>
        </is>
      </c>
      <c r="AI69" s="9" t="n"/>
      <c r="AJ69" s="5" t="n">
        <v>833</v>
      </c>
    </row>
    <row r="70">
      <c r="A70" s="2" t="n"/>
      <c r="B70" s="3" t="n"/>
      <c r="C70" s="4" t="n"/>
      <c r="D70" s="5" t="n">
        <v>561204793</v>
      </c>
      <c r="E70" s="6" t="inlineStr">
        <is>
          <t>HF508997880</t>
        </is>
      </c>
      <c r="F70" s="6" t="inlineStr">
        <is>
          <t>06/03/2026</t>
        </is>
      </c>
      <c r="G70" s="6" t="inlineStr">
        <is>
          <t>TRIWEST VA CCN CLAIMS</t>
        </is>
      </c>
      <c r="H70" s="6" t="inlineStr">
        <is>
          <t>TRIWEST VA CCN CLAIMS</t>
        </is>
      </c>
      <c r="I70" s="6" t="inlineStr">
        <is>
          <t>No Payer</t>
        </is>
      </c>
      <c r="J70" s="6" t="inlineStr">
        <is>
          <t>99494</t>
        </is>
      </c>
      <c r="K70" s="4" t="n"/>
      <c r="L70" s="5">
        <f>IF($M70="","",$M70-TODAY())</f>
        <v/>
      </c>
      <c r="M70" s="7" t="n">
        <v>46356</v>
      </c>
      <c r="N70" s="6" t="inlineStr">
        <is>
          <t>180 days</t>
        </is>
      </c>
      <c r="O70" s="6" t="inlineStr">
        <is>
          <t>VETERANS ADMIN (VA CCN)</t>
        </is>
      </c>
      <c r="P70" s="6" t="n"/>
      <c r="Q70" s="6" t="n"/>
      <c r="R70" s="6" t="n"/>
      <c r="S70" s="5" t="n">
        <v>1</v>
      </c>
      <c r="T70" s="8" t="n">
        <v>396.27</v>
      </c>
      <c r="U70" s="8" t="n">
        <v>0</v>
      </c>
      <c r="V70" s="8" t="n">
        <v>0</v>
      </c>
      <c r="W70" s="6" t="n"/>
      <c r="X70" s="8" t="n">
        <v>396.27</v>
      </c>
      <c r="Y70" s="5" t="n">
        <v>66</v>
      </c>
      <c r="Z70" s="6" t="inlineStr">
        <is>
          <t>F39</t>
        </is>
      </c>
      <c r="AA70" s="6" t="n"/>
      <c r="AB70" s="6" t="n"/>
      <c r="AC70" s="6" t="n"/>
      <c r="AD70" s="5" t="n"/>
      <c r="AE70" s="6" t="inlineStr">
        <is>
          <t>LEATHEM, JARRETT</t>
        </is>
      </c>
      <c r="AF70" s="6" t="inlineStr">
        <is>
          <t>ASAP - Gilbert</t>
        </is>
      </c>
      <c r="AG70" s="6" t="inlineStr">
        <is>
          <t>07/14/2026</t>
        </is>
      </c>
      <c r="AH70" s="6" t="inlineStr">
        <is>
          <t>BH</t>
        </is>
      </c>
      <c r="AI70" s="9" t="n"/>
      <c r="AJ70" s="5" t="n">
        <v>810</v>
      </c>
    </row>
    <row r="71">
      <c r="A71" s="2" t="n"/>
      <c r="B71" s="3" t="n"/>
      <c r="C71" s="4" t="n"/>
      <c r="D71" s="5" t="n">
        <v>561204793</v>
      </c>
      <c r="E71" s="6" t="inlineStr">
        <is>
          <t>HF508997880</t>
        </is>
      </c>
      <c r="F71" s="6" t="inlineStr">
        <is>
          <t>06/03/2026</t>
        </is>
      </c>
      <c r="G71" s="6" t="inlineStr">
        <is>
          <t>TRIWEST VA CCN CLAIMS</t>
        </is>
      </c>
      <c r="H71" s="6" t="inlineStr">
        <is>
          <t>TRIWEST VA CCN CLAIMS</t>
        </is>
      </c>
      <c r="I71" s="6" t="inlineStr">
        <is>
          <t>No Payer</t>
        </is>
      </c>
      <c r="J71" s="6" t="inlineStr">
        <is>
          <t>99492</t>
        </is>
      </c>
      <c r="K71" s="4" t="n"/>
      <c r="L71" s="5">
        <f>IF($M71="","",$M71-TODAY())</f>
        <v/>
      </c>
      <c r="M71" s="7" t="n">
        <v>46356</v>
      </c>
      <c r="N71" s="6" t="inlineStr">
        <is>
          <t>180 days</t>
        </is>
      </c>
      <c r="O71" s="6" t="inlineStr">
        <is>
          <t>VETERANS ADMIN (VA CCN)</t>
        </is>
      </c>
      <c r="P71" s="6" t="n"/>
      <c r="Q71" s="6" t="n"/>
      <c r="R71" s="6" t="n"/>
      <c r="S71" s="5" t="n">
        <v>1</v>
      </c>
      <c r="T71" s="8" t="n">
        <v>1029.98</v>
      </c>
      <c r="U71" s="8" t="n">
        <v>0</v>
      </c>
      <c r="V71" s="8" t="n">
        <v>0</v>
      </c>
      <c r="W71" s="6" t="n"/>
      <c r="X71" s="8" t="n">
        <v>1029.98</v>
      </c>
      <c r="Y71" s="5" t="n">
        <v>66</v>
      </c>
      <c r="Z71" s="6" t="inlineStr">
        <is>
          <t>F39</t>
        </is>
      </c>
      <c r="AA71" s="6" t="n"/>
      <c r="AB71" s="6" t="n"/>
      <c r="AC71" s="6" t="n"/>
      <c r="AD71" s="5" t="n"/>
      <c r="AE71" s="6" t="inlineStr">
        <is>
          <t>LEATHEM, JARRETT</t>
        </is>
      </c>
      <c r="AF71" s="6" t="inlineStr">
        <is>
          <t>ASAP - Gilbert</t>
        </is>
      </c>
      <c r="AG71" s="6" t="inlineStr">
        <is>
          <t>07/14/2026</t>
        </is>
      </c>
      <c r="AH71" s="6" t="inlineStr">
        <is>
          <t>BH</t>
        </is>
      </c>
      <c r="AI71" s="9" t="n"/>
      <c r="AJ71" s="5" t="n">
        <v>811</v>
      </c>
    </row>
    <row r="72">
      <c r="A72" s="2" t="n"/>
      <c r="B72" s="3" t="n"/>
      <c r="C72" s="4" t="n"/>
      <c r="D72" s="5" t="n">
        <v>561217884</v>
      </c>
      <c r="E72" s="6" t="inlineStr">
        <is>
          <t>HF541566740</t>
        </is>
      </c>
      <c r="F72" s="6" t="inlineStr">
        <is>
          <t>06/02/2026</t>
        </is>
      </c>
      <c r="G72" s="6" t="inlineStr">
        <is>
          <t>Health Choice Pathway (Health Choice Generations)</t>
        </is>
      </c>
      <c r="H72" s="6" t="inlineStr">
        <is>
          <t>Health Choice Pathway (Health Choice Generations)</t>
        </is>
      </c>
      <c r="I72" s="6" t="inlineStr">
        <is>
          <t>Health Choice Arizona</t>
        </is>
      </c>
      <c r="J72" s="6" t="inlineStr">
        <is>
          <t>99494</t>
        </is>
      </c>
      <c r="K72" s="4" t="n"/>
      <c r="L72" s="5">
        <f>IF($M72="","",$M72-TODAY())</f>
        <v/>
      </c>
      <c r="M72" s="7" t="n">
        <v>46358</v>
      </c>
      <c r="N72" s="6" t="inlineStr">
        <is>
          <t>6 months</t>
        </is>
      </c>
      <c r="O72" s="6" t="inlineStr">
        <is>
          <t>HEALTH CHOICE PATHWAY (HEALTH CHOICE GENERATIONS)</t>
        </is>
      </c>
      <c r="P72" s="6" t="n"/>
      <c r="Q72" s="6" t="n"/>
      <c r="R72" s="6" t="n"/>
      <c r="S72" s="5" t="n">
        <v>1</v>
      </c>
      <c r="T72" s="8" t="n">
        <v>396.27</v>
      </c>
      <c r="U72" s="8" t="n">
        <v>0</v>
      </c>
      <c r="V72" s="8" t="n">
        <v>0</v>
      </c>
      <c r="W72" s="6" t="n"/>
      <c r="X72" s="8" t="n">
        <v>396.27</v>
      </c>
      <c r="Y72" s="5" t="n">
        <v>67</v>
      </c>
      <c r="Z72" s="6" t="inlineStr">
        <is>
          <t>F330</t>
        </is>
      </c>
      <c r="AA72" s="6" t="inlineStr">
        <is>
          <t>F411</t>
        </is>
      </c>
      <c r="AB72" s="6" t="n"/>
      <c r="AC72" s="6" t="n"/>
      <c r="AD72" s="5" t="n"/>
      <c r="AE72" s="6" t="inlineStr">
        <is>
          <t>TURLEY, TODD</t>
        </is>
      </c>
      <c r="AF72" s="6" t="inlineStr">
        <is>
          <t>ASAP Peoria</t>
        </is>
      </c>
      <c r="AG72" s="6" t="inlineStr">
        <is>
          <t>07/14/2026</t>
        </is>
      </c>
      <c r="AH72" s="6" t="inlineStr">
        <is>
          <t>BH</t>
        </is>
      </c>
      <c r="AI72" s="9" t="inlineStr">
        <is>
          <t>Limit is stated in months, not days - counted as 6 calendar months.</t>
        </is>
      </c>
      <c r="AJ72" s="5" t="n">
        <v>288</v>
      </c>
    </row>
    <row r="73">
      <c r="A73" s="2" t="n"/>
      <c r="B73" s="3" t="n"/>
      <c r="C73" s="4" t="n"/>
      <c r="D73" s="5" t="n">
        <v>561217884</v>
      </c>
      <c r="E73" s="6" t="inlineStr">
        <is>
          <t>HF541566740</t>
        </is>
      </c>
      <c r="F73" s="6" t="inlineStr">
        <is>
          <t>06/02/2026</t>
        </is>
      </c>
      <c r="G73" s="6" t="inlineStr">
        <is>
          <t>Health Choice Pathway (Health Choice Generations)</t>
        </is>
      </c>
      <c r="H73" s="6" t="inlineStr">
        <is>
          <t>Health Choice Pathway (Health Choice Generations)</t>
        </is>
      </c>
      <c r="I73" s="6" t="inlineStr">
        <is>
          <t>Health Choice Arizona</t>
        </is>
      </c>
      <c r="J73" s="6" t="inlineStr">
        <is>
          <t>99493</t>
        </is>
      </c>
      <c r="K73" s="4" t="n"/>
      <c r="L73" s="5">
        <f>IF($M73="","",$M73-TODAY())</f>
        <v/>
      </c>
      <c r="M73" s="7" t="n">
        <v>46358</v>
      </c>
      <c r="N73" s="6" t="inlineStr">
        <is>
          <t>6 months</t>
        </is>
      </c>
      <c r="O73" s="6" t="inlineStr">
        <is>
          <t>HEALTH CHOICE PATHWAY (HEALTH CHOICE GENERATIONS)</t>
        </is>
      </c>
      <c r="P73" s="6" t="n"/>
      <c r="Q73" s="6" t="n"/>
      <c r="R73" s="6" t="n"/>
      <c r="S73" s="5" t="n">
        <v>1</v>
      </c>
      <c r="T73" s="8" t="n">
        <v>976.64</v>
      </c>
      <c r="U73" s="8" t="n">
        <v>0</v>
      </c>
      <c r="V73" s="8" t="n">
        <v>0</v>
      </c>
      <c r="W73" s="6" t="n"/>
      <c r="X73" s="8" t="n">
        <v>976.64</v>
      </c>
      <c r="Y73" s="5" t="n">
        <v>67</v>
      </c>
      <c r="Z73" s="6" t="inlineStr">
        <is>
          <t>F330</t>
        </is>
      </c>
      <c r="AA73" s="6" t="inlineStr">
        <is>
          <t>F411</t>
        </is>
      </c>
      <c r="AB73" s="6" t="n"/>
      <c r="AC73" s="6" t="n"/>
      <c r="AD73" s="5" t="n"/>
      <c r="AE73" s="6" t="inlineStr">
        <is>
          <t>TURLEY, TODD</t>
        </is>
      </c>
      <c r="AF73" s="6" t="inlineStr">
        <is>
          <t>ASAP Peoria</t>
        </is>
      </c>
      <c r="AG73" s="6" t="inlineStr">
        <is>
          <t>07/14/2026</t>
        </is>
      </c>
      <c r="AH73" s="6" t="inlineStr">
        <is>
          <t>BH</t>
        </is>
      </c>
      <c r="AI73" s="9" t="inlineStr">
        <is>
          <t>Limit is stated in months, not days - counted as 6 calendar months.</t>
        </is>
      </c>
      <c r="AJ73" s="5" t="n">
        <v>289</v>
      </c>
    </row>
    <row r="74">
      <c r="A74" s="2" t="n"/>
      <c r="B74" s="3" t="n"/>
      <c r="C74" s="4" t="n"/>
      <c r="D74" s="5" t="n">
        <v>561176209</v>
      </c>
      <c r="E74" s="6" t="inlineStr">
        <is>
          <t>HF548624574</t>
        </is>
      </c>
      <c r="F74" s="6" t="inlineStr">
        <is>
          <t>06/01/2026</t>
        </is>
      </c>
      <c r="G74" s="6" t="inlineStr">
        <is>
          <t>Medicare Part B Arizona *</t>
        </is>
      </c>
      <c r="H74" s="6" t="inlineStr">
        <is>
          <t>Medicare Part B Arizona *</t>
        </is>
      </c>
      <c r="I74" s="6" t="inlineStr">
        <is>
          <t>No Payer</t>
        </is>
      </c>
      <c r="J74" s="6" t="inlineStr">
        <is>
          <t>99493</t>
        </is>
      </c>
      <c r="K74" s="4" t="n"/>
      <c r="L74" s="5">
        <f>IF($M74="","",$M74-TODAY())</f>
        <v/>
      </c>
      <c r="M74" s="7" t="n">
        <v>46539</v>
      </c>
      <c r="N74" s="6" t="inlineStr">
        <is>
          <t>365 days</t>
        </is>
      </c>
      <c r="O74" s="6" t="inlineStr">
        <is>
          <t>MEDICARE</t>
        </is>
      </c>
      <c r="P74" s="6" t="n"/>
      <c r="Q74" s="6" t="n"/>
      <c r="R74" s="6" t="n"/>
      <c r="S74" s="5" t="n">
        <v>1</v>
      </c>
      <c r="T74" s="8" t="n">
        <v>976.64</v>
      </c>
      <c r="U74" s="8" t="n">
        <v>0</v>
      </c>
      <c r="V74" s="8" t="n">
        <v>0</v>
      </c>
      <c r="W74" s="6" t="n"/>
      <c r="X74" s="8" t="n">
        <v>976.64</v>
      </c>
      <c r="Y74" s="5" t="n">
        <v>68</v>
      </c>
      <c r="Z74" s="6" t="inlineStr">
        <is>
          <t>F330</t>
        </is>
      </c>
      <c r="AA74" s="6" t="n"/>
      <c r="AB74" s="6" t="n"/>
      <c r="AC74" s="6" t="n"/>
      <c r="AD74" s="5" t="n"/>
      <c r="AE74" s="6" t="inlineStr">
        <is>
          <t>MORALES, DAVID</t>
        </is>
      </c>
      <c r="AF74" s="6" t="inlineStr">
        <is>
          <t>ASAP Peoria</t>
        </is>
      </c>
      <c r="AG74" s="6" t="inlineStr">
        <is>
          <t>07/14/2026</t>
        </is>
      </c>
      <c r="AH74" s="6" t="inlineStr">
        <is>
          <t>BH</t>
        </is>
      </c>
      <c r="AI74" s="9" t="n"/>
      <c r="AJ74" s="5" t="n">
        <v>944</v>
      </c>
    </row>
    <row r="75">
      <c r="A75" s="2" t="n"/>
      <c r="B75" s="3" t="n"/>
      <c r="C75" s="4" t="n"/>
      <c r="D75" s="5" t="n">
        <v>561176209</v>
      </c>
      <c r="E75" s="6" t="inlineStr">
        <is>
          <t>HF548624574</t>
        </is>
      </c>
      <c r="F75" s="6" t="inlineStr">
        <is>
          <t>06/01/2026</t>
        </is>
      </c>
      <c r="G75" s="6" t="inlineStr">
        <is>
          <t>Medicare Part B Arizona *</t>
        </is>
      </c>
      <c r="H75" s="6" t="inlineStr">
        <is>
          <t>Medicare Part B Arizona *</t>
        </is>
      </c>
      <c r="I75" s="6" t="inlineStr">
        <is>
          <t>No Payer</t>
        </is>
      </c>
      <c r="J75" s="6" t="inlineStr">
        <is>
          <t>99494</t>
        </is>
      </c>
      <c r="K75" s="4" t="n"/>
      <c r="L75" s="5">
        <f>IF($M75="","",$M75-TODAY())</f>
        <v/>
      </c>
      <c r="M75" s="7" t="n">
        <v>46539</v>
      </c>
      <c r="N75" s="6" t="inlineStr">
        <is>
          <t>365 days</t>
        </is>
      </c>
      <c r="O75" s="6" t="inlineStr">
        <is>
          <t>MEDICARE</t>
        </is>
      </c>
      <c r="P75" s="6" t="n"/>
      <c r="Q75" s="6" t="n"/>
      <c r="R75" s="6" t="n"/>
      <c r="S75" s="5" t="n">
        <v>1</v>
      </c>
      <c r="T75" s="8" t="n">
        <v>396.27</v>
      </c>
      <c r="U75" s="8" t="n">
        <v>0</v>
      </c>
      <c r="V75" s="8" t="n">
        <v>0</v>
      </c>
      <c r="W75" s="6" t="n"/>
      <c r="X75" s="8" t="n">
        <v>396.27</v>
      </c>
      <c r="Y75" s="5" t="n">
        <v>68</v>
      </c>
      <c r="Z75" s="6" t="inlineStr">
        <is>
          <t>F330</t>
        </is>
      </c>
      <c r="AA75" s="6" t="n"/>
      <c r="AB75" s="6" t="n"/>
      <c r="AC75" s="6" t="n"/>
      <c r="AD75" s="5" t="n"/>
      <c r="AE75" s="6" t="inlineStr">
        <is>
          <t>MORALES, DAVID</t>
        </is>
      </c>
      <c r="AF75" s="6" t="inlineStr">
        <is>
          <t>ASAP Peoria</t>
        </is>
      </c>
      <c r="AG75" s="6" t="inlineStr">
        <is>
          <t>07/14/2026</t>
        </is>
      </c>
      <c r="AH75" s="6" t="inlineStr">
        <is>
          <t>BH</t>
        </is>
      </c>
      <c r="AI75" s="9" t="n"/>
      <c r="AJ75" s="5" t="n">
        <v>1066</v>
      </c>
    </row>
    <row r="76">
      <c r="A76" s="2" t="n"/>
      <c r="B76" s="3" t="n"/>
      <c r="C76" s="4" t="n"/>
      <c r="D76" s="5" t="n">
        <v>561218278</v>
      </c>
      <c r="E76" s="6" t="inlineStr">
        <is>
          <t>HF531871840</t>
        </is>
      </c>
      <c r="F76" s="6" t="inlineStr">
        <is>
          <t>06/02/2026</t>
        </is>
      </c>
      <c r="G76" s="6" t="inlineStr">
        <is>
          <t>Medicare Part B Arizona *</t>
        </is>
      </c>
      <c r="H76" s="6" t="inlineStr">
        <is>
          <t>Medicare Part B Arizona *</t>
        </is>
      </c>
      <c r="I76" s="6" t="inlineStr">
        <is>
          <t>Blue Cross Blue Shield of Arizona (BCBS AZ)</t>
        </is>
      </c>
      <c r="J76" s="6" t="inlineStr">
        <is>
          <t>99494</t>
        </is>
      </c>
      <c r="K76" s="4" t="n"/>
      <c r="L76" s="5">
        <f>IF($M76="","",$M76-TODAY())</f>
        <v/>
      </c>
      <c r="M76" s="7" t="n">
        <v>46540</v>
      </c>
      <c r="N76" s="6" t="inlineStr">
        <is>
          <t>365 days</t>
        </is>
      </c>
      <c r="O76" s="6" t="inlineStr">
        <is>
          <t>MEDICARE</t>
        </is>
      </c>
      <c r="P76" s="6" t="n"/>
      <c r="Q76" s="6" t="n"/>
      <c r="R76" s="6" t="n"/>
      <c r="S76" s="5" t="n">
        <v>1</v>
      </c>
      <c r="T76" s="8" t="n">
        <v>396.27</v>
      </c>
      <c r="U76" s="8" t="n">
        <v>0</v>
      </c>
      <c r="V76" s="8" t="n">
        <v>0</v>
      </c>
      <c r="W76" s="6" t="inlineStr">
        <is>
          <t>07/22/2026</t>
        </is>
      </c>
      <c r="X76" s="8" t="n">
        <v>396.27</v>
      </c>
      <c r="Y76" s="5" t="n">
        <v>67</v>
      </c>
      <c r="Z76" s="6" t="inlineStr">
        <is>
          <t>F4320</t>
        </is>
      </c>
      <c r="AA76" s="6" t="n"/>
      <c r="AB76" s="6" t="n"/>
      <c r="AC76" s="6" t="n"/>
      <c r="AD76" s="5" t="n"/>
      <c r="AE76" s="6" t="inlineStr">
        <is>
          <t>SARKAR, AWNIK</t>
        </is>
      </c>
      <c r="AF76" s="6" t="inlineStr">
        <is>
          <t>ASAP Peoria</t>
        </is>
      </c>
      <c r="AG76" s="6" t="inlineStr">
        <is>
          <t>07/14/2026</t>
        </is>
      </c>
      <c r="AH76" s="6" t="inlineStr">
        <is>
          <t>BH</t>
        </is>
      </c>
      <c r="AI76" s="9" t="n"/>
      <c r="AJ76" s="5" t="n">
        <v>902</v>
      </c>
    </row>
    <row r="77">
      <c r="A77" s="2" t="n"/>
      <c r="B77" s="3" t="n"/>
      <c r="C77" s="4" t="n"/>
      <c r="D77" s="5" t="n">
        <v>561218278</v>
      </c>
      <c r="E77" s="6" t="inlineStr">
        <is>
          <t>HF531871840</t>
        </is>
      </c>
      <c r="F77" s="6" t="inlineStr">
        <is>
          <t>06/02/2026</t>
        </is>
      </c>
      <c r="G77" s="6" t="inlineStr">
        <is>
          <t>Medicare Part B Arizona *</t>
        </is>
      </c>
      <c r="H77" s="6" t="inlineStr">
        <is>
          <t>Medicare Part B Arizona *</t>
        </is>
      </c>
      <c r="I77" s="6" t="inlineStr">
        <is>
          <t>Blue Cross Blue Shield of Arizona (BCBS AZ)</t>
        </is>
      </c>
      <c r="J77" s="6" t="inlineStr">
        <is>
          <t>99492</t>
        </is>
      </c>
      <c r="K77" s="4" t="n"/>
      <c r="L77" s="5">
        <f>IF($M77="","",$M77-TODAY())</f>
        <v/>
      </c>
      <c r="M77" s="7" t="n">
        <v>46540</v>
      </c>
      <c r="N77" s="6" t="inlineStr">
        <is>
          <t>365 days</t>
        </is>
      </c>
      <c r="O77" s="6" t="inlineStr">
        <is>
          <t>MEDICARE</t>
        </is>
      </c>
      <c r="P77" s="6" t="n"/>
      <c r="Q77" s="6" t="n"/>
      <c r="R77" s="6" t="n"/>
      <c r="S77" s="5" t="n">
        <v>1</v>
      </c>
      <c r="T77" s="8" t="n">
        <v>1029.98</v>
      </c>
      <c r="U77" s="8" t="n">
        <v>0</v>
      </c>
      <c r="V77" s="8" t="n">
        <v>0</v>
      </c>
      <c r="W77" s="6" t="inlineStr">
        <is>
          <t>07/22/2026</t>
        </is>
      </c>
      <c r="X77" s="8" t="n">
        <v>1029.98</v>
      </c>
      <c r="Y77" s="5" t="n">
        <v>67</v>
      </c>
      <c r="Z77" s="6" t="inlineStr">
        <is>
          <t>F4320</t>
        </is>
      </c>
      <c r="AA77" s="6" t="n"/>
      <c r="AB77" s="6" t="n"/>
      <c r="AC77" s="6" t="n"/>
      <c r="AD77" s="5" t="n"/>
      <c r="AE77" s="6" t="inlineStr">
        <is>
          <t>SARKAR, AWNIK</t>
        </is>
      </c>
      <c r="AF77" s="6" t="inlineStr">
        <is>
          <t>ASAP Peoria</t>
        </is>
      </c>
      <c r="AG77" s="6" t="inlineStr">
        <is>
          <t>07/14/2026</t>
        </is>
      </c>
      <c r="AH77" s="6" t="inlineStr">
        <is>
          <t>BH</t>
        </is>
      </c>
      <c r="AI77" s="9" t="n"/>
      <c r="AJ77" s="5" t="n">
        <v>903</v>
      </c>
    </row>
    <row r="78">
      <c r="A78" s="2" t="n"/>
      <c r="B78" s="3" t="n"/>
      <c r="C78" s="4" t="n"/>
      <c r="D78" s="5" t="n">
        <v>561219432</v>
      </c>
      <c r="E78" s="6" t="inlineStr">
        <is>
          <t>HF467945918</t>
        </is>
      </c>
      <c r="F78" s="6" t="inlineStr">
        <is>
          <t>06/02/2026</t>
        </is>
      </c>
      <c r="G78" s="6" t="inlineStr">
        <is>
          <t>United HealthCare Dual Complete</t>
        </is>
      </c>
      <c r="H78" s="6" t="inlineStr">
        <is>
          <t>United HealthCare Dual Complete</t>
        </is>
      </c>
      <c r="I78" s="6" t="inlineStr">
        <is>
          <t>Banner University Family Care / ACC (AHCCS Complete Care)</t>
        </is>
      </c>
      <c r="J78" s="6" t="inlineStr">
        <is>
          <t>99492</t>
        </is>
      </c>
      <c r="K78" s="4" t="n"/>
      <c r="L78" s="5">
        <f>IF($M78="","",$M78-TODAY())</f>
        <v/>
      </c>
      <c r="M78" s="7" t="n">
        <v>46540</v>
      </c>
      <c r="N78" s="6" t="inlineStr">
        <is>
          <t>365 days</t>
        </is>
      </c>
      <c r="O78" s="6" t="inlineStr">
        <is>
          <t>UHC DUAL COMPLETE</t>
        </is>
      </c>
      <c r="P78" s="6" t="n"/>
      <c r="Q78" s="6" t="n"/>
      <c r="R78" s="6" t="n"/>
      <c r="S78" s="5" t="n">
        <v>1</v>
      </c>
      <c r="T78" s="8" t="n">
        <v>1029.98</v>
      </c>
      <c r="U78" s="8" t="n">
        <v>0</v>
      </c>
      <c r="V78" s="8" t="n">
        <v>0</v>
      </c>
      <c r="W78" s="6" t="n"/>
      <c r="X78" s="8" t="n">
        <v>1029.98</v>
      </c>
      <c r="Y78" s="5" t="n">
        <v>67</v>
      </c>
      <c r="Z78" s="6" t="inlineStr">
        <is>
          <t>F4323</t>
        </is>
      </c>
      <c r="AA78" s="6" t="n"/>
      <c r="AB78" s="6" t="n"/>
      <c r="AC78" s="6" t="n"/>
      <c r="AD78" s="5" t="n"/>
      <c r="AE78" s="6" t="inlineStr">
        <is>
          <t>O'NEIL, ROY</t>
        </is>
      </c>
      <c r="AF78" s="6" t="inlineStr">
        <is>
          <t>ASAP Peoria</t>
        </is>
      </c>
      <c r="AG78" s="6" t="inlineStr">
        <is>
          <t>07/14/2026</t>
        </is>
      </c>
      <c r="AH78" s="6" t="inlineStr">
        <is>
          <t>BH</t>
        </is>
      </c>
      <c r="AI78" s="9" t="n"/>
      <c r="AJ78" s="5" t="n">
        <v>1014</v>
      </c>
    </row>
    <row r="79">
      <c r="A79" s="2" t="n"/>
      <c r="B79" s="3" t="n"/>
      <c r="C79" s="4" t="n"/>
      <c r="D79" s="5" t="n">
        <v>561219432</v>
      </c>
      <c r="E79" s="6" t="inlineStr">
        <is>
          <t>HF467945918</t>
        </is>
      </c>
      <c r="F79" s="6" t="inlineStr">
        <is>
          <t>06/02/2026</t>
        </is>
      </c>
      <c r="G79" s="6" t="inlineStr">
        <is>
          <t>United HealthCare Dual Complete</t>
        </is>
      </c>
      <c r="H79" s="6" t="inlineStr">
        <is>
          <t>United HealthCare Dual Complete</t>
        </is>
      </c>
      <c r="I79" s="6" t="inlineStr">
        <is>
          <t>Banner University Family Care / ACC (AHCCS Complete Care)</t>
        </is>
      </c>
      <c r="J79" s="6" t="inlineStr">
        <is>
          <t>99494</t>
        </is>
      </c>
      <c r="K79" s="4" t="n"/>
      <c r="L79" s="5">
        <f>IF($M79="","",$M79-TODAY())</f>
        <v/>
      </c>
      <c r="M79" s="7" t="n">
        <v>46540</v>
      </c>
      <c r="N79" s="6" t="inlineStr">
        <is>
          <t>365 days</t>
        </is>
      </c>
      <c r="O79" s="6" t="inlineStr">
        <is>
          <t>UHC DUAL COMPLETE</t>
        </is>
      </c>
      <c r="P79" s="6" t="n"/>
      <c r="Q79" s="6" t="n"/>
      <c r="R79" s="6" t="n"/>
      <c r="S79" s="5" t="n">
        <v>1</v>
      </c>
      <c r="T79" s="8" t="n">
        <v>396.27</v>
      </c>
      <c r="U79" s="8" t="n">
        <v>0</v>
      </c>
      <c r="V79" s="8" t="n">
        <v>0</v>
      </c>
      <c r="W79" s="6" t="n"/>
      <c r="X79" s="8" t="n">
        <v>396.27</v>
      </c>
      <c r="Y79" s="5" t="n">
        <v>67</v>
      </c>
      <c r="Z79" s="6" t="inlineStr">
        <is>
          <t>F4323</t>
        </is>
      </c>
      <c r="AA79" s="6" t="n"/>
      <c r="AB79" s="6" t="n"/>
      <c r="AC79" s="6" t="n"/>
      <c r="AD79" s="5" t="n"/>
      <c r="AE79" s="6" t="inlineStr">
        <is>
          <t>O'NEIL, ROY</t>
        </is>
      </c>
      <c r="AF79" s="6" t="inlineStr">
        <is>
          <t>ASAP Peoria</t>
        </is>
      </c>
      <c r="AG79" s="6" t="inlineStr">
        <is>
          <t>07/14/2026</t>
        </is>
      </c>
      <c r="AH79" s="6" t="inlineStr">
        <is>
          <t>BH</t>
        </is>
      </c>
      <c r="AI79" s="9" t="n"/>
      <c r="AJ79" s="5" t="n">
        <v>1015</v>
      </c>
    </row>
    <row r="80">
      <c r="A80" s="2" t="n"/>
      <c r="B80" s="3" t="n"/>
      <c r="C80" s="4" t="n"/>
      <c r="D80" s="5" t="n">
        <v>561404012</v>
      </c>
      <c r="E80" s="6" t="inlineStr">
        <is>
          <t>HF447635685</t>
        </is>
      </c>
      <c r="F80" s="6" t="inlineStr">
        <is>
          <t>06/02/2026</t>
        </is>
      </c>
      <c r="G80" s="6" t="inlineStr">
        <is>
          <t>United HealthCare Dual Complete</t>
        </is>
      </c>
      <c r="H80" s="6" t="inlineStr">
        <is>
          <t>United HealthCare Dual Complete</t>
        </is>
      </c>
      <c r="I80" s="6" t="inlineStr">
        <is>
          <t>UnitedHealthcare Community Plan / Arizona Long Term Care</t>
        </is>
      </c>
      <c r="J80" s="6" t="inlineStr">
        <is>
          <t>99493</t>
        </is>
      </c>
      <c r="K80" s="4" t="n"/>
      <c r="L80" s="5">
        <f>IF($M80="","",$M80-TODAY())</f>
        <v/>
      </c>
      <c r="M80" s="7" t="n">
        <v>46540</v>
      </c>
      <c r="N80" s="6" t="inlineStr">
        <is>
          <t>365 days</t>
        </is>
      </c>
      <c r="O80" s="6" t="inlineStr">
        <is>
          <t>UHC DUAL COMPLETE</t>
        </is>
      </c>
      <c r="P80" s="6" t="n"/>
      <c r="Q80" s="6" t="n"/>
      <c r="R80" s="6" t="n"/>
      <c r="S80" s="5" t="n">
        <v>1</v>
      </c>
      <c r="T80" s="8" t="n">
        <v>976.64</v>
      </c>
      <c r="U80" s="8" t="n">
        <v>0</v>
      </c>
      <c r="V80" s="8" t="n">
        <v>0</v>
      </c>
      <c r="W80" s="6" t="n"/>
      <c r="X80" s="8" t="n">
        <v>976.64</v>
      </c>
      <c r="Y80" s="5" t="n">
        <v>67</v>
      </c>
      <c r="Z80" s="6" t="inlineStr">
        <is>
          <t>F331</t>
        </is>
      </c>
      <c r="AA80" s="6" t="inlineStr">
        <is>
          <t>F411</t>
        </is>
      </c>
      <c r="AB80" s="6" t="n"/>
      <c r="AC80" s="6" t="n"/>
      <c r="AD80" s="5" t="n"/>
      <c r="AE80" s="6" t="inlineStr">
        <is>
          <t>O'NEIL, ROY</t>
        </is>
      </c>
      <c r="AF80" s="6" t="inlineStr">
        <is>
          <t>ASAP Peoria</t>
        </is>
      </c>
      <c r="AG80" s="6" t="inlineStr">
        <is>
          <t>07/14/2026</t>
        </is>
      </c>
      <c r="AH80" s="6" t="inlineStr">
        <is>
          <t>BH</t>
        </is>
      </c>
      <c r="AI80" s="9" t="n"/>
      <c r="AJ80" s="5" t="n">
        <v>1061</v>
      </c>
    </row>
    <row r="81">
      <c r="A81" s="2" t="n"/>
      <c r="B81" s="3" t="n"/>
      <c r="C81" s="4" t="n"/>
      <c r="D81" s="5" t="n">
        <v>561404012</v>
      </c>
      <c r="E81" s="6" t="inlineStr">
        <is>
          <t>HF447635685</t>
        </is>
      </c>
      <c r="F81" s="6" t="inlineStr">
        <is>
          <t>06/02/2026</t>
        </is>
      </c>
      <c r="G81" s="6" t="inlineStr">
        <is>
          <t>United HealthCare Dual Complete</t>
        </is>
      </c>
      <c r="H81" s="6" t="inlineStr">
        <is>
          <t>United HealthCare Dual Complete</t>
        </is>
      </c>
      <c r="I81" s="6" t="inlineStr">
        <is>
          <t>UnitedHealthcare Community Plan / Arizona Long Term Care</t>
        </is>
      </c>
      <c r="J81" s="6" t="inlineStr">
        <is>
          <t>99494</t>
        </is>
      </c>
      <c r="K81" s="4" t="n"/>
      <c r="L81" s="5">
        <f>IF($M81="","",$M81-TODAY())</f>
        <v/>
      </c>
      <c r="M81" s="7" t="n">
        <v>46540</v>
      </c>
      <c r="N81" s="6" t="inlineStr">
        <is>
          <t>365 days</t>
        </is>
      </c>
      <c r="O81" s="6" t="inlineStr">
        <is>
          <t>UHC DUAL COMPLETE</t>
        </is>
      </c>
      <c r="P81" s="6" t="n"/>
      <c r="Q81" s="6" t="n"/>
      <c r="R81" s="6" t="n"/>
      <c r="S81" s="5" t="n">
        <v>1</v>
      </c>
      <c r="T81" s="8" t="n">
        <v>396.27</v>
      </c>
      <c r="U81" s="8" t="n">
        <v>0</v>
      </c>
      <c r="V81" s="8" t="n">
        <v>0</v>
      </c>
      <c r="W81" s="6" t="n"/>
      <c r="X81" s="8" t="n">
        <v>396.27</v>
      </c>
      <c r="Y81" s="5" t="n">
        <v>67</v>
      </c>
      <c r="Z81" s="6" t="inlineStr">
        <is>
          <t>F331</t>
        </is>
      </c>
      <c r="AA81" s="6" t="inlineStr">
        <is>
          <t>F411</t>
        </is>
      </c>
      <c r="AB81" s="6" t="n"/>
      <c r="AC81" s="6" t="n"/>
      <c r="AD81" s="5" t="n"/>
      <c r="AE81" s="6" t="inlineStr">
        <is>
          <t>O'NEIL, ROY</t>
        </is>
      </c>
      <c r="AF81" s="6" t="inlineStr">
        <is>
          <t>ASAP Peoria</t>
        </is>
      </c>
      <c r="AG81" s="6" t="inlineStr">
        <is>
          <t>07/14/2026</t>
        </is>
      </c>
      <c r="AH81" s="6" t="inlineStr">
        <is>
          <t>BH</t>
        </is>
      </c>
      <c r="AI81" s="9" t="n"/>
      <c r="AJ81" s="5" t="n">
        <v>1063</v>
      </c>
    </row>
    <row r="82">
      <c r="A82" s="2" t="n"/>
      <c r="B82" s="3" t="n"/>
      <c r="C82" s="4" t="n"/>
      <c r="D82" s="5" t="n">
        <v>561203871</v>
      </c>
      <c r="E82" s="6" t="inlineStr">
        <is>
          <t>HF507014455</t>
        </is>
      </c>
      <c r="F82" s="6" t="inlineStr">
        <is>
          <t>06/03/2026</t>
        </is>
      </c>
      <c r="G82" s="6" t="inlineStr">
        <is>
          <t>Medicare Part B Arizona *</t>
        </is>
      </c>
      <c r="H82" s="6" t="inlineStr">
        <is>
          <t>Medicare Part B Arizona *</t>
        </is>
      </c>
      <c r="I82" s="6" t="inlineStr">
        <is>
          <t>MediCo Insurance Company</t>
        </is>
      </c>
      <c r="J82" s="6" t="inlineStr">
        <is>
          <t>99492</t>
        </is>
      </c>
      <c r="K82" s="4" t="n"/>
      <c r="L82" s="5">
        <f>IF($M82="","",$M82-TODAY())</f>
        <v/>
      </c>
      <c r="M82" s="7" t="n">
        <v>46541</v>
      </c>
      <c r="N82" s="6" t="inlineStr">
        <is>
          <t>365 days</t>
        </is>
      </c>
      <c r="O82" s="6" t="inlineStr">
        <is>
          <t>MEDICARE</t>
        </is>
      </c>
      <c r="P82" s="6" t="n"/>
      <c r="Q82" s="6" t="n"/>
      <c r="R82" s="6" t="n"/>
      <c r="S82" s="5" t="n">
        <v>1</v>
      </c>
      <c r="T82" s="8" t="n">
        <v>1029.98</v>
      </c>
      <c r="U82" s="8" t="n">
        <v>0</v>
      </c>
      <c r="V82" s="8" t="n">
        <v>0</v>
      </c>
      <c r="W82" s="6" t="n"/>
      <c r="X82" s="8" t="n">
        <v>1029.98</v>
      </c>
      <c r="Y82" s="5" t="n">
        <v>66</v>
      </c>
      <c r="Z82" s="6" t="inlineStr">
        <is>
          <t>F39</t>
        </is>
      </c>
      <c r="AA82" s="6" t="n"/>
      <c r="AB82" s="6" t="n"/>
      <c r="AC82" s="6" t="n"/>
      <c r="AD82" s="5" t="n"/>
      <c r="AE82" s="6" t="inlineStr">
        <is>
          <t>LEATHEM, JARRETT</t>
        </is>
      </c>
      <c r="AF82" s="6" t="inlineStr">
        <is>
          <t>ASAP - Gilbert</t>
        </is>
      </c>
      <c r="AG82" s="6" t="inlineStr">
        <is>
          <t>07/14/2026</t>
        </is>
      </c>
      <c r="AH82" s="6" t="inlineStr">
        <is>
          <t>BH</t>
        </is>
      </c>
      <c r="AI82" s="9" t="n"/>
      <c r="AJ82" s="5" t="n">
        <v>597</v>
      </c>
    </row>
    <row r="83">
      <c r="A83" s="2" t="n"/>
      <c r="B83" s="3" t="n"/>
      <c r="C83" s="4" t="n"/>
      <c r="D83" s="5" t="n">
        <v>561203871</v>
      </c>
      <c r="E83" s="6" t="inlineStr">
        <is>
          <t>HF507014455</t>
        </is>
      </c>
      <c r="F83" s="6" t="inlineStr">
        <is>
          <t>06/03/2026</t>
        </is>
      </c>
      <c r="G83" s="6" t="inlineStr">
        <is>
          <t>Medicare Part B Arizona *</t>
        </is>
      </c>
      <c r="H83" s="6" t="inlineStr">
        <is>
          <t>Medicare Part B Arizona *</t>
        </is>
      </c>
      <c r="I83" s="6" t="inlineStr">
        <is>
          <t>MediCo Insurance Company</t>
        </is>
      </c>
      <c r="J83" s="6" t="inlineStr">
        <is>
          <t>99494</t>
        </is>
      </c>
      <c r="K83" s="4" t="n"/>
      <c r="L83" s="5">
        <f>IF($M83="","",$M83-TODAY())</f>
        <v/>
      </c>
      <c r="M83" s="7" t="n">
        <v>46541</v>
      </c>
      <c r="N83" s="6" t="inlineStr">
        <is>
          <t>365 days</t>
        </is>
      </c>
      <c r="O83" s="6" t="inlineStr">
        <is>
          <t>MEDICARE</t>
        </is>
      </c>
      <c r="P83" s="6" t="n"/>
      <c r="Q83" s="6" t="n"/>
      <c r="R83" s="6" t="n"/>
      <c r="S83" s="5" t="n">
        <v>1</v>
      </c>
      <c r="T83" s="8" t="n">
        <v>396.27</v>
      </c>
      <c r="U83" s="8" t="n">
        <v>0</v>
      </c>
      <c r="V83" s="8" t="n">
        <v>0</v>
      </c>
      <c r="W83" s="6" t="n"/>
      <c r="X83" s="8" t="n">
        <v>396.27</v>
      </c>
      <c r="Y83" s="5" t="n">
        <v>66</v>
      </c>
      <c r="Z83" s="6" t="inlineStr">
        <is>
          <t>F39</t>
        </is>
      </c>
      <c r="AA83" s="6" t="n"/>
      <c r="AB83" s="6" t="n"/>
      <c r="AC83" s="6" t="n"/>
      <c r="AD83" s="5" t="n"/>
      <c r="AE83" s="6" t="inlineStr">
        <is>
          <t>LEATHEM, JARRETT</t>
        </is>
      </c>
      <c r="AF83" s="6" t="inlineStr">
        <is>
          <t>ASAP - Gilbert</t>
        </is>
      </c>
      <c r="AG83" s="6" t="inlineStr">
        <is>
          <t>07/14/2026</t>
        </is>
      </c>
      <c r="AH83" s="6" t="inlineStr">
        <is>
          <t>BH</t>
        </is>
      </c>
      <c r="AI83" s="9" t="n"/>
      <c r="AJ83" s="5" t="n">
        <v>599</v>
      </c>
    </row>
    <row r="84">
      <c r="A84" s="2" t="n"/>
      <c r="B84" s="3" t="n"/>
      <c r="C84" s="4" t="n"/>
      <c r="D84" s="5" t="n">
        <v>561644841</v>
      </c>
      <c r="E84" s="6" t="inlineStr">
        <is>
          <t>HF557143389</t>
        </is>
      </c>
      <c r="F84" s="6" t="inlineStr">
        <is>
          <t>06/04/2026</t>
        </is>
      </c>
      <c r="G84" s="6" t="inlineStr">
        <is>
          <t>Medicare Part B Arizona *</t>
        </is>
      </c>
      <c r="H84" s="6" t="inlineStr">
        <is>
          <t>Medicare Part B Arizona *</t>
        </is>
      </c>
      <c r="I84" s="6" t="inlineStr">
        <is>
          <t>Blue Cross Blue Shield of Arizona (BCBS AZ)</t>
        </is>
      </c>
      <c r="J84" s="6" t="inlineStr">
        <is>
          <t>99492</t>
        </is>
      </c>
      <c r="K84" s="4" t="n"/>
      <c r="L84" s="5">
        <f>IF($M84="","",$M84-TODAY())</f>
        <v/>
      </c>
      <c r="M84" s="7" t="n">
        <v>46542</v>
      </c>
      <c r="N84" s="6" t="inlineStr">
        <is>
          <t>365 days</t>
        </is>
      </c>
      <c r="O84" s="6" t="inlineStr">
        <is>
          <t>MEDICARE</t>
        </is>
      </c>
      <c r="P84" s="6" t="n"/>
      <c r="Q84" s="6" t="n"/>
      <c r="R84" s="6" t="n"/>
      <c r="S84" s="5" t="n">
        <v>1</v>
      </c>
      <c r="T84" s="8" t="n">
        <v>1029.98</v>
      </c>
      <c r="U84" s="8" t="n">
        <v>0</v>
      </c>
      <c r="V84" s="8" t="n">
        <v>0</v>
      </c>
      <c r="W84" s="6" t="n"/>
      <c r="X84" s="8" t="n">
        <v>1029.98</v>
      </c>
      <c r="Y84" s="5" t="n">
        <v>65</v>
      </c>
      <c r="Z84" s="6" t="inlineStr">
        <is>
          <t>F4320</t>
        </is>
      </c>
      <c r="AA84" s="6" t="n"/>
      <c r="AB84" s="6" t="n"/>
      <c r="AC84" s="6" t="n"/>
      <c r="AD84" s="5" t="n"/>
      <c r="AE84" s="6" t="inlineStr">
        <is>
          <t>MEARS, CHAD</t>
        </is>
      </c>
      <c r="AF84" s="6" t="inlineStr">
        <is>
          <t>ASAP - DEER VALLEY</t>
        </is>
      </c>
      <c r="AG84" s="6" t="inlineStr">
        <is>
          <t>07/14/2026</t>
        </is>
      </c>
      <c r="AH84" s="6" t="inlineStr">
        <is>
          <t>BH</t>
        </is>
      </c>
      <c r="AI84" s="9" t="n"/>
      <c r="AJ84" s="5" t="n">
        <v>254</v>
      </c>
    </row>
    <row r="85">
      <c r="A85" s="2" t="n"/>
      <c r="B85" s="3" t="n"/>
      <c r="C85" s="4" t="n"/>
      <c r="D85" s="5" t="n">
        <v>561645041</v>
      </c>
      <c r="E85" s="6" t="inlineStr">
        <is>
          <t>HF346503488</t>
        </is>
      </c>
      <c r="F85" s="6" t="inlineStr">
        <is>
          <t>06/04/2026</t>
        </is>
      </c>
      <c r="G85" s="6" t="inlineStr">
        <is>
          <t>Medicare Part B Arizona *</t>
        </is>
      </c>
      <c r="H85" s="6" t="inlineStr">
        <is>
          <t>Medicare Part B Arizona *</t>
        </is>
      </c>
      <c r="I85" s="6" t="inlineStr">
        <is>
          <t>Mutual of Omaha Insurance Company</t>
        </is>
      </c>
      <c r="J85" s="6" t="inlineStr">
        <is>
          <t>99494</t>
        </is>
      </c>
      <c r="K85" s="4" t="n"/>
      <c r="L85" s="5">
        <f>IF($M85="","",$M85-TODAY())</f>
        <v/>
      </c>
      <c r="M85" s="7" t="n">
        <v>46542</v>
      </c>
      <c r="N85" s="6" t="inlineStr">
        <is>
          <t>365 days</t>
        </is>
      </c>
      <c r="O85" s="6" t="inlineStr">
        <is>
          <t>MEDICARE</t>
        </is>
      </c>
      <c r="P85" s="6" t="n"/>
      <c r="Q85" s="6" t="n"/>
      <c r="R85" s="6" t="n"/>
      <c r="S85" s="5" t="n">
        <v>2</v>
      </c>
      <c r="T85" s="8" t="n">
        <v>792.54</v>
      </c>
      <c r="U85" s="8" t="n">
        <v>0</v>
      </c>
      <c r="V85" s="8" t="n">
        <v>0</v>
      </c>
      <c r="W85" s="6" t="n"/>
      <c r="X85" s="8" t="n">
        <v>792.54</v>
      </c>
      <c r="Y85" s="5" t="n">
        <v>65</v>
      </c>
      <c r="Z85" s="6" t="inlineStr">
        <is>
          <t>F330</t>
        </is>
      </c>
      <c r="AA85" s="6" t="n"/>
      <c r="AB85" s="6" t="n"/>
      <c r="AC85" s="6" t="n"/>
      <c r="AD85" s="5" t="n"/>
      <c r="AE85" s="6" t="inlineStr">
        <is>
          <t>TURLEY, TODD</t>
        </is>
      </c>
      <c r="AF85" s="6" t="inlineStr">
        <is>
          <t>ASAP - DEER VALLEY</t>
        </is>
      </c>
      <c r="AG85" s="6" t="inlineStr">
        <is>
          <t>07/14/2026</t>
        </is>
      </c>
      <c r="AH85" s="6" t="inlineStr">
        <is>
          <t>BH</t>
        </is>
      </c>
      <c r="AI85" s="9" t="n"/>
      <c r="AJ85" s="5" t="n">
        <v>955</v>
      </c>
    </row>
    <row r="86">
      <c r="A86" s="2" t="n"/>
      <c r="B86" s="3" t="n"/>
      <c r="C86" s="4" t="n"/>
      <c r="D86" s="5" t="n">
        <v>561645041</v>
      </c>
      <c r="E86" s="6" t="inlineStr">
        <is>
          <t>HF346503488</t>
        </is>
      </c>
      <c r="F86" s="6" t="inlineStr">
        <is>
          <t>06/04/2026</t>
        </is>
      </c>
      <c r="G86" s="6" t="inlineStr">
        <is>
          <t>Medicare Part B Arizona *</t>
        </is>
      </c>
      <c r="H86" s="6" t="inlineStr">
        <is>
          <t>Medicare Part B Arizona *</t>
        </is>
      </c>
      <c r="I86" s="6" t="inlineStr">
        <is>
          <t>Mutual of Omaha Insurance Company</t>
        </is>
      </c>
      <c r="J86" s="6" t="inlineStr">
        <is>
          <t>99493</t>
        </is>
      </c>
      <c r="K86" s="4" t="n"/>
      <c r="L86" s="5">
        <f>IF($M86="","",$M86-TODAY())</f>
        <v/>
      </c>
      <c r="M86" s="7" t="n">
        <v>46542</v>
      </c>
      <c r="N86" s="6" t="inlineStr">
        <is>
          <t>365 days</t>
        </is>
      </c>
      <c r="O86" s="6" t="inlineStr">
        <is>
          <t>MEDICARE</t>
        </is>
      </c>
      <c r="P86" s="6" t="n"/>
      <c r="Q86" s="6" t="n"/>
      <c r="R86" s="6" t="n"/>
      <c r="S86" s="5" t="n">
        <v>1</v>
      </c>
      <c r="T86" s="8" t="n">
        <v>976.64</v>
      </c>
      <c r="U86" s="8" t="n">
        <v>0</v>
      </c>
      <c r="V86" s="8" t="n">
        <v>0</v>
      </c>
      <c r="W86" s="6" t="n"/>
      <c r="X86" s="8" t="n">
        <v>976.64</v>
      </c>
      <c r="Y86" s="5" t="n">
        <v>65</v>
      </c>
      <c r="Z86" s="6" t="inlineStr">
        <is>
          <t>F330</t>
        </is>
      </c>
      <c r="AA86" s="6" t="n"/>
      <c r="AB86" s="6" t="n"/>
      <c r="AC86" s="6" t="n"/>
      <c r="AD86" s="5" t="n"/>
      <c r="AE86" s="6" t="inlineStr">
        <is>
          <t>TURLEY, TODD</t>
        </is>
      </c>
      <c r="AF86" s="6" t="inlineStr">
        <is>
          <t>ASAP - DEER VALLEY</t>
        </is>
      </c>
      <c r="AG86" s="6" t="inlineStr">
        <is>
          <t>07/14/2026</t>
        </is>
      </c>
      <c r="AH86" s="6" t="inlineStr">
        <is>
          <t>BH</t>
        </is>
      </c>
      <c r="AI86" s="9" t="n"/>
      <c r="AJ86" s="5" t="n">
        <v>958</v>
      </c>
    </row>
    <row r="87">
      <c r="A87" s="2" t="n"/>
      <c r="B87" s="3" t="n"/>
      <c r="C87" s="4" t="n"/>
      <c r="D87" s="5" t="n">
        <v>561646382</v>
      </c>
      <c r="E87" s="6" t="inlineStr">
        <is>
          <t>HF438354537</t>
        </is>
      </c>
      <c r="F87" s="6" t="inlineStr">
        <is>
          <t>06/05/2026</t>
        </is>
      </c>
      <c r="G87" s="6" t="inlineStr">
        <is>
          <t>Medicare Part B Arizona *</t>
        </is>
      </c>
      <c r="H87" s="6" t="inlineStr">
        <is>
          <t>Medicare Part B Arizona *</t>
        </is>
      </c>
      <c r="I87" s="6" t="inlineStr">
        <is>
          <t>AARP United Healthcare</t>
        </is>
      </c>
      <c r="J87" s="6" t="inlineStr">
        <is>
          <t>99494</t>
        </is>
      </c>
      <c r="K87" s="4" t="n"/>
      <c r="L87" s="5">
        <f>IF($M87="","",$M87-TODAY())</f>
        <v/>
      </c>
      <c r="M87" s="7" t="n">
        <v>46543</v>
      </c>
      <c r="N87" s="6" t="inlineStr">
        <is>
          <t>365 days</t>
        </is>
      </c>
      <c r="O87" s="6" t="inlineStr">
        <is>
          <t>MEDICARE</t>
        </is>
      </c>
      <c r="P87" s="6" t="n"/>
      <c r="Q87" s="6" t="n"/>
      <c r="R87" s="6" t="n"/>
      <c r="S87" s="5" t="n">
        <v>1</v>
      </c>
      <c r="T87" s="8" t="n">
        <v>396.27</v>
      </c>
      <c r="U87" s="8" t="n">
        <v>0</v>
      </c>
      <c r="V87" s="8" t="n">
        <v>0</v>
      </c>
      <c r="W87" s="6" t="n"/>
      <c r="X87" s="8" t="n">
        <v>396.27</v>
      </c>
      <c r="Y87" s="5" t="n">
        <v>64</v>
      </c>
      <c r="Z87" s="6" t="inlineStr">
        <is>
          <t>F1190</t>
        </is>
      </c>
      <c r="AA87" s="6" t="n"/>
      <c r="AB87" s="6" t="n"/>
      <c r="AC87" s="6" t="n"/>
      <c r="AD87" s="5" t="n"/>
      <c r="AE87" s="6" t="inlineStr">
        <is>
          <t>TURLEY, TODD</t>
        </is>
      </c>
      <c r="AF87" s="6" t="inlineStr">
        <is>
          <t>ASAP - DEER VALLEY</t>
        </is>
      </c>
      <c r="AG87" s="6" t="inlineStr">
        <is>
          <t>07/14/2026</t>
        </is>
      </c>
      <c r="AH87" s="6" t="inlineStr">
        <is>
          <t>BH</t>
        </is>
      </c>
      <c r="AI87" s="9" t="n"/>
      <c r="AJ87" s="5" t="n">
        <v>843</v>
      </c>
    </row>
    <row r="88">
      <c r="A88" s="2" t="n"/>
      <c r="B88" s="3" t="n"/>
      <c r="C88" s="4" t="n"/>
      <c r="D88" s="5" t="n">
        <v>561646382</v>
      </c>
      <c r="E88" s="6" t="inlineStr">
        <is>
          <t>HF438354537</t>
        </is>
      </c>
      <c r="F88" s="6" t="inlineStr">
        <is>
          <t>06/05/2026</t>
        </is>
      </c>
      <c r="G88" s="6" t="inlineStr">
        <is>
          <t>Medicare Part B Arizona *</t>
        </is>
      </c>
      <c r="H88" s="6" t="inlineStr">
        <is>
          <t>Medicare Part B Arizona *</t>
        </is>
      </c>
      <c r="I88" s="6" t="inlineStr">
        <is>
          <t>AARP United Healthcare</t>
        </is>
      </c>
      <c r="J88" s="6" t="inlineStr">
        <is>
          <t>99492</t>
        </is>
      </c>
      <c r="K88" s="4" t="n"/>
      <c r="L88" s="5">
        <f>IF($M88="","",$M88-TODAY())</f>
        <v/>
      </c>
      <c r="M88" s="7" t="n">
        <v>46543</v>
      </c>
      <c r="N88" s="6" t="inlineStr">
        <is>
          <t>365 days</t>
        </is>
      </c>
      <c r="O88" s="6" t="inlineStr">
        <is>
          <t>MEDICARE</t>
        </is>
      </c>
      <c r="P88" s="6" t="n"/>
      <c r="Q88" s="6" t="n"/>
      <c r="R88" s="6" t="n"/>
      <c r="S88" s="5" t="n">
        <v>1</v>
      </c>
      <c r="T88" s="8" t="n">
        <v>1029.98</v>
      </c>
      <c r="U88" s="8" t="n">
        <v>0</v>
      </c>
      <c r="V88" s="8" t="n">
        <v>0</v>
      </c>
      <c r="W88" s="6" t="n"/>
      <c r="X88" s="8" t="n">
        <v>1029.98</v>
      </c>
      <c r="Y88" s="5" t="n">
        <v>64</v>
      </c>
      <c r="Z88" s="6" t="inlineStr">
        <is>
          <t>F1190</t>
        </is>
      </c>
      <c r="AA88" s="6" t="n"/>
      <c r="AB88" s="6" t="n"/>
      <c r="AC88" s="6" t="n"/>
      <c r="AD88" s="5" t="n"/>
      <c r="AE88" s="6" t="inlineStr">
        <is>
          <t>TURLEY, TODD</t>
        </is>
      </c>
      <c r="AF88" s="6" t="inlineStr">
        <is>
          <t>ASAP - DEER VALLEY</t>
        </is>
      </c>
      <c r="AG88" s="6" t="inlineStr">
        <is>
          <t>07/14/2026</t>
        </is>
      </c>
      <c r="AH88" s="6" t="inlineStr">
        <is>
          <t>BH</t>
        </is>
      </c>
      <c r="AI88" s="9" t="n"/>
      <c r="AJ88" s="5" t="n">
        <v>844</v>
      </c>
    </row>
    <row r="89">
      <c r="A89" s="2" t="n"/>
      <c r="B89" s="3" t="n"/>
      <c r="C89" s="4" t="n"/>
      <c r="D89" s="5" t="n">
        <v>561886342</v>
      </c>
      <c r="E89" s="6" t="inlineStr">
        <is>
          <t>HF479558457</t>
        </is>
      </c>
      <c r="F89" s="6" t="inlineStr">
        <is>
          <t>06/09/2026</t>
        </is>
      </c>
      <c r="G89" s="6" t="inlineStr">
        <is>
          <t>Medicare Part B Arizona *</t>
        </is>
      </c>
      <c r="H89" s="6" t="inlineStr">
        <is>
          <t>Medicare Part B Arizona *</t>
        </is>
      </c>
      <c r="I89" s="6" t="inlineStr">
        <is>
          <t>CSI Life Medicare Supplement</t>
        </is>
      </c>
      <c r="J89" s="6" t="inlineStr">
        <is>
          <t>99492</t>
        </is>
      </c>
      <c r="K89" s="4" t="n"/>
      <c r="L89" s="5">
        <f>IF($M89="","",$M89-TODAY())</f>
        <v/>
      </c>
      <c r="M89" s="7" t="n">
        <v>46547</v>
      </c>
      <c r="N89" s="6" t="inlineStr">
        <is>
          <t>365 days</t>
        </is>
      </c>
      <c r="O89" s="6" t="inlineStr">
        <is>
          <t>MEDICARE</t>
        </is>
      </c>
      <c r="P89" s="6" t="n"/>
      <c r="Q89" s="6" t="n"/>
      <c r="R89" s="6" t="n"/>
      <c r="S89" s="5" t="n">
        <v>1</v>
      </c>
      <c r="T89" s="8" t="n">
        <v>1029.98</v>
      </c>
      <c r="U89" s="8" t="n">
        <v>0</v>
      </c>
      <c r="V89" s="8" t="n">
        <v>0</v>
      </c>
      <c r="W89" s="6" t="inlineStr">
        <is>
          <t>07/23/2026</t>
        </is>
      </c>
      <c r="X89" s="8" t="n">
        <v>1029.98</v>
      </c>
      <c r="Y89" s="5" t="n">
        <v>60</v>
      </c>
      <c r="Z89" s="6" t="inlineStr">
        <is>
          <t>F4320</t>
        </is>
      </c>
      <c r="AA89" s="6" t="n"/>
      <c r="AB89" s="6" t="n"/>
      <c r="AC89" s="6" t="n"/>
      <c r="AD89" s="5" t="n"/>
      <c r="AE89" s="6" t="inlineStr">
        <is>
          <t>O'NEIL, ROY</t>
        </is>
      </c>
      <c r="AF89" s="6" t="inlineStr">
        <is>
          <t>ASAP Peoria</t>
        </is>
      </c>
      <c r="AG89" s="6" t="inlineStr">
        <is>
          <t>07/14/2026</t>
        </is>
      </c>
      <c r="AH89" s="6" t="inlineStr">
        <is>
          <t>BH</t>
        </is>
      </c>
      <c r="AI89" s="9" t="n"/>
      <c r="AJ89" s="5" t="n">
        <v>814</v>
      </c>
    </row>
    <row r="90">
      <c r="A90" s="2" t="n"/>
      <c r="B90" s="3" t="n"/>
      <c r="C90" s="4" t="n"/>
      <c r="D90" s="5" t="n">
        <v>561886342</v>
      </c>
      <c r="E90" s="6" t="inlineStr">
        <is>
          <t>HF479558457</t>
        </is>
      </c>
      <c r="F90" s="6" t="inlineStr">
        <is>
          <t>06/09/2026</t>
        </is>
      </c>
      <c r="G90" s="6" t="inlineStr">
        <is>
          <t>Medicare Part B Arizona *</t>
        </is>
      </c>
      <c r="H90" s="6" t="inlineStr">
        <is>
          <t>Medicare Part B Arizona *</t>
        </is>
      </c>
      <c r="I90" s="6" t="inlineStr">
        <is>
          <t>CSI Life Medicare Supplement</t>
        </is>
      </c>
      <c r="J90" s="6" t="inlineStr">
        <is>
          <t>99494</t>
        </is>
      </c>
      <c r="K90" s="4" t="n"/>
      <c r="L90" s="5">
        <f>IF($M90="","",$M90-TODAY())</f>
        <v/>
      </c>
      <c r="M90" s="7" t="n">
        <v>46547</v>
      </c>
      <c r="N90" s="6" t="inlineStr">
        <is>
          <t>365 days</t>
        </is>
      </c>
      <c r="O90" s="6" t="inlineStr">
        <is>
          <t>MEDICARE</t>
        </is>
      </c>
      <c r="P90" s="6" t="n"/>
      <c r="Q90" s="6" t="n"/>
      <c r="R90" s="6" t="n"/>
      <c r="S90" s="5" t="n">
        <v>1</v>
      </c>
      <c r="T90" s="8" t="n">
        <v>396.27</v>
      </c>
      <c r="U90" s="8" t="n">
        <v>0</v>
      </c>
      <c r="V90" s="8" t="n">
        <v>0</v>
      </c>
      <c r="W90" s="6" t="inlineStr">
        <is>
          <t>07/23/2026</t>
        </is>
      </c>
      <c r="X90" s="8" t="n">
        <v>396.27</v>
      </c>
      <c r="Y90" s="5" t="n">
        <v>60</v>
      </c>
      <c r="Z90" s="6" t="inlineStr">
        <is>
          <t>F4320</t>
        </is>
      </c>
      <c r="AA90" s="6" t="n"/>
      <c r="AB90" s="6" t="n"/>
      <c r="AC90" s="6" t="n"/>
      <c r="AD90" s="5" t="n"/>
      <c r="AE90" s="6" t="inlineStr">
        <is>
          <t>O'NEIL, ROY</t>
        </is>
      </c>
      <c r="AF90" s="6" t="inlineStr">
        <is>
          <t>ASAP Peoria</t>
        </is>
      </c>
      <c r="AG90" s="6" t="inlineStr">
        <is>
          <t>07/14/2026</t>
        </is>
      </c>
      <c r="AH90" s="6" t="inlineStr">
        <is>
          <t>BH</t>
        </is>
      </c>
      <c r="AI90" s="9" t="n"/>
      <c r="AJ90" s="5" t="n">
        <v>815</v>
      </c>
    </row>
    <row r="91">
      <c r="A91" s="2" t="n"/>
      <c r="B91" s="3" t="n"/>
      <c r="C91" s="4" t="n"/>
      <c r="D91" s="5" t="n">
        <v>561894045</v>
      </c>
      <c r="E91" s="6" t="inlineStr">
        <is>
          <t>HF541827163</t>
        </is>
      </c>
      <c r="F91" s="6" t="inlineStr">
        <is>
          <t>06/10/2026</t>
        </is>
      </c>
      <c r="G91" s="6" t="inlineStr">
        <is>
          <t>Medicare Part B Arizona *</t>
        </is>
      </c>
      <c r="H91" s="6" t="inlineStr">
        <is>
          <t>Medicare Part B Arizona *</t>
        </is>
      </c>
      <c r="I91" s="6" t="inlineStr">
        <is>
          <t>Medicaid Arizona</t>
        </is>
      </c>
      <c r="J91" s="6" t="inlineStr">
        <is>
          <t>99494</t>
        </is>
      </c>
      <c r="K91" s="4" t="n"/>
      <c r="L91" s="5">
        <f>IF($M91="","",$M91-TODAY())</f>
        <v/>
      </c>
      <c r="M91" s="7" t="n">
        <v>46548</v>
      </c>
      <c r="N91" s="6" t="inlineStr">
        <is>
          <t>365 days</t>
        </is>
      </c>
      <c r="O91" s="6" t="inlineStr">
        <is>
          <t>MEDICARE</t>
        </is>
      </c>
      <c r="P91" s="6" t="n"/>
      <c r="Q91" s="6" t="n"/>
      <c r="R91" s="6" t="n"/>
      <c r="S91" s="5" t="n">
        <v>1</v>
      </c>
      <c r="T91" s="8" t="n">
        <v>396.27</v>
      </c>
      <c r="U91" s="8" t="n">
        <v>0</v>
      </c>
      <c r="V91" s="8" t="n">
        <v>0</v>
      </c>
      <c r="W91" s="6" t="n"/>
      <c r="X91" s="8" t="n">
        <v>396.27</v>
      </c>
      <c r="Y91" s="5" t="n">
        <v>59</v>
      </c>
      <c r="Z91" s="6" t="inlineStr">
        <is>
          <t>F4320</t>
        </is>
      </c>
      <c r="AA91" s="6" t="n"/>
      <c r="AB91" s="6" t="n"/>
      <c r="AC91" s="6" t="n"/>
      <c r="AD91" s="5" t="n"/>
      <c r="AE91" s="6" t="inlineStr">
        <is>
          <t>SARKAR, AWNIK</t>
        </is>
      </c>
      <c r="AF91" s="6" t="inlineStr">
        <is>
          <t>ASAP - DEER VALLEY</t>
        </is>
      </c>
      <c r="AG91" s="6" t="inlineStr">
        <is>
          <t>07/14/2026</t>
        </is>
      </c>
      <c r="AH91" s="6" t="inlineStr">
        <is>
          <t>BH</t>
        </is>
      </c>
      <c r="AI91" s="9" t="n"/>
      <c r="AJ91" s="5" t="n">
        <v>380</v>
      </c>
    </row>
    <row r="92">
      <c r="A92" s="2" t="n"/>
      <c r="B92" s="3" t="n"/>
      <c r="C92" s="4" t="n"/>
      <c r="D92" s="5" t="n">
        <v>561894045</v>
      </c>
      <c r="E92" s="6" t="inlineStr">
        <is>
          <t>HF541827163</t>
        </is>
      </c>
      <c r="F92" s="6" t="inlineStr">
        <is>
          <t>06/10/2026</t>
        </is>
      </c>
      <c r="G92" s="6" t="inlineStr">
        <is>
          <t>Medicare Part B Arizona *</t>
        </is>
      </c>
      <c r="H92" s="6" t="inlineStr">
        <is>
          <t>Medicare Part B Arizona *</t>
        </is>
      </c>
      <c r="I92" s="6" t="inlineStr">
        <is>
          <t>Medicaid Arizona</t>
        </is>
      </c>
      <c r="J92" s="6" t="inlineStr">
        <is>
          <t>99492</t>
        </is>
      </c>
      <c r="K92" s="4" t="n"/>
      <c r="L92" s="5">
        <f>IF($M92="","",$M92-TODAY())</f>
        <v/>
      </c>
      <c r="M92" s="7" t="n">
        <v>46548</v>
      </c>
      <c r="N92" s="6" t="inlineStr">
        <is>
          <t>365 days</t>
        </is>
      </c>
      <c r="O92" s="6" t="inlineStr">
        <is>
          <t>MEDICARE</t>
        </is>
      </c>
      <c r="P92" s="6" t="n"/>
      <c r="Q92" s="6" t="n"/>
      <c r="R92" s="6" t="n"/>
      <c r="S92" s="5" t="n">
        <v>1</v>
      </c>
      <c r="T92" s="8" t="n">
        <v>1029.98</v>
      </c>
      <c r="U92" s="8" t="n">
        <v>0</v>
      </c>
      <c r="V92" s="8" t="n">
        <v>0</v>
      </c>
      <c r="W92" s="6" t="n"/>
      <c r="X92" s="8" t="n">
        <v>1029.98</v>
      </c>
      <c r="Y92" s="5" t="n">
        <v>59</v>
      </c>
      <c r="Z92" s="6" t="inlineStr">
        <is>
          <t>F4320</t>
        </is>
      </c>
      <c r="AA92" s="6" t="n"/>
      <c r="AB92" s="6" t="n"/>
      <c r="AC92" s="6" t="n"/>
      <c r="AD92" s="5" t="n"/>
      <c r="AE92" s="6" t="inlineStr">
        <is>
          <t>SARKAR, AWNIK</t>
        </is>
      </c>
      <c r="AF92" s="6" t="inlineStr">
        <is>
          <t>ASAP - DEER VALLEY</t>
        </is>
      </c>
      <c r="AG92" s="6" t="inlineStr">
        <is>
          <t>07/14/2026</t>
        </is>
      </c>
      <c r="AH92" s="6" t="inlineStr">
        <is>
          <t>BH</t>
        </is>
      </c>
      <c r="AI92" s="9" t="n"/>
      <c r="AJ92" s="5" t="n">
        <v>381</v>
      </c>
    </row>
    <row r="93">
      <c r="A93" s="2" t="n"/>
      <c r="B93" s="3" t="n"/>
      <c r="C93" s="4" t="n"/>
      <c r="D93" s="5" t="n">
        <v>561898000</v>
      </c>
      <c r="E93" s="6" t="inlineStr">
        <is>
          <t>HF329358524</t>
        </is>
      </c>
      <c r="F93" s="6" t="inlineStr">
        <is>
          <t>06/10/2026</t>
        </is>
      </c>
      <c r="G93" s="6" t="inlineStr">
        <is>
          <t>Medicare Part B Arizona *</t>
        </is>
      </c>
      <c r="H93" s="6" t="inlineStr">
        <is>
          <t>Medicare Part B Arizona *</t>
        </is>
      </c>
      <c r="I93" s="6" t="inlineStr">
        <is>
          <t>Blue Cross Blue Shield of Arizona (BCBS AZ)</t>
        </is>
      </c>
      <c r="J93" s="6" t="inlineStr">
        <is>
          <t>99494</t>
        </is>
      </c>
      <c r="K93" s="4" t="n"/>
      <c r="L93" s="5">
        <f>IF($M93="","",$M93-TODAY())</f>
        <v/>
      </c>
      <c r="M93" s="7" t="n">
        <v>46548</v>
      </c>
      <c r="N93" s="6" t="inlineStr">
        <is>
          <t>365 days</t>
        </is>
      </c>
      <c r="O93" s="6" t="inlineStr">
        <is>
          <t>MEDICARE</t>
        </is>
      </c>
      <c r="P93" s="6" t="n"/>
      <c r="Q93" s="6" t="n"/>
      <c r="R93" s="6" t="n"/>
      <c r="S93" s="5" t="n">
        <v>1</v>
      </c>
      <c r="T93" s="8" t="n">
        <v>396.27</v>
      </c>
      <c r="U93" s="8" t="n">
        <v>0</v>
      </c>
      <c r="V93" s="8" t="n">
        <v>0</v>
      </c>
      <c r="W93" s="6" t="inlineStr">
        <is>
          <t>07/23/2026</t>
        </is>
      </c>
      <c r="X93" s="8" t="n">
        <v>396.27</v>
      </c>
      <c r="Y93" s="5" t="n">
        <v>59</v>
      </c>
      <c r="Z93" s="6" t="inlineStr">
        <is>
          <t>F330</t>
        </is>
      </c>
      <c r="AA93" s="6" t="n"/>
      <c r="AB93" s="6" t="n"/>
      <c r="AC93" s="6" t="n"/>
      <c r="AD93" s="5" t="n"/>
      <c r="AE93" s="6" t="inlineStr">
        <is>
          <t>LEATHEM, JARRETT</t>
        </is>
      </c>
      <c r="AF93" s="6" t="inlineStr">
        <is>
          <t>ASAP - Gilbert</t>
        </is>
      </c>
      <c r="AG93" s="6" t="inlineStr">
        <is>
          <t>07/14/2026</t>
        </is>
      </c>
      <c r="AH93" s="6" t="inlineStr">
        <is>
          <t>BH</t>
        </is>
      </c>
      <c r="AI93" s="9" t="n"/>
      <c r="AJ93" s="5" t="n">
        <v>751</v>
      </c>
    </row>
    <row r="94">
      <c r="A94" s="2" t="n"/>
      <c r="B94" s="3" t="n"/>
      <c r="C94" s="4" t="n"/>
      <c r="D94" s="5" t="n">
        <v>561898000</v>
      </c>
      <c r="E94" s="6" t="inlineStr">
        <is>
          <t>HF329358524</t>
        </is>
      </c>
      <c r="F94" s="6" t="inlineStr">
        <is>
          <t>06/10/2026</t>
        </is>
      </c>
      <c r="G94" s="6" t="inlineStr">
        <is>
          <t>Medicare Part B Arizona *</t>
        </is>
      </c>
      <c r="H94" s="6" t="inlineStr">
        <is>
          <t>Medicare Part B Arizona *</t>
        </is>
      </c>
      <c r="I94" s="6" t="inlineStr">
        <is>
          <t>Blue Cross Blue Shield of Arizona (BCBS AZ)</t>
        </is>
      </c>
      <c r="J94" s="6" t="inlineStr">
        <is>
          <t>99493</t>
        </is>
      </c>
      <c r="K94" s="4" t="n"/>
      <c r="L94" s="5">
        <f>IF($M94="","",$M94-TODAY())</f>
        <v/>
      </c>
      <c r="M94" s="7" t="n">
        <v>46548</v>
      </c>
      <c r="N94" s="6" t="inlineStr">
        <is>
          <t>365 days</t>
        </is>
      </c>
      <c r="O94" s="6" t="inlineStr">
        <is>
          <t>MEDICARE</t>
        </is>
      </c>
      <c r="P94" s="6" t="n"/>
      <c r="Q94" s="6" t="n"/>
      <c r="R94" s="6" t="n"/>
      <c r="S94" s="5" t="n">
        <v>1</v>
      </c>
      <c r="T94" s="8" t="n">
        <v>976.64</v>
      </c>
      <c r="U94" s="8" t="n">
        <v>0</v>
      </c>
      <c r="V94" s="8" t="n">
        <v>0</v>
      </c>
      <c r="W94" s="6" t="inlineStr">
        <is>
          <t>07/23/2026</t>
        </is>
      </c>
      <c r="X94" s="8" t="n">
        <v>976.64</v>
      </c>
      <c r="Y94" s="5" t="n">
        <v>59</v>
      </c>
      <c r="Z94" s="6" t="inlineStr">
        <is>
          <t>F330</t>
        </is>
      </c>
      <c r="AA94" s="6" t="n"/>
      <c r="AB94" s="6" t="n"/>
      <c r="AC94" s="6" t="n"/>
      <c r="AD94" s="5" t="n"/>
      <c r="AE94" s="6" t="inlineStr">
        <is>
          <t>LEATHEM, JARRETT</t>
        </is>
      </c>
      <c r="AF94" s="6" t="inlineStr">
        <is>
          <t>ASAP - Gilbert</t>
        </is>
      </c>
      <c r="AG94" s="6" t="inlineStr">
        <is>
          <t>07/14/2026</t>
        </is>
      </c>
      <c r="AH94" s="6" t="inlineStr">
        <is>
          <t>BH</t>
        </is>
      </c>
      <c r="AI94" s="9" t="n"/>
      <c r="AJ94" s="5" t="n">
        <v>752</v>
      </c>
    </row>
    <row r="95">
      <c r="A95" s="2" t="n"/>
      <c r="B95" s="3" t="n"/>
      <c r="C95" s="4" t="n"/>
      <c r="D95" s="5" t="n">
        <v>562153908</v>
      </c>
      <c r="E95" s="6" t="inlineStr">
        <is>
          <t>HF491787199</t>
        </is>
      </c>
      <c r="F95" s="6" t="inlineStr">
        <is>
          <t>06/10/2026</t>
        </is>
      </c>
      <c r="G95" s="6" t="inlineStr">
        <is>
          <t>Medicare Part B Arizona *</t>
        </is>
      </c>
      <c r="H95" s="6" t="inlineStr">
        <is>
          <t>Medicare Part B Arizona *</t>
        </is>
      </c>
      <c r="I95" s="6" t="inlineStr">
        <is>
          <t>AARP United Healthcare</t>
        </is>
      </c>
      <c r="J95" s="6" t="inlineStr">
        <is>
          <t>99492</t>
        </is>
      </c>
      <c r="K95" s="4" t="n"/>
      <c r="L95" s="5">
        <f>IF($M95="","",$M95-TODAY())</f>
        <v/>
      </c>
      <c r="M95" s="7" t="n">
        <v>46548</v>
      </c>
      <c r="N95" s="6" t="inlineStr">
        <is>
          <t>365 days</t>
        </is>
      </c>
      <c r="O95" s="6" t="inlineStr">
        <is>
          <t>MEDICARE</t>
        </is>
      </c>
      <c r="P95" s="6" t="n"/>
      <c r="Q95" s="6" t="n"/>
      <c r="R95" s="6" t="n"/>
      <c r="S95" s="5" t="n">
        <v>1</v>
      </c>
      <c r="T95" s="8" t="n">
        <v>1029.98</v>
      </c>
      <c r="U95" s="8" t="n">
        <v>0</v>
      </c>
      <c r="V95" s="8" t="n">
        <v>0</v>
      </c>
      <c r="W95" s="6" t="n"/>
      <c r="X95" s="8" t="n">
        <v>1029.98</v>
      </c>
      <c r="Y95" s="5" t="n">
        <v>59</v>
      </c>
      <c r="Z95" s="6" t="inlineStr">
        <is>
          <t>F4320</t>
        </is>
      </c>
      <c r="AA95" s="6" t="n"/>
      <c r="AB95" s="6" t="n"/>
      <c r="AC95" s="6" t="n"/>
      <c r="AD95" s="5" t="n"/>
      <c r="AE95" s="6" t="inlineStr">
        <is>
          <t>SARKAR, AWNIK</t>
        </is>
      </c>
      <c r="AF95" s="6" t="inlineStr">
        <is>
          <t>ASAP - DEER VALLEY</t>
        </is>
      </c>
      <c r="AG95" s="6" t="inlineStr">
        <is>
          <t>07/14/2026</t>
        </is>
      </c>
      <c r="AH95" s="6" t="inlineStr">
        <is>
          <t>BH</t>
        </is>
      </c>
      <c r="AI95" s="9" t="n"/>
      <c r="AJ95" s="5" t="n">
        <v>1052</v>
      </c>
    </row>
    <row r="96">
      <c r="A96" s="2" t="n"/>
      <c r="B96" s="3" t="n"/>
      <c r="C96" s="4" t="n"/>
      <c r="D96" s="5" t="n">
        <v>562153908</v>
      </c>
      <c r="E96" s="6" t="inlineStr">
        <is>
          <t>HF491787199</t>
        </is>
      </c>
      <c r="F96" s="6" t="inlineStr">
        <is>
          <t>06/10/2026</t>
        </is>
      </c>
      <c r="G96" s="6" t="inlineStr">
        <is>
          <t>Medicare Part B Arizona *</t>
        </is>
      </c>
      <c r="H96" s="6" t="inlineStr">
        <is>
          <t>Medicare Part B Arizona *</t>
        </is>
      </c>
      <c r="I96" s="6" t="inlineStr">
        <is>
          <t>AARP United Healthcare</t>
        </is>
      </c>
      <c r="J96" s="6" t="inlineStr">
        <is>
          <t>99494</t>
        </is>
      </c>
      <c r="K96" s="4" t="n"/>
      <c r="L96" s="5">
        <f>IF($M96="","",$M96-TODAY())</f>
        <v/>
      </c>
      <c r="M96" s="7" t="n">
        <v>46548</v>
      </c>
      <c r="N96" s="6" t="inlineStr">
        <is>
          <t>365 days</t>
        </is>
      </c>
      <c r="O96" s="6" t="inlineStr">
        <is>
          <t>MEDICARE</t>
        </is>
      </c>
      <c r="P96" s="6" t="n"/>
      <c r="Q96" s="6" t="n"/>
      <c r="R96" s="6" t="n"/>
      <c r="S96" s="5" t="n">
        <v>1</v>
      </c>
      <c r="T96" s="8" t="n">
        <v>396.27</v>
      </c>
      <c r="U96" s="8" t="n">
        <v>0</v>
      </c>
      <c r="V96" s="8" t="n">
        <v>0</v>
      </c>
      <c r="W96" s="6" t="n"/>
      <c r="X96" s="8" t="n">
        <v>396.27</v>
      </c>
      <c r="Y96" s="5" t="n">
        <v>59</v>
      </c>
      <c r="Z96" s="6" t="inlineStr">
        <is>
          <t>F4320</t>
        </is>
      </c>
      <c r="AA96" s="6" t="n"/>
      <c r="AB96" s="6" t="n"/>
      <c r="AC96" s="6" t="n"/>
      <c r="AD96" s="5" t="n"/>
      <c r="AE96" s="6" t="inlineStr">
        <is>
          <t>SARKAR, AWNIK</t>
        </is>
      </c>
      <c r="AF96" s="6" t="inlineStr">
        <is>
          <t>ASAP - DEER VALLEY</t>
        </is>
      </c>
      <c r="AG96" s="6" t="inlineStr">
        <is>
          <t>07/14/2026</t>
        </is>
      </c>
      <c r="AH96" s="6" t="inlineStr">
        <is>
          <t>BH</t>
        </is>
      </c>
      <c r="AI96" s="9" t="n"/>
      <c r="AJ96" s="5" t="n">
        <v>1053</v>
      </c>
    </row>
    <row r="97">
      <c r="A97" s="2" t="n"/>
      <c r="B97" s="3" t="n"/>
      <c r="C97" s="4" t="n"/>
      <c r="D97" s="5" t="n">
        <v>562170426</v>
      </c>
      <c r="E97" s="6" t="inlineStr">
        <is>
          <t>HF466876535</t>
        </is>
      </c>
      <c r="F97" s="6" t="inlineStr">
        <is>
          <t>06/10/2026</t>
        </is>
      </c>
      <c r="G97" s="6" t="inlineStr">
        <is>
          <t>Medicare Part B Arizona *</t>
        </is>
      </c>
      <c r="H97" s="6" t="inlineStr">
        <is>
          <t>Medicare Part B Arizona *</t>
        </is>
      </c>
      <c r="I97" s="6" t="inlineStr">
        <is>
          <t>AARP United Healthcare</t>
        </is>
      </c>
      <c r="J97" s="6" t="inlineStr">
        <is>
          <t>99493</t>
        </is>
      </c>
      <c r="K97" s="4" t="n"/>
      <c r="L97" s="5">
        <f>IF($M97="","",$M97-TODAY())</f>
        <v/>
      </c>
      <c r="M97" s="7" t="n">
        <v>46548</v>
      </c>
      <c r="N97" s="6" t="inlineStr">
        <is>
          <t>365 days</t>
        </is>
      </c>
      <c r="O97" s="6" t="inlineStr">
        <is>
          <t>MEDICARE</t>
        </is>
      </c>
      <c r="P97" s="6" t="n"/>
      <c r="Q97" s="6" t="n"/>
      <c r="R97" s="6" t="n"/>
      <c r="S97" s="5" t="n">
        <v>1</v>
      </c>
      <c r="T97" s="8" t="n">
        <v>976.64</v>
      </c>
      <c r="U97" s="8" t="n">
        <v>0</v>
      </c>
      <c r="V97" s="8" t="n">
        <v>0</v>
      </c>
      <c r="W97" s="6" t="n"/>
      <c r="X97" s="8" t="n">
        <v>976.64</v>
      </c>
      <c r="Y97" s="5" t="n">
        <v>59</v>
      </c>
      <c r="Z97" s="6" t="inlineStr">
        <is>
          <t>F4320</t>
        </is>
      </c>
      <c r="AA97" s="6" t="n"/>
      <c r="AB97" s="6" t="n"/>
      <c r="AC97" s="6" t="n"/>
      <c r="AD97" s="5" t="n"/>
      <c r="AE97" s="6" t="inlineStr">
        <is>
          <t>LEATHEM, JARRETT</t>
        </is>
      </c>
      <c r="AF97" s="6" t="inlineStr">
        <is>
          <t>ASAP - DEER VALLEY</t>
        </is>
      </c>
      <c r="AG97" s="6" t="inlineStr">
        <is>
          <t>07/14/2026</t>
        </is>
      </c>
      <c r="AH97" s="6" t="inlineStr">
        <is>
          <t>BH</t>
        </is>
      </c>
      <c r="AI97" s="9" t="n"/>
      <c r="AJ97" s="5" t="n">
        <v>413</v>
      </c>
    </row>
    <row r="98">
      <c r="A98" s="2" t="n"/>
      <c r="B98" s="3" t="n"/>
      <c r="C98" s="4" t="n"/>
      <c r="D98" s="5" t="n">
        <v>562170426</v>
      </c>
      <c r="E98" s="6" t="inlineStr">
        <is>
          <t>HF466876535</t>
        </is>
      </c>
      <c r="F98" s="6" t="inlineStr">
        <is>
          <t>06/10/2026</t>
        </is>
      </c>
      <c r="G98" s="6" t="inlineStr">
        <is>
          <t>Medicare Part B Arizona *</t>
        </is>
      </c>
      <c r="H98" s="6" t="inlineStr">
        <is>
          <t>Medicare Part B Arizona *</t>
        </is>
      </c>
      <c r="I98" s="6" t="inlineStr">
        <is>
          <t>AARP United Healthcare</t>
        </is>
      </c>
      <c r="J98" s="6" t="inlineStr">
        <is>
          <t>99494</t>
        </is>
      </c>
      <c r="K98" s="4" t="n"/>
      <c r="L98" s="5">
        <f>IF($M98="","",$M98-TODAY())</f>
        <v/>
      </c>
      <c r="M98" s="7" t="n">
        <v>46548</v>
      </c>
      <c r="N98" s="6" t="inlineStr">
        <is>
          <t>365 days</t>
        </is>
      </c>
      <c r="O98" s="6" t="inlineStr">
        <is>
          <t>MEDICARE</t>
        </is>
      </c>
      <c r="P98" s="6" t="n"/>
      <c r="Q98" s="6" t="n"/>
      <c r="R98" s="6" t="n"/>
      <c r="S98" s="5" t="n">
        <v>1</v>
      </c>
      <c r="T98" s="8" t="n">
        <v>396.27</v>
      </c>
      <c r="U98" s="8" t="n">
        <v>0</v>
      </c>
      <c r="V98" s="8" t="n">
        <v>0</v>
      </c>
      <c r="W98" s="6" t="n"/>
      <c r="X98" s="8" t="n">
        <v>396.27</v>
      </c>
      <c r="Y98" s="5" t="n">
        <v>59</v>
      </c>
      <c r="Z98" s="6" t="inlineStr">
        <is>
          <t>F4320</t>
        </is>
      </c>
      <c r="AA98" s="6" t="n"/>
      <c r="AB98" s="6" t="n"/>
      <c r="AC98" s="6" t="n"/>
      <c r="AD98" s="5" t="n"/>
      <c r="AE98" s="6" t="inlineStr">
        <is>
          <t>LEATHEM, JARRETT</t>
        </is>
      </c>
      <c r="AF98" s="6" t="inlineStr">
        <is>
          <t>ASAP - DEER VALLEY</t>
        </is>
      </c>
      <c r="AG98" s="6" t="inlineStr">
        <is>
          <t>07/14/2026</t>
        </is>
      </c>
      <c r="AH98" s="6" t="inlineStr">
        <is>
          <t>BH</t>
        </is>
      </c>
      <c r="AI98" s="9" t="n"/>
      <c r="AJ98" s="5" t="n">
        <v>414</v>
      </c>
    </row>
    <row r="99">
      <c r="A99" s="2" t="n"/>
      <c r="B99" s="3" t="n"/>
      <c r="C99" s="4" t="n"/>
      <c r="D99" s="5" t="n">
        <v>562154385</v>
      </c>
      <c r="E99" s="6" t="inlineStr">
        <is>
          <t>HF497761457</t>
        </is>
      </c>
      <c r="F99" s="6" t="inlineStr">
        <is>
          <t>06/11/2026</t>
        </is>
      </c>
      <c r="G99" s="6" t="inlineStr">
        <is>
          <t>Medicare Part B Arizona *</t>
        </is>
      </c>
      <c r="H99" s="6" t="inlineStr">
        <is>
          <t>Medicare Part B Arizona *</t>
        </is>
      </c>
      <c r="I99" s="6" t="inlineStr">
        <is>
          <t>AARP United Healthcare</t>
        </is>
      </c>
      <c r="J99" s="6" t="inlineStr">
        <is>
          <t>99492</t>
        </is>
      </c>
      <c r="K99" s="4" t="n"/>
      <c r="L99" s="5">
        <f>IF($M99="","",$M99-TODAY())</f>
        <v/>
      </c>
      <c r="M99" s="7" t="n">
        <v>46549</v>
      </c>
      <c r="N99" s="6" t="inlineStr">
        <is>
          <t>365 days</t>
        </is>
      </c>
      <c r="O99" s="6" t="inlineStr">
        <is>
          <t>MEDICARE</t>
        </is>
      </c>
      <c r="P99" s="6" t="n"/>
      <c r="Q99" s="6" t="n"/>
      <c r="R99" s="6" t="n"/>
      <c r="S99" s="5" t="n">
        <v>1</v>
      </c>
      <c r="T99" s="8" t="n">
        <v>1029.98</v>
      </c>
      <c r="U99" s="8" t="n">
        <v>0</v>
      </c>
      <c r="V99" s="8" t="n">
        <v>0</v>
      </c>
      <c r="W99" s="6" t="n"/>
      <c r="X99" s="8" t="n">
        <v>1029.98</v>
      </c>
      <c r="Y99" s="5" t="n">
        <v>58</v>
      </c>
      <c r="Z99" s="6" t="inlineStr">
        <is>
          <t>F4320</t>
        </is>
      </c>
      <c r="AA99" s="6" t="n"/>
      <c r="AB99" s="6" t="n"/>
      <c r="AC99" s="6" t="n"/>
      <c r="AD99" s="5" t="n"/>
      <c r="AE99" s="6" t="inlineStr">
        <is>
          <t>LEATHEM, JARRETT</t>
        </is>
      </c>
      <c r="AF99" s="6" t="inlineStr">
        <is>
          <t>ASAP - DEER VALLEY</t>
        </is>
      </c>
      <c r="AG99" s="6" t="inlineStr">
        <is>
          <t>07/14/2026</t>
        </is>
      </c>
      <c r="AH99" s="6" t="inlineStr">
        <is>
          <t>BH</t>
        </is>
      </c>
      <c r="AI99" s="9" t="n"/>
      <c r="AJ99" s="5" t="n">
        <v>1079</v>
      </c>
    </row>
    <row r="100">
      <c r="A100" s="2" t="n"/>
      <c r="B100" s="3" t="n"/>
      <c r="C100" s="4" t="n"/>
      <c r="D100" s="5" t="n">
        <v>562154385</v>
      </c>
      <c r="E100" s="6" t="inlineStr">
        <is>
          <t>HF497761457</t>
        </is>
      </c>
      <c r="F100" s="6" t="inlineStr">
        <is>
          <t>06/11/2026</t>
        </is>
      </c>
      <c r="G100" s="6" t="inlineStr">
        <is>
          <t>Medicare Part B Arizona *</t>
        </is>
      </c>
      <c r="H100" s="6" t="inlineStr">
        <is>
          <t>Medicare Part B Arizona *</t>
        </is>
      </c>
      <c r="I100" s="6" t="inlineStr">
        <is>
          <t>AARP United Healthcare</t>
        </is>
      </c>
      <c r="J100" s="6" t="inlineStr">
        <is>
          <t>99494</t>
        </is>
      </c>
      <c r="K100" s="4" t="n"/>
      <c r="L100" s="5">
        <f>IF($M100="","",$M100-TODAY())</f>
        <v/>
      </c>
      <c r="M100" s="7" t="n">
        <v>46549</v>
      </c>
      <c r="N100" s="6" t="inlineStr">
        <is>
          <t>365 days</t>
        </is>
      </c>
      <c r="O100" s="6" t="inlineStr">
        <is>
          <t>MEDICARE</t>
        </is>
      </c>
      <c r="P100" s="6" t="n"/>
      <c r="Q100" s="6" t="n"/>
      <c r="R100" s="6" t="n"/>
      <c r="S100" s="5" t="n">
        <v>1</v>
      </c>
      <c r="T100" s="8" t="n">
        <v>396.27</v>
      </c>
      <c r="U100" s="8" t="n">
        <v>0</v>
      </c>
      <c r="V100" s="8" t="n">
        <v>0</v>
      </c>
      <c r="W100" s="6" t="n"/>
      <c r="X100" s="8" t="n">
        <v>396.27</v>
      </c>
      <c r="Y100" s="5" t="n">
        <v>58</v>
      </c>
      <c r="Z100" s="6" t="inlineStr">
        <is>
          <t>F4320</t>
        </is>
      </c>
      <c r="AA100" s="6" t="n"/>
      <c r="AB100" s="6" t="n"/>
      <c r="AC100" s="6" t="n"/>
      <c r="AD100" s="5" t="n"/>
      <c r="AE100" s="6" t="inlineStr">
        <is>
          <t>LEATHEM, JARRETT</t>
        </is>
      </c>
      <c r="AF100" s="6" t="inlineStr">
        <is>
          <t>ASAP - DEER VALLEY</t>
        </is>
      </c>
      <c r="AG100" s="6" t="inlineStr">
        <is>
          <t>07/14/2026</t>
        </is>
      </c>
      <c r="AH100" s="6" t="inlineStr">
        <is>
          <t>BH</t>
        </is>
      </c>
      <c r="AI100" s="9" t="n"/>
      <c r="AJ100" s="5" t="n">
        <v>1080</v>
      </c>
    </row>
    <row r="101">
      <c r="A101" s="2" t="n"/>
      <c r="B101" s="3" t="n"/>
      <c r="C101" s="4" t="n"/>
      <c r="D101" s="5" t="n">
        <v>562638258</v>
      </c>
      <c r="E101" s="6" t="inlineStr">
        <is>
          <t>HF331215534</t>
        </is>
      </c>
      <c r="F101" s="6" t="inlineStr">
        <is>
          <t>06/17/2026</t>
        </is>
      </c>
      <c r="G101" s="6" t="inlineStr">
        <is>
          <t>Medicare Part B Arizona *</t>
        </is>
      </c>
      <c r="H101" s="6" t="inlineStr">
        <is>
          <t>Medicare Part B Arizona *</t>
        </is>
      </c>
      <c r="I101" s="6" t="inlineStr">
        <is>
          <t>Aetna Senior Supplemental (AESSI) - Secondary Only 62118</t>
        </is>
      </c>
      <c r="J101" s="6" t="inlineStr">
        <is>
          <t>99492</t>
        </is>
      </c>
      <c r="K101" s="4" t="n"/>
      <c r="L101" s="5">
        <f>IF($M101="","",$M101-TODAY())</f>
        <v/>
      </c>
      <c r="M101" s="7" t="n">
        <v>46555</v>
      </c>
      <c r="N101" s="6" t="inlineStr">
        <is>
          <t>365 days</t>
        </is>
      </c>
      <c r="O101" s="6" t="inlineStr">
        <is>
          <t>MEDICARE</t>
        </is>
      </c>
      <c r="P101" s="6" t="n"/>
      <c r="Q101" s="6" t="n"/>
      <c r="R101" s="6" t="n"/>
      <c r="S101" s="5" t="n">
        <v>1</v>
      </c>
      <c r="T101" s="8" t="n">
        <v>1029.98</v>
      </c>
      <c r="U101" s="8" t="n">
        <v>0</v>
      </c>
      <c r="V101" s="8" t="n">
        <v>0</v>
      </c>
      <c r="W101" s="6" t="n"/>
      <c r="X101" s="8" t="n">
        <v>1029.98</v>
      </c>
      <c r="Y101" s="5" t="n">
        <v>52</v>
      </c>
      <c r="Z101" s="6" t="inlineStr">
        <is>
          <t>F1190</t>
        </is>
      </c>
      <c r="AA101" s="6" t="n"/>
      <c r="AB101" s="6" t="n"/>
      <c r="AC101" s="6" t="n"/>
      <c r="AD101" s="5" t="n"/>
      <c r="AE101" s="6" t="inlineStr">
        <is>
          <t>LEATHEM, JARRETT</t>
        </is>
      </c>
      <c r="AF101" s="6" t="inlineStr">
        <is>
          <t>ASAP - Gilbert</t>
        </is>
      </c>
      <c r="AG101" s="6" t="inlineStr">
        <is>
          <t>07/14/2026</t>
        </is>
      </c>
      <c r="AH101" s="6" t="inlineStr">
        <is>
          <t>BH</t>
        </is>
      </c>
      <c r="AI101" s="9" t="n"/>
      <c r="AJ101" s="5" t="n">
        <v>240</v>
      </c>
    </row>
    <row r="102">
      <c r="A102" s="2" t="n"/>
      <c r="B102" s="3" t="n"/>
      <c r="C102" s="4" t="n"/>
      <c r="D102" s="5" t="n">
        <v>562638258</v>
      </c>
      <c r="E102" s="6" t="inlineStr">
        <is>
          <t>HF331215534</t>
        </is>
      </c>
      <c r="F102" s="6" t="inlineStr">
        <is>
          <t>06/17/2026</t>
        </is>
      </c>
      <c r="G102" s="6" t="inlineStr">
        <is>
          <t>Medicare Part B Arizona *</t>
        </is>
      </c>
      <c r="H102" s="6" t="inlineStr">
        <is>
          <t>Medicare Part B Arizona *</t>
        </is>
      </c>
      <c r="I102" s="6" t="inlineStr">
        <is>
          <t>Aetna Senior Supplemental (AESSI) - Secondary Only 62118</t>
        </is>
      </c>
      <c r="J102" s="6" t="inlineStr">
        <is>
          <t>99494</t>
        </is>
      </c>
      <c r="K102" s="4" t="n"/>
      <c r="L102" s="5">
        <f>IF($M102="","",$M102-TODAY())</f>
        <v/>
      </c>
      <c r="M102" s="7" t="n">
        <v>46555</v>
      </c>
      <c r="N102" s="6" t="inlineStr">
        <is>
          <t>365 days</t>
        </is>
      </c>
      <c r="O102" s="6" t="inlineStr">
        <is>
          <t>MEDICARE</t>
        </is>
      </c>
      <c r="P102" s="6" t="n"/>
      <c r="Q102" s="6" t="n"/>
      <c r="R102" s="6" t="n"/>
      <c r="S102" s="5" t="n">
        <v>1</v>
      </c>
      <c r="T102" s="8" t="n">
        <v>396.27</v>
      </c>
      <c r="U102" s="8" t="n">
        <v>0</v>
      </c>
      <c r="V102" s="8" t="n">
        <v>0</v>
      </c>
      <c r="W102" s="6" t="n"/>
      <c r="X102" s="8" t="n">
        <v>396.27</v>
      </c>
      <c r="Y102" s="5" t="n">
        <v>52</v>
      </c>
      <c r="Z102" s="6" t="inlineStr">
        <is>
          <t>F1190</t>
        </is>
      </c>
      <c r="AA102" s="6" t="n"/>
      <c r="AB102" s="6" t="n"/>
      <c r="AC102" s="6" t="n"/>
      <c r="AD102" s="5" t="n"/>
      <c r="AE102" s="6" t="inlineStr">
        <is>
          <t>LEATHEM, JARRETT</t>
        </is>
      </c>
      <c r="AF102" s="6" t="inlineStr">
        <is>
          <t>ASAP - Gilbert</t>
        </is>
      </c>
      <c r="AG102" s="6" t="inlineStr">
        <is>
          <t>07/14/2026</t>
        </is>
      </c>
      <c r="AH102" s="6" t="inlineStr">
        <is>
          <t>BH</t>
        </is>
      </c>
      <c r="AI102" s="9" t="n"/>
      <c r="AJ102" s="5" t="n">
        <v>241</v>
      </c>
    </row>
    <row r="103">
      <c r="A103" s="2" t="n"/>
      <c r="B103" s="3" t="n"/>
      <c r="C103" s="4" t="n"/>
      <c r="D103" s="5" t="n">
        <v>562876619</v>
      </c>
      <c r="E103" s="6" t="inlineStr">
        <is>
          <t>HF390397148</t>
        </is>
      </c>
      <c r="F103" s="6" t="inlineStr">
        <is>
          <t>06/18/2026</t>
        </is>
      </c>
      <c r="G103" s="6" t="inlineStr">
        <is>
          <t>Medicare Part B Arizona *</t>
        </is>
      </c>
      <c r="H103" s="6" t="inlineStr">
        <is>
          <t>Medicare Part B Arizona *</t>
        </is>
      </c>
      <c r="I103" s="6" t="inlineStr">
        <is>
          <t>No Payer</t>
        </is>
      </c>
      <c r="J103" s="6" t="inlineStr">
        <is>
          <t>99494</t>
        </is>
      </c>
      <c r="K103" s="4" t="n"/>
      <c r="L103" s="5">
        <f>IF($M103="","",$M103-TODAY())</f>
        <v/>
      </c>
      <c r="M103" s="7" t="n">
        <v>46556</v>
      </c>
      <c r="N103" s="6" t="inlineStr">
        <is>
          <t>365 days</t>
        </is>
      </c>
      <c r="O103" s="6" t="inlineStr">
        <is>
          <t>MEDICARE</t>
        </is>
      </c>
      <c r="P103" s="6" t="n"/>
      <c r="Q103" s="6" t="n"/>
      <c r="R103" s="6" t="n"/>
      <c r="S103" s="5" t="n">
        <v>1</v>
      </c>
      <c r="T103" s="8" t="n">
        <v>396.27</v>
      </c>
      <c r="U103" s="8" t="n">
        <v>0</v>
      </c>
      <c r="V103" s="8" t="n">
        <v>0</v>
      </c>
      <c r="W103" s="6" t="n"/>
      <c r="X103" s="8" t="n">
        <v>396.27</v>
      </c>
      <c r="Y103" s="5" t="n">
        <v>51</v>
      </c>
      <c r="Z103" s="6" t="inlineStr">
        <is>
          <t>F419</t>
        </is>
      </c>
      <c r="AA103" s="6" t="n"/>
      <c r="AB103" s="6" t="n"/>
      <c r="AC103" s="6" t="n"/>
      <c r="AD103" s="5" t="n"/>
      <c r="AE103" s="6" t="inlineStr">
        <is>
          <t>TURLEY, TODD</t>
        </is>
      </c>
      <c r="AF103" s="6" t="inlineStr">
        <is>
          <t>ASAP - DEER VALLEY</t>
        </is>
      </c>
      <c r="AG103" s="6" t="inlineStr">
        <is>
          <t>07/14/2026</t>
        </is>
      </c>
      <c r="AH103" s="6" t="inlineStr">
        <is>
          <t>BH</t>
        </is>
      </c>
      <c r="AI103" s="9" t="n"/>
      <c r="AJ103" s="5" t="n">
        <v>221</v>
      </c>
    </row>
    <row r="104">
      <c r="A104" s="2" t="n"/>
      <c r="B104" s="3" t="n"/>
      <c r="C104" s="4" t="n"/>
      <c r="D104" s="5" t="n">
        <v>562876619</v>
      </c>
      <c r="E104" s="6" t="inlineStr">
        <is>
          <t>HF390397148</t>
        </is>
      </c>
      <c r="F104" s="6" t="inlineStr">
        <is>
          <t>06/18/2026</t>
        </is>
      </c>
      <c r="G104" s="6" t="inlineStr">
        <is>
          <t>Medicare Part B Arizona *</t>
        </is>
      </c>
      <c r="H104" s="6" t="inlineStr">
        <is>
          <t>Medicare Part B Arizona *</t>
        </is>
      </c>
      <c r="I104" s="6" t="inlineStr">
        <is>
          <t>No Payer</t>
        </is>
      </c>
      <c r="J104" s="6" t="inlineStr">
        <is>
          <t>99493</t>
        </is>
      </c>
      <c r="K104" s="4" t="n"/>
      <c r="L104" s="5">
        <f>IF($M104="","",$M104-TODAY())</f>
        <v/>
      </c>
      <c r="M104" s="7" t="n">
        <v>46556</v>
      </c>
      <c r="N104" s="6" t="inlineStr">
        <is>
          <t>365 days</t>
        </is>
      </c>
      <c r="O104" s="6" t="inlineStr">
        <is>
          <t>MEDICARE</t>
        </is>
      </c>
      <c r="P104" s="6" t="n"/>
      <c r="Q104" s="6" t="n"/>
      <c r="R104" s="6" t="n"/>
      <c r="S104" s="5" t="n">
        <v>1</v>
      </c>
      <c r="T104" s="8" t="n">
        <v>976.64</v>
      </c>
      <c r="U104" s="8" t="n">
        <v>0</v>
      </c>
      <c r="V104" s="8" t="n">
        <v>0</v>
      </c>
      <c r="W104" s="6" t="n"/>
      <c r="X104" s="8" t="n">
        <v>976.64</v>
      </c>
      <c r="Y104" s="5" t="n">
        <v>51</v>
      </c>
      <c r="Z104" s="6" t="inlineStr">
        <is>
          <t>F419</t>
        </is>
      </c>
      <c r="AA104" s="6" t="n"/>
      <c r="AB104" s="6" t="n"/>
      <c r="AC104" s="6" t="n"/>
      <c r="AD104" s="5" t="n"/>
      <c r="AE104" s="6" t="inlineStr">
        <is>
          <t>TURLEY, TODD</t>
        </is>
      </c>
      <c r="AF104" s="6" t="inlineStr">
        <is>
          <t>ASAP - DEER VALLEY</t>
        </is>
      </c>
      <c r="AG104" s="6" t="inlineStr">
        <is>
          <t>07/14/2026</t>
        </is>
      </c>
      <c r="AH104" s="6" t="inlineStr">
        <is>
          <t>BH</t>
        </is>
      </c>
      <c r="AI104" s="9" t="n"/>
      <c r="AJ104" s="5" t="n">
        <v>222</v>
      </c>
    </row>
    <row r="105">
      <c r="A105" s="2" t="n"/>
      <c r="B105" s="3" t="n"/>
      <c r="C105" s="4" t="n"/>
      <c r="D105" s="5" t="n">
        <v>562843131</v>
      </c>
      <c r="E105" s="6" t="inlineStr">
        <is>
          <t>HF331440491</t>
        </is>
      </c>
      <c r="F105" s="6" t="inlineStr">
        <is>
          <t>06/19/2026</t>
        </is>
      </c>
      <c r="G105" s="6" t="inlineStr">
        <is>
          <t>Medicare Part B Arizona *</t>
        </is>
      </c>
      <c r="H105" s="6" t="inlineStr">
        <is>
          <t>Medicare Part B Arizona *</t>
        </is>
      </c>
      <c r="I105" s="6" t="inlineStr">
        <is>
          <t>Physicians Mutual Insurance Company - ENS</t>
        </is>
      </c>
      <c r="J105" s="6" t="inlineStr">
        <is>
          <t>99494</t>
        </is>
      </c>
      <c r="K105" s="4" t="n"/>
      <c r="L105" s="5">
        <f>IF($M105="","",$M105-TODAY())</f>
        <v/>
      </c>
      <c r="M105" s="7" t="n">
        <v>46557</v>
      </c>
      <c r="N105" s="6" t="inlineStr">
        <is>
          <t>365 days</t>
        </is>
      </c>
      <c r="O105" s="6" t="inlineStr">
        <is>
          <t>MEDICARE</t>
        </is>
      </c>
      <c r="P105" s="6" t="n"/>
      <c r="Q105" s="6" t="n"/>
      <c r="R105" s="6" t="n"/>
      <c r="S105" s="5" t="n">
        <v>1</v>
      </c>
      <c r="T105" s="8" t="n">
        <v>396.27</v>
      </c>
      <c r="U105" s="8" t="n">
        <v>0</v>
      </c>
      <c r="V105" s="8" t="n">
        <v>0</v>
      </c>
      <c r="W105" s="6" t="inlineStr">
        <is>
          <t>07/22/2026</t>
        </is>
      </c>
      <c r="X105" s="8" t="n">
        <v>396.27</v>
      </c>
      <c r="Y105" s="5" t="n">
        <v>50</v>
      </c>
      <c r="Z105" s="6" t="inlineStr">
        <is>
          <t>F1190</t>
        </is>
      </c>
      <c r="AA105" s="6" t="n"/>
      <c r="AB105" s="6" t="n"/>
      <c r="AC105" s="6" t="n"/>
      <c r="AD105" s="5" t="n"/>
      <c r="AE105" s="6" t="inlineStr">
        <is>
          <t>BURGHER, ABRAM</t>
        </is>
      </c>
      <c r="AF105" s="6" t="inlineStr">
        <is>
          <t>ASAP - Gilbert</t>
        </is>
      </c>
      <c r="AG105" s="6" t="inlineStr">
        <is>
          <t>07/14/2026</t>
        </is>
      </c>
      <c r="AH105" s="6" t="inlineStr">
        <is>
          <t>BH</t>
        </is>
      </c>
      <c r="AI105" s="9" t="n"/>
      <c r="AJ105" s="5" t="n">
        <v>474</v>
      </c>
    </row>
    <row r="106">
      <c r="A106" s="2" t="n"/>
      <c r="B106" s="3" t="n"/>
      <c r="C106" s="4" t="n"/>
      <c r="D106" s="5" t="n">
        <v>562843131</v>
      </c>
      <c r="E106" s="6" t="inlineStr">
        <is>
          <t>HF331440491</t>
        </is>
      </c>
      <c r="F106" s="6" t="inlineStr">
        <is>
          <t>06/19/2026</t>
        </is>
      </c>
      <c r="G106" s="6" t="inlineStr">
        <is>
          <t>Medicare Part B Arizona *</t>
        </is>
      </c>
      <c r="H106" s="6" t="inlineStr">
        <is>
          <t>Medicare Part B Arizona *</t>
        </is>
      </c>
      <c r="I106" s="6" t="inlineStr">
        <is>
          <t>Physicians Mutual Insurance Company - ENS</t>
        </is>
      </c>
      <c r="J106" s="6" t="inlineStr">
        <is>
          <t>99493</t>
        </is>
      </c>
      <c r="K106" s="4" t="n"/>
      <c r="L106" s="5">
        <f>IF($M106="","",$M106-TODAY())</f>
        <v/>
      </c>
      <c r="M106" s="7" t="n">
        <v>46557</v>
      </c>
      <c r="N106" s="6" t="inlineStr">
        <is>
          <t>365 days</t>
        </is>
      </c>
      <c r="O106" s="6" t="inlineStr">
        <is>
          <t>MEDICARE</t>
        </is>
      </c>
      <c r="P106" s="6" t="n"/>
      <c r="Q106" s="6" t="n"/>
      <c r="R106" s="6" t="n"/>
      <c r="S106" s="5" t="n">
        <v>1</v>
      </c>
      <c r="T106" s="8" t="n">
        <v>976.64</v>
      </c>
      <c r="U106" s="8" t="n">
        <v>0</v>
      </c>
      <c r="V106" s="8" t="n">
        <v>0</v>
      </c>
      <c r="W106" s="6" t="inlineStr">
        <is>
          <t>07/22/2026</t>
        </is>
      </c>
      <c r="X106" s="8" t="n">
        <v>976.64</v>
      </c>
      <c r="Y106" s="5" t="n">
        <v>50</v>
      </c>
      <c r="Z106" s="6" t="inlineStr">
        <is>
          <t>F1190</t>
        </is>
      </c>
      <c r="AA106" s="6" t="n"/>
      <c r="AB106" s="6" t="n"/>
      <c r="AC106" s="6" t="n"/>
      <c r="AD106" s="5" t="n"/>
      <c r="AE106" s="6" t="inlineStr">
        <is>
          <t>BURGHER, ABRAM</t>
        </is>
      </c>
      <c r="AF106" s="6" t="inlineStr">
        <is>
          <t>ASAP - Gilbert</t>
        </is>
      </c>
      <c r="AG106" s="6" t="inlineStr">
        <is>
          <t>07/14/2026</t>
        </is>
      </c>
      <c r="AH106" s="6" t="inlineStr">
        <is>
          <t>BH</t>
        </is>
      </c>
      <c r="AI106" s="9" t="n"/>
      <c r="AJ106" s="5" t="n">
        <v>475</v>
      </c>
    </row>
    <row r="107">
      <c r="A107" s="2" t="n"/>
      <c r="B107" s="3" t="n"/>
      <c r="C107" s="4" t="n"/>
      <c r="D107" s="5" t="n">
        <v>562855744</v>
      </c>
      <c r="E107" s="6" t="inlineStr">
        <is>
          <t>HF514978991</t>
        </is>
      </c>
      <c r="F107" s="6" t="inlineStr">
        <is>
          <t>06/19/2026</t>
        </is>
      </c>
      <c r="G107" s="6" t="inlineStr">
        <is>
          <t>Medicare Part B Arizona *</t>
        </is>
      </c>
      <c r="H107" s="6" t="inlineStr">
        <is>
          <t>Medicare Part B Arizona *</t>
        </is>
      </c>
      <c r="I107" s="6" t="inlineStr">
        <is>
          <t>Bankers Life Colonial Penn Life</t>
        </is>
      </c>
      <c r="J107" s="6" t="inlineStr">
        <is>
          <t>99493</t>
        </is>
      </c>
      <c r="K107" s="4" t="n"/>
      <c r="L107" s="5">
        <f>IF($M107="","",$M107-TODAY())</f>
        <v/>
      </c>
      <c r="M107" s="7" t="n">
        <v>46557</v>
      </c>
      <c r="N107" s="6" t="inlineStr">
        <is>
          <t>365 days</t>
        </is>
      </c>
      <c r="O107" s="6" t="inlineStr">
        <is>
          <t>MEDICARE</t>
        </is>
      </c>
      <c r="P107" s="6" t="n"/>
      <c r="Q107" s="6" t="n"/>
      <c r="R107" s="6" t="n"/>
      <c r="S107" s="5" t="n">
        <v>1</v>
      </c>
      <c r="T107" s="8" t="n">
        <v>976.64</v>
      </c>
      <c r="U107" s="8" t="n">
        <v>0</v>
      </c>
      <c r="V107" s="8" t="n">
        <v>0</v>
      </c>
      <c r="W107" s="6" t="inlineStr">
        <is>
          <t>07/22/2026</t>
        </is>
      </c>
      <c r="X107" s="8" t="n">
        <v>976.64</v>
      </c>
      <c r="Y107" s="5" t="n">
        <v>50</v>
      </c>
      <c r="Z107" s="6" t="inlineStr">
        <is>
          <t>F330</t>
        </is>
      </c>
      <c r="AA107" s="6" t="n"/>
      <c r="AB107" s="6" t="n"/>
      <c r="AC107" s="6" t="n"/>
      <c r="AD107" s="5" t="n"/>
      <c r="AE107" s="6" t="inlineStr">
        <is>
          <t>LEATHEM, JARRETT</t>
        </is>
      </c>
      <c r="AF107" s="6" t="inlineStr">
        <is>
          <t>ASAP - Gilbert</t>
        </is>
      </c>
      <c r="AG107" s="6" t="inlineStr">
        <is>
          <t>07/14/2026</t>
        </is>
      </c>
      <c r="AH107" s="6" t="inlineStr">
        <is>
          <t>BH</t>
        </is>
      </c>
      <c r="AI107" s="9" t="n"/>
      <c r="AJ107" s="5" t="n">
        <v>476</v>
      </c>
    </row>
    <row r="108">
      <c r="A108" s="2" t="n"/>
      <c r="B108" s="3" t="n"/>
      <c r="C108" s="4" t="n"/>
      <c r="D108" s="5" t="n">
        <v>562855744</v>
      </c>
      <c r="E108" s="6" t="inlineStr">
        <is>
          <t>HF514978991</t>
        </is>
      </c>
      <c r="F108" s="6" t="inlineStr">
        <is>
          <t>06/19/2026</t>
        </is>
      </c>
      <c r="G108" s="6" t="inlineStr">
        <is>
          <t>Medicare Part B Arizona *</t>
        </is>
      </c>
      <c r="H108" s="6" t="inlineStr">
        <is>
          <t>Medicare Part B Arizona *</t>
        </is>
      </c>
      <c r="I108" s="6" t="inlineStr">
        <is>
          <t>Bankers Life Colonial Penn Life</t>
        </is>
      </c>
      <c r="J108" s="6" t="inlineStr">
        <is>
          <t>99494</t>
        </is>
      </c>
      <c r="K108" s="4" t="n"/>
      <c r="L108" s="5">
        <f>IF($M108="","",$M108-TODAY())</f>
        <v/>
      </c>
      <c r="M108" s="7" t="n">
        <v>46557</v>
      </c>
      <c r="N108" s="6" t="inlineStr">
        <is>
          <t>365 days</t>
        </is>
      </c>
      <c r="O108" s="6" t="inlineStr">
        <is>
          <t>MEDICARE</t>
        </is>
      </c>
      <c r="P108" s="6" t="n"/>
      <c r="Q108" s="6" t="n"/>
      <c r="R108" s="6" t="n"/>
      <c r="S108" s="5" t="n">
        <v>1</v>
      </c>
      <c r="T108" s="8" t="n">
        <v>396.27</v>
      </c>
      <c r="U108" s="8" t="n">
        <v>0</v>
      </c>
      <c r="V108" s="8" t="n">
        <v>0</v>
      </c>
      <c r="W108" s="6" t="inlineStr">
        <is>
          <t>07/22/2026</t>
        </is>
      </c>
      <c r="X108" s="8" t="n">
        <v>396.27</v>
      </c>
      <c r="Y108" s="5" t="n">
        <v>50</v>
      </c>
      <c r="Z108" s="6" t="inlineStr">
        <is>
          <t>F330</t>
        </is>
      </c>
      <c r="AA108" s="6" t="n"/>
      <c r="AB108" s="6" t="n"/>
      <c r="AC108" s="6" t="n"/>
      <c r="AD108" s="5" t="n"/>
      <c r="AE108" s="6" t="inlineStr">
        <is>
          <t>LEATHEM, JARRETT</t>
        </is>
      </c>
      <c r="AF108" s="6" t="inlineStr">
        <is>
          <t>ASAP - Gilbert</t>
        </is>
      </c>
      <c r="AG108" s="6" t="inlineStr">
        <is>
          <t>07/14/2026</t>
        </is>
      </c>
      <c r="AH108" s="6" t="inlineStr">
        <is>
          <t>BH</t>
        </is>
      </c>
      <c r="AI108" s="9" t="n"/>
      <c r="AJ108" s="5" t="n">
        <v>477</v>
      </c>
    </row>
    <row r="109">
      <c r="A109" s="2" t="n"/>
      <c r="B109" s="3" t="n"/>
      <c r="C109" s="4" t="n"/>
      <c r="D109" s="5" t="n">
        <v>562899634</v>
      </c>
      <c r="E109" s="6" t="inlineStr">
        <is>
          <t>HF528650589</t>
        </is>
      </c>
      <c r="F109" s="6" t="inlineStr">
        <is>
          <t>06/19/2026</t>
        </is>
      </c>
      <c r="G109" s="6" t="inlineStr">
        <is>
          <t>Medicare Part B Arizona *</t>
        </is>
      </c>
      <c r="H109" s="6" t="inlineStr">
        <is>
          <t>Medicare Part B Arizona *</t>
        </is>
      </c>
      <c r="I109" s="6" t="inlineStr">
        <is>
          <t>Blue Cross Blue Shield of Arizona (BCBS AZ)</t>
        </is>
      </c>
      <c r="J109" s="6" t="inlineStr">
        <is>
          <t>99492</t>
        </is>
      </c>
      <c r="K109" s="4" t="n"/>
      <c r="L109" s="5">
        <f>IF($M109="","",$M109-TODAY())</f>
        <v/>
      </c>
      <c r="M109" s="7" t="n">
        <v>46557</v>
      </c>
      <c r="N109" s="6" t="inlineStr">
        <is>
          <t>365 days</t>
        </is>
      </c>
      <c r="O109" s="6" t="inlineStr">
        <is>
          <t>MEDICARE</t>
        </is>
      </c>
      <c r="P109" s="6" t="n"/>
      <c r="Q109" s="6" t="n"/>
      <c r="R109" s="6" t="n"/>
      <c r="S109" s="5" t="n">
        <v>1</v>
      </c>
      <c r="T109" s="8" t="n">
        <v>1029.98</v>
      </c>
      <c r="U109" s="8" t="n">
        <v>0</v>
      </c>
      <c r="V109" s="8" t="n">
        <v>0</v>
      </c>
      <c r="W109" s="6" t="n"/>
      <c r="X109" s="8" t="n">
        <v>1029.98</v>
      </c>
      <c r="Y109" s="5" t="n">
        <v>50</v>
      </c>
      <c r="Z109" s="6" t="inlineStr">
        <is>
          <t>F39</t>
        </is>
      </c>
      <c r="AA109" s="6" t="n"/>
      <c r="AB109" s="6" t="n"/>
      <c r="AC109" s="6" t="n"/>
      <c r="AD109" s="5" t="n"/>
      <c r="AE109" s="6" t="inlineStr">
        <is>
          <t>LEATHEM, JARRETT</t>
        </is>
      </c>
      <c r="AF109" s="6" t="inlineStr">
        <is>
          <t>ASAP - Gilbert</t>
        </is>
      </c>
      <c r="AG109" s="6" t="inlineStr">
        <is>
          <t>07/14/2026</t>
        </is>
      </c>
      <c r="AH109" s="6" t="inlineStr">
        <is>
          <t>BH</t>
        </is>
      </c>
      <c r="AI109" s="9" t="n"/>
      <c r="AJ109" s="5" t="n">
        <v>425</v>
      </c>
    </row>
    <row r="110">
      <c r="A110" s="2" t="n"/>
      <c r="B110" s="3" t="n"/>
      <c r="C110" s="4" t="n"/>
      <c r="D110" s="5" t="n">
        <v>563575549</v>
      </c>
      <c r="E110" s="6" t="inlineStr">
        <is>
          <t>HF491042482</t>
        </is>
      </c>
      <c r="F110" s="6" t="inlineStr">
        <is>
          <t>06/19/2026</t>
        </is>
      </c>
      <c r="G110" s="6" t="inlineStr">
        <is>
          <t>Medicare Part B Arizona *</t>
        </is>
      </c>
      <c r="H110" s="6" t="inlineStr">
        <is>
          <t>Medicare Part B Arizona *</t>
        </is>
      </c>
      <c r="I110" s="6" t="inlineStr">
        <is>
          <t>Blue Cross Blue Shield of Arizona (BCBS AZ)</t>
        </is>
      </c>
      <c r="J110" s="6" t="inlineStr">
        <is>
          <t>99494</t>
        </is>
      </c>
      <c r="K110" s="4" t="n"/>
      <c r="L110" s="5">
        <f>IF($M110="","",$M110-TODAY())</f>
        <v/>
      </c>
      <c r="M110" s="7" t="n">
        <v>46557</v>
      </c>
      <c r="N110" s="6" t="inlineStr">
        <is>
          <t>365 days</t>
        </is>
      </c>
      <c r="O110" s="6" t="inlineStr">
        <is>
          <t>MEDICARE</t>
        </is>
      </c>
      <c r="P110" s="6" t="n"/>
      <c r="Q110" s="6" t="n"/>
      <c r="R110" s="6" t="n"/>
      <c r="S110" s="5" t="n">
        <v>1</v>
      </c>
      <c r="T110" s="8" t="n">
        <v>396.27</v>
      </c>
      <c r="U110" s="8" t="n">
        <v>0</v>
      </c>
      <c r="V110" s="8" t="n">
        <v>0</v>
      </c>
      <c r="W110" s="6" t="n"/>
      <c r="X110" s="8" t="n">
        <v>396.27</v>
      </c>
      <c r="Y110" s="5" t="n">
        <v>50</v>
      </c>
      <c r="Z110" s="6" t="inlineStr">
        <is>
          <t>F1190</t>
        </is>
      </c>
      <c r="AA110" s="6" t="n"/>
      <c r="AB110" s="6" t="n"/>
      <c r="AC110" s="6" t="n"/>
      <c r="AD110" s="5" t="n"/>
      <c r="AE110" s="6" t="inlineStr">
        <is>
          <t>LEATHEM, JARRETT</t>
        </is>
      </c>
      <c r="AF110" s="6" t="inlineStr">
        <is>
          <t>ASAP - Gilbert</t>
        </is>
      </c>
      <c r="AG110" s="6" t="inlineStr">
        <is>
          <t>07/14/2026</t>
        </is>
      </c>
      <c r="AH110" s="6" t="inlineStr">
        <is>
          <t>BH</t>
        </is>
      </c>
      <c r="AI110" s="9" t="n"/>
      <c r="AJ110" s="5" t="n">
        <v>605</v>
      </c>
    </row>
    <row r="111">
      <c r="A111" s="2" t="n"/>
      <c r="B111" s="3" t="n"/>
      <c r="C111" s="4" t="n"/>
      <c r="D111" s="5" t="n">
        <v>563575549</v>
      </c>
      <c r="E111" s="6" t="inlineStr">
        <is>
          <t>HF491042482</t>
        </is>
      </c>
      <c r="F111" s="6" t="inlineStr">
        <is>
          <t>06/19/2026</t>
        </is>
      </c>
      <c r="G111" s="6" t="inlineStr">
        <is>
          <t>Medicare Part B Arizona *</t>
        </is>
      </c>
      <c r="H111" s="6" t="inlineStr">
        <is>
          <t>Medicare Part B Arizona *</t>
        </is>
      </c>
      <c r="I111" s="6" t="inlineStr">
        <is>
          <t>Blue Cross Blue Shield of Arizona (BCBS AZ)</t>
        </is>
      </c>
      <c r="J111" s="6" t="inlineStr">
        <is>
          <t>99493</t>
        </is>
      </c>
      <c r="K111" s="4" t="n"/>
      <c r="L111" s="5">
        <f>IF($M111="","",$M111-TODAY())</f>
        <v/>
      </c>
      <c r="M111" s="7" t="n">
        <v>46557</v>
      </c>
      <c r="N111" s="6" t="inlineStr">
        <is>
          <t>365 days</t>
        </is>
      </c>
      <c r="O111" s="6" t="inlineStr">
        <is>
          <t>MEDICARE</t>
        </is>
      </c>
      <c r="P111" s="6" t="n"/>
      <c r="Q111" s="6" t="n"/>
      <c r="R111" s="6" t="n"/>
      <c r="S111" s="5" t="n">
        <v>1</v>
      </c>
      <c r="T111" s="8" t="n">
        <v>976.64</v>
      </c>
      <c r="U111" s="8" t="n">
        <v>0</v>
      </c>
      <c r="V111" s="8" t="n">
        <v>0</v>
      </c>
      <c r="W111" s="6" t="n"/>
      <c r="X111" s="8" t="n">
        <v>976.64</v>
      </c>
      <c r="Y111" s="5" t="n">
        <v>50</v>
      </c>
      <c r="Z111" s="6" t="inlineStr">
        <is>
          <t>F1190</t>
        </is>
      </c>
      <c r="AA111" s="6" t="n"/>
      <c r="AB111" s="6" t="n"/>
      <c r="AC111" s="6" t="n"/>
      <c r="AD111" s="5" t="n"/>
      <c r="AE111" s="6" t="inlineStr">
        <is>
          <t>LEATHEM, JARRETT</t>
        </is>
      </c>
      <c r="AF111" s="6" t="inlineStr">
        <is>
          <t>ASAP - Gilbert</t>
        </is>
      </c>
      <c r="AG111" s="6" t="inlineStr">
        <is>
          <t>07/14/2026</t>
        </is>
      </c>
      <c r="AH111" s="6" t="inlineStr">
        <is>
          <t>BH</t>
        </is>
      </c>
      <c r="AI111" s="9" t="n"/>
      <c r="AJ111" s="5" t="n">
        <v>606</v>
      </c>
    </row>
    <row r="112">
      <c r="A112" s="2" t="n"/>
      <c r="B112" s="3" t="n"/>
      <c r="C112" s="4" t="n"/>
      <c r="D112" s="5" t="n">
        <v>563156240</v>
      </c>
      <c r="E112" s="6" t="inlineStr">
        <is>
          <t>HF538325410</t>
        </is>
      </c>
      <c r="F112" s="6" t="inlineStr">
        <is>
          <t>06/23/2026</t>
        </is>
      </c>
      <c r="G112" s="6" t="inlineStr">
        <is>
          <t>Medicare Part B Arizona *</t>
        </is>
      </c>
      <c r="H112" s="6" t="inlineStr">
        <is>
          <t>Medicare Part B Arizona *</t>
        </is>
      </c>
      <c r="I112" s="6" t="inlineStr">
        <is>
          <t>Banner University Family Care / ACC (AHCCS Complete Care)</t>
        </is>
      </c>
      <c r="J112" s="6" t="inlineStr">
        <is>
          <t>99494</t>
        </is>
      </c>
      <c r="K112" s="4" t="n"/>
      <c r="L112" s="5">
        <f>IF($M112="","",$M112-TODAY())</f>
        <v/>
      </c>
      <c r="M112" s="7" t="n">
        <v>46561</v>
      </c>
      <c r="N112" s="6" t="inlineStr">
        <is>
          <t>365 days</t>
        </is>
      </c>
      <c r="O112" s="6" t="inlineStr">
        <is>
          <t>MEDICARE</t>
        </is>
      </c>
      <c r="P112" s="6" t="n"/>
      <c r="Q112" s="6" t="n"/>
      <c r="R112" s="6" t="n"/>
      <c r="S112" s="5" t="n">
        <v>1</v>
      </c>
      <c r="T112" s="8" t="n">
        <v>396.27</v>
      </c>
      <c r="U112" s="8" t="n">
        <v>0</v>
      </c>
      <c r="V112" s="8" t="n">
        <v>0</v>
      </c>
      <c r="W112" s="6" t="n"/>
      <c r="X112" s="8" t="n">
        <v>396.27</v>
      </c>
      <c r="Y112" s="5" t="n">
        <v>46</v>
      </c>
      <c r="Z112" s="6" t="inlineStr">
        <is>
          <t>F4320</t>
        </is>
      </c>
      <c r="AA112" s="6" t="n"/>
      <c r="AB112" s="6" t="n"/>
      <c r="AC112" s="6" t="n"/>
      <c r="AD112" s="5" t="n"/>
      <c r="AE112" s="6" t="inlineStr">
        <is>
          <t>CURRIE, DAVID</t>
        </is>
      </c>
      <c r="AF112" s="6" t="inlineStr">
        <is>
          <t>ASAP - Avondale</t>
        </is>
      </c>
      <c r="AG112" s="6" t="inlineStr">
        <is>
          <t>07/16/2026</t>
        </is>
      </c>
      <c r="AH112" s="6" t="inlineStr">
        <is>
          <t>BH</t>
        </is>
      </c>
      <c r="AI112" s="9" t="n"/>
      <c r="AJ112" s="5" t="n">
        <v>409</v>
      </c>
    </row>
    <row r="113">
      <c r="A113" s="2" t="n"/>
      <c r="B113" s="3" t="n"/>
      <c r="C113" s="4" t="n"/>
      <c r="D113" s="5" t="n">
        <v>563156240</v>
      </c>
      <c r="E113" s="6" t="inlineStr">
        <is>
          <t>HF538325410</t>
        </is>
      </c>
      <c r="F113" s="6" t="inlineStr">
        <is>
          <t>06/23/2026</t>
        </is>
      </c>
      <c r="G113" s="6" t="inlineStr">
        <is>
          <t>Medicare Part B Arizona *</t>
        </is>
      </c>
      <c r="H113" s="6" t="inlineStr">
        <is>
          <t>Medicare Part B Arizona *</t>
        </is>
      </c>
      <c r="I113" s="6" t="inlineStr">
        <is>
          <t>Banner University Family Care / ACC (AHCCS Complete Care)</t>
        </is>
      </c>
      <c r="J113" s="6" t="inlineStr">
        <is>
          <t>99492</t>
        </is>
      </c>
      <c r="K113" s="4" t="n"/>
      <c r="L113" s="5">
        <f>IF($M113="","",$M113-TODAY())</f>
        <v/>
      </c>
      <c r="M113" s="7" t="n">
        <v>46561</v>
      </c>
      <c r="N113" s="6" t="inlineStr">
        <is>
          <t>365 days</t>
        </is>
      </c>
      <c r="O113" s="6" t="inlineStr">
        <is>
          <t>MEDICARE</t>
        </is>
      </c>
      <c r="P113" s="6" t="n"/>
      <c r="Q113" s="6" t="n"/>
      <c r="R113" s="6" t="n"/>
      <c r="S113" s="5" t="n">
        <v>1</v>
      </c>
      <c r="T113" s="8" t="n">
        <v>1029.98</v>
      </c>
      <c r="U113" s="8" t="n">
        <v>0</v>
      </c>
      <c r="V113" s="8" t="n">
        <v>0</v>
      </c>
      <c r="W113" s="6" t="n"/>
      <c r="X113" s="8" t="n">
        <v>1029.98</v>
      </c>
      <c r="Y113" s="5" t="n">
        <v>46</v>
      </c>
      <c r="Z113" s="6" t="inlineStr">
        <is>
          <t>F4320</t>
        </is>
      </c>
      <c r="AA113" s="6" t="n"/>
      <c r="AB113" s="6" t="n"/>
      <c r="AC113" s="6" t="n"/>
      <c r="AD113" s="5" t="n"/>
      <c r="AE113" s="6" t="inlineStr">
        <is>
          <t>CURRIE, DAVID</t>
        </is>
      </c>
      <c r="AF113" s="6" t="inlineStr">
        <is>
          <t>ASAP - Avondale</t>
        </is>
      </c>
      <c r="AG113" s="6" t="inlineStr">
        <is>
          <t>07/16/2026</t>
        </is>
      </c>
      <c r="AH113" s="6" t="inlineStr">
        <is>
          <t>BH</t>
        </is>
      </c>
      <c r="AI113" s="9" t="n"/>
      <c r="AJ113" s="5" t="n">
        <v>410</v>
      </c>
    </row>
    <row r="114">
      <c r="A114" s="2" t="n"/>
      <c r="B114" s="3" t="n"/>
      <c r="C114" s="4" t="n"/>
      <c r="D114" s="5" t="n">
        <v>563596979</v>
      </c>
      <c r="E114" s="6" t="inlineStr">
        <is>
          <t>HF550003369</t>
        </is>
      </c>
      <c r="F114" s="6" t="inlineStr">
        <is>
          <t>06/24/2026</t>
        </is>
      </c>
      <c r="G114" s="6" t="inlineStr">
        <is>
          <t>United HealthCare Dual Complete</t>
        </is>
      </c>
      <c r="H114" s="6" t="inlineStr">
        <is>
          <t>United HealthCare Dual Complete</t>
        </is>
      </c>
      <c r="I114" s="6" t="inlineStr">
        <is>
          <t>Mercy Care Plan (AHCCCS) - Complete Care &amp; Long Term Care (LTC)</t>
        </is>
      </c>
      <c r="J114" s="6" t="inlineStr">
        <is>
          <t>99492</t>
        </is>
      </c>
      <c r="K114" s="4" t="n"/>
      <c r="L114" s="5">
        <f>IF($M114="","",$M114-TODAY())</f>
        <v/>
      </c>
      <c r="M114" s="7" t="n">
        <v>46562</v>
      </c>
      <c r="N114" s="6" t="inlineStr">
        <is>
          <t>365 days</t>
        </is>
      </c>
      <c r="O114" s="6" t="inlineStr">
        <is>
          <t>UHC DUAL COMPLETE</t>
        </is>
      </c>
      <c r="P114" s="6" t="n"/>
      <c r="Q114" s="6" t="n"/>
      <c r="R114" s="6" t="n"/>
      <c r="S114" s="5" t="n">
        <v>1</v>
      </c>
      <c r="T114" s="8" t="n">
        <v>1029.98</v>
      </c>
      <c r="U114" s="8" t="n">
        <v>0</v>
      </c>
      <c r="V114" s="8" t="n">
        <v>0</v>
      </c>
      <c r="W114" s="6" t="n"/>
      <c r="X114" s="8" t="n">
        <v>1029.98</v>
      </c>
      <c r="Y114" s="5" t="n">
        <v>45</v>
      </c>
      <c r="Z114" s="6" t="inlineStr">
        <is>
          <t>F411</t>
        </is>
      </c>
      <c r="AA114" s="6" t="inlineStr">
        <is>
          <t>F32A</t>
        </is>
      </c>
      <c r="AB114" s="6" t="n"/>
      <c r="AC114" s="6" t="n"/>
      <c r="AD114" s="5" t="n"/>
      <c r="AE114" s="6" t="inlineStr">
        <is>
          <t>MORALES, DAVID</t>
        </is>
      </c>
      <c r="AF114" s="6" t="inlineStr">
        <is>
          <t>ASAP - DEER VALLEY</t>
        </is>
      </c>
      <c r="AG114" s="6" t="inlineStr">
        <is>
          <t>07/14/2026</t>
        </is>
      </c>
      <c r="AH114" s="6" t="inlineStr">
        <is>
          <t>BH</t>
        </is>
      </c>
      <c r="AI114" s="9" t="n"/>
      <c r="AJ114" s="5" t="n">
        <v>1081</v>
      </c>
    </row>
    <row r="115">
      <c r="A115" s="2" t="n"/>
      <c r="B115" s="3" t="n"/>
      <c r="C115" s="4" t="n"/>
      <c r="D115" s="5" t="n">
        <v>563596979</v>
      </c>
      <c r="E115" s="6" t="inlineStr">
        <is>
          <t>HF550003369</t>
        </is>
      </c>
      <c r="F115" s="6" t="inlineStr">
        <is>
          <t>06/24/2026</t>
        </is>
      </c>
      <c r="G115" s="6" t="inlineStr">
        <is>
          <t>United HealthCare Dual Complete</t>
        </is>
      </c>
      <c r="H115" s="6" t="inlineStr">
        <is>
          <t>United HealthCare Dual Complete</t>
        </is>
      </c>
      <c r="I115" s="6" t="inlineStr">
        <is>
          <t>Mercy Care Plan (AHCCCS) - Complete Care &amp; Long Term Care (LTC)</t>
        </is>
      </c>
      <c r="J115" s="6" t="inlineStr">
        <is>
          <t>99494</t>
        </is>
      </c>
      <c r="K115" s="4" t="n"/>
      <c r="L115" s="5">
        <f>IF($M115="","",$M115-TODAY())</f>
        <v/>
      </c>
      <c r="M115" s="7" t="n">
        <v>46562</v>
      </c>
      <c r="N115" s="6" t="inlineStr">
        <is>
          <t>365 days</t>
        </is>
      </c>
      <c r="O115" s="6" t="inlineStr">
        <is>
          <t>UHC DUAL COMPLETE</t>
        </is>
      </c>
      <c r="P115" s="6" t="n"/>
      <c r="Q115" s="6" t="n"/>
      <c r="R115" s="6" t="n"/>
      <c r="S115" s="5" t="n">
        <v>1</v>
      </c>
      <c r="T115" s="8" t="n">
        <v>396.27</v>
      </c>
      <c r="U115" s="8" t="n">
        <v>0</v>
      </c>
      <c r="V115" s="8" t="n">
        <v>0</v>
      </c>
      <c r="W115" s="6" t="n"/>
      <c r="X115" s="8" t="n">
        <v>396.27</v>
      </c>
      <c r="Y115" s="5" t="n">
        <v>45</v>
      </c>
      <c r="Z115" s="6" t="inlineStr">
        <is>
          <t>F411</t>
        </is>
      </c>
      <c r="AA115" s="6" t="inlineStr">
        <is>
          <t>F32A</t>
        </is>
      </c>
      <c r="AB115" s="6" t="n"/>
      <c r="AC115" s="6" t="n"/>
      <c r="AD115" s="5" t="n"/>
      <c r="AE115" s="6" t="inlineStr">
        <is>
          <t>MORALES, DAVID</t>
        </is>
      </c>
      <c r="AF115" s="6" t="inlineStr">
        <is>
          <t>ASAP - DEER VALLEY</t>
        </is>
      </c>
      <c r="AG115" s="6" t="inlineStr">
        <is>
          <t>07/14/2026</t>
        </is>
      </c>
      <c r="AH115" s="6" t="inlineStr">
        <is>
          <t>BH</t>
        </is>
      </c>
      <c r="AI115" s="9" t="n"/>
      <c r="AJ115" s="5" t="n">
        <v>1082</v>
      </c>
    </row>
    <row r="116">
      <c r="A116" s="2" t="n"/>
      <c r="B116" s="3" t="n"/>
      <c r="C116" s="4" t="n"/>
      <c r="D116" s="5" t="n">
        <v>563440016</v>
      </c>
      <c r="E116" s="6" t="inlineStr">
        <is>
          <t>HF548654337</t>
        </is>
      </c>
      <c r="F116" s="6" t="inlineStr">
        <is>
          <t>06/25/2026</t>
        </is>
      </c>
      <c r="G116" s="6" t="inlineStr">
        <is>
          <t>Medicare Part B Arizona *</t>
        </is>
      </c>
      <c r="H116" s="6" t="inlineStr">
        <is>
          <t>Medicare Part B Arizona *</t>
        </is>
      </c>
      <c r="I116" s="6" t="inlineStr">
        <is>
          <t>No Payer</t>
        </is>
      </c>
      <c r="J116" s="6" t="inlineStr">
        <is>
          <t>99492</t>
        </is>
      </c>
      <c r="K116" s="4" t="n"/>
      <c r="L116" s="5">
        <f>IF($M116="","",$M116-TODAY())</f>
        <v/>
      </c>
      <c r="M116" s="7" t="n">
        <v>46563</v>
      </c>
      <c r="N116" s="6" t="inlineStr">
        <is>
          <t>365 days</t>
        </is>
      </c>
      <c r="O116" s="6" t="inlineStr">
        <is>
          <t>MEDICARE</t>
        </is>
      </c>
      <c r="P116" s="6" t="n"/>
      <c r="Q116" s="6" t="n"/>
      <c r="R116" s="6" t="n"/>
      <c r="S116" s="5" t="n">
        <v>1</v>
      </c>
      <c r="T116" s="8" t="n">
        <v>1029.98</v>
      </c>
      <c r="U116" s="8" t="n">
        <v>0</v>
      </c>
      <c r="V116" s="8" t="n">
        <v>0</v>
      </c>
      <c r="W116" s="6" t="n"/>
      <c r="X116" s="8" t="n">
        <v>1029.98</v>
      </c>
      <c r="Y116" s="5" t="n">
        <v>44</v>
      </c>
      <c r="Z116" s="6" t="inlineStr">
        <is>
          <t>F4320</t>
        </is>
      </c>
      <c r="AA116" s="6" t="n"/>
      <c r="AB116" s="6" t="n"/>
      <c r="AC116" s="6" t="n"/>
      <c r="AD116" s="5" t="n"/>
      <c r="AE116" s="6" t="inlineStr">
        <is>
          <t>O'NEIL, ROY</t>
        </is>
      </c>
      <c r="AF116" s="6" t="inlineStr">
        <is>
          <t>ASAP - Avondale</t>
        </is>
      </c>
      <c r="AG116" s="6" t="inlineStr">
        <is>
          <t>07/14/2026</t>
        </is>
      </c>
      <c r="AH116" s="6" t="inlineStr">
        <is>
          <t>BH</t>
        </is>
      </c>
      <c r="AI116" s="9" t="n"/>
      <c r="AJ116" s="5" t="n">
        <v>926</v>
      </c>
    </row>
    <row r="117">
      <c r="A117" s="2" t="n"/>
      <c r="B117" s="3" t="n"/>
      <c r="C117" s="4" t="n"/>
      <c r="D117" s="5" t="n">
        <v>563440016</v>
      </c>
      <c r="E117" s="6" t="inlineStr">
        <is>
          <t>HF548654337</t>
        </is>
      </c>
      <c r="F117" s="6" t="inlineStr">
        <is>
          <t>06/25/2026</t>
        </is>
      </c>
      <c r="G117" s="6" t="inlineStr">
        <is>
          <t>Medicare Part B Arizona *</t>
        </is>
      </c>
      <c r="H117" s="6" t="inlineStr">
        <is>
          <t>Medicare Part B Arizona *</t>
        </is>
      </c>
      <c r="I117" s="6" t="inlineStr">
        <is>
          <t>No Payer</t>
        </is>
      </c>
      <c r="J117" s="6" t="inlineStr">
        <is>
          <t>99494</t>
        </is>
      </c>
      <c r="K117" s="4" t="n"/>
      <c r="L117" s="5">
        <f>IF($M117="","",$M117-TODAY())</f>
        <v/>
      </c>
      <c r="M117" s="7" t="n">
        <v>46563</v>
      </c>
      <c r="N117" s="6" t="inlineStr">
        <is>
          <t>365 days</t>
        </is>
      </c>
      <c r="O117" s="6" t="inlineStr">
        <is>
          <t>MEDICARE</t>
        </is>
      </c>
      <c r="P117" s="6" t="n"/>
      <c r="Q117" s="6" t="n"/>
      <c r="R117" s="6" t="n"/>
      <c r="S117" s="5" t="n">
        <v>1</v>
      </c>
      <c r="T117" s="8" t="n">
        <v>396.27</v>
      </c>
      <c r="U117" s="8" t="n">
        <v>0</v>
      </c>
      <c r="V117" s="8" t="n">
        <v>0</v>
      </c>
      <c r="W117" s="6" t="n"/>
      <c r="X117" s="8" t="n">
        <v>396.27</v>
      </c>
      <c r="Y117" s="5" t="n">
        <v>44</v>
      </c>
      <c r="Z117" s="6" t="inlineStr">
        <is>
          <t>F4320</t>
        </is>
      </c>
      <c r="AA117" s="6" t="n"/>
      <c r="AB117" s="6" t="n"/>
      <c r="AC117" s="6" t="n"/>
      <c r="AD117" s="5" t="n"/>
      <c r="AE117" s="6" t="inlineStr">
        <is>
          <t>O'NEIL, ROY</t>
        </is>
      </c>
      <c r="AF117" s="6" t="inlineStr">
        <is>
          <t>ASAP - Avondale</t>
        </is>
      </c>
      <c r="AG117" s="6" t="inlineStr">
        <is>
          <t>07/14/2026</t>
        </is>
      </c>
      <c r="AH117" s="6" t="inlineStr">
        <is>
          <t>BH</t>
        </is>
      </c>
      <c r="AI117" s="9" t="n"/>
      <c r="AJ117" s="5" t="n">
        <v>927</v>
      </c>
    </row>
    <row r="118">
      <c r="A118" s="2" t="n"/>
      <c r="B118" s="3" t="n"/>
      <c r="C118" s="4" t="n"/>
      <c r="D118" s="5" t="n">
        <v>563554436</v>
      </c>
      <c r="E118" s="6" t="inlineStr">
        <is>
          <t>HF541437694</t>
        </is>
      </c>
      <c r="F118" s="6" t="inlineStr">
        <is>
          <t>06/26/2026</t>
        </is>
      </c>
      <c r="G118" s="6" t="inlineStr">
        <is>
          <t>Medicare Part B Arizona *</t>
        </is>
      </c>
      <c r="H118" s="6" t="inlineStr">
        <is>
          <t>Medicare Part B Arizona *</t>
        </is>
      </c>
      <c r="I118" s="6" t="inlineStr">
        <is>
          <t>No Payer</t>
        </is>
      </c>
      <c r="J118" s="6" t="inlineStr">
        <is>
          <t>99494</t>
        </is>
      </c>
      <c r="K118" s="4" t="n"/>
      <c r="L118" s="5">
        <f>IF($M118="","",$M118-TODAY())</f>
        <v/>
      </c>
      <c r="M118" s="7" t="n">
        <v>46564</v>
      </c>
      <c r="N118" s="6" t="inlineStr">
        <is>
          <t>365 days</t>
        </is>
      </c>
      <c r="O118" s="6" t="inlineStr">
        <is>
          <t>MEDICARE</t>
        </is>
      </c>
      <c r="P118" s="6" t="n"/>
      <c r="Q118" s="6" t="n"/>
      <c r="R118" s="6" t="n"/>
      <c r="S118" s="5" t="n">
        <v>1</v>
      </c>
      <c r="T118" s="8" t="n">
        <v>396.27</v>
      </c>
      <c r="U118" s="8" t="n">
        <v>0</v>
      </c>
      <c r="V118" s="8" t="n">
        <v>0</v>
      </c>
      <c r="W118" s="6" t="n"/>
      <c r="X118" s="8" t="n">
        <v>396.27</v>
      </c>
      <c r="Y118" s="5" t="n">
        <v>43</v>
      </c>
      <c r="Z118" s="6" t="inlineStr">
        <is>
          <t>F4320</t>
        </is>
      </c>
      <c r="AA118" s="6" t="n"/>
      <c r="AB118" s="6" t="n"/>
      <c r="AC118" s="6" t="n"/>
      <c r="AD118" s="5" t="n"/>
      <c r="AE118" s="6" t="inlineStr">
        <is>
          <t>CURRIE, DAVID</t>
        </is>
      </c>
      <c r="AF118" s="6" t="inlineStr">
        <is>
          <t>ASAP - Surprise - Reems</t>
        </is>
      </c>
      <c r="AG118" s="6" t="inlineStr">
        <is>
          <t>07/14/2026</t>
        </is>
      </c>
      <c r="AH118" s="6" t="inlineStr">
        <is>
          <t>BH</t>
        </is>
      </c>
      <c r="AI118" s="9" t="n"/>
      <c r="AJ118" s="5" t="n">
        <v>596</v>
      </c>
    </row>
    <row r="119">
      <c r="A119" s="2" t="n"/>
      <c r="B119" s="3" t="n"/>
      <c r="C119" s="4" t="n"/>
      <c r="D119" s="5" t="n">
        <v>563554436</v>
      </c>
      <c r="E119" s="6" t="inlineStr">
        <is>
          <t>HF541437694</t>
        </is>
      </c>
      <c r="F119" s="6" t="inlineStr">
        <is>
          <t>06/26/2026</t>
        </is>
      </c>
      <c r="G119" s="6" t="inlineStr">
        <is>
          <t>Medicare Part B Arizona *</t>
        </is>
      </c>
      <c r="H119" s="6" t="inlineStr">
        <is>
          <t>Medicare Part B Arizona *</t>
        </is>
      </c>
      <c r="I119" s="6" t="inlineStr">
        <is>
          <t>No Payer</t>
        </is>
      </c>
      <c r="J119" s="6" t="inlineStr">
        <is>
          <t>99492</t>
        </is>
      </c>
      <c r="K119" s="4" t="n"/>
      <c r="L119" s="5">
        <f>IF($M119="","",$M119-TODAY())</f>
        <v/>
      </c>
      <c r="M119" s="7" t="n">
        <v>46564</v>
      </c>
      <c r="N119" s="6" t="inlineStr">
        <is>
          <t>365 days</t>
        </is>
      </c>
      <c r="O119" s="6" t="inlineStr">
        <is>
          <t>MEDICARE</t>
        </is>
      </c>
      <c r="P119" s="6" t="n"/>
      <c r="Q119" s="6" t="n"/>
      <c r="R119" s="6" t="n"/>
      <c r="S119" s="5" t="n">
        <v>1</v>
      </c>
      <c r="T119" s="8" t="n">
        <v>1029.98</v>
      </c>
      <c r="U119" s="8" t="n">
        <v>0</v>
      </c>
      <c r="V119" s="8" t="n">
        <v>0</v>
      </c>
      <c r="W119" s="6" t="n"/>
      <c r="X119" s="8" t="n">
        <v>1029.98</v>
      </c>
      <c r="Y119" s="5" t="n">
        <v>43</v>
      </c>
      <c r="Z119" s="6" t="inlineStr">
        <is>
          <t>F4320</t>
        </is>
      </c>
      <c r="AA119" s="6" t="n"/>
      <c r="AB119" s="6" t="n"/>
      <c r="AC119" s="6" t="n"/>
      <c r="AD119" s="5" t="n"/>
      <c r="AE119" s="6" t="inlineStr">
        <is>
          <t>CURRIE, DAVID</t>
        </is>
      </c>
      <c r="AF119" s="6" t="inlineStr">
        <is>
          <t>ASAP - Surprise - Reems</t>
        </is>
      </c>
      <c r="AG119" s="6" t="inlineStr">
        <is>
          <t>07/14/2026</t>
        </is>
      </c>
      <c r="AH119" s="6" t="inlineStr">
        <is>
          <t>BH</t>
        </is>
      </c>
      <c r="AI119" s="9" t="n"/>
      <c r="AJ119" s="5" t="n">
        <v>598</v>
      </c>
    </row>
    <row r="120">
      <c r="A120" s="2" t="n"/>
      <c r="B120" s="3" t="n"/>
      <c r="C120" s="4" t="n"/>
      <c r="D120" s="5" t="n">
        <v>563651212</v>
      </c>
      <c r="E120" s="6" t="inlineStr">
        <is>
          <t>HF470696196</t>
        </is>
      </c>
      <c r="F120" s="6" t="inlineStr">
        <is>
          <t>06/26/2026</t>
        </is>
      </c>
      <c r="G120" s="6" t="inlineStr">
        <is>
          <t>Medicare Part B Arizona *</t>
        </is>
      </c>
      <c r="H120" s="6" t="inlineStr">
        <is>
          <t>Medicare Part B Arizona *</t>
        </is>
      </c>
      <c r="I120" s="6" t="inlineStr">
        <is>
          <t>Blue Cross Blue Shield of Arizona (BCBS AZ)</t>
        </is>
      </c>
      <c r="J120" s="6" t="inlineStr">
        <is>
          <t>99494</t>
        </is>
      </c>
      <c r="K120" s="4" t="n"/>
      <c r="L120" s="5">
        <f>IF($M120="","",$M120-TODAY())</f>
        <v/>
      </c>
      <c r="M120" s="7" t="n">
        <v>46564</v>
      </c>
      <c r="N120" s="6" t="inlineStr">
        <is>
          <t>365 days</t>
        </is>
      </c>
      <c r="O120" s="6" t="inlineStr">
        <is>
          <t>MEDICARE</t>
        </is>
      </c>
      <c r="P120" s="6" t="n"/>
      <c r="Q120" s="6" t="n"/>
      <c r="R120" s="6" t="n"/>
      <c r="S120" s="5" t="n">
        <v>1</v>
      </c>
      <c r="T120" s="8" t="n">
        <v>396.27</v>
      </c>
      <c r="U120" s="8" t="n">
        <v>0</v>
      </c>
      <c r="V120" s="8" t="n">
        <v>0</v>
      </c>
      <c r="W120" s="6" t="n"/>
      <c r="X120" s="8" t="n">
        <v>396.27</v>
      </c>
      <c r="Y120" s="5" t="n">
        <v>43</v>
      </c>
      <c r="Z120" s="6" t="inlineStr">
        <is>
          <t>F4321</t>
        </is>
      </c>
      <c r="AA120" s="6" t="n"/>
      <c r="AB120" s="6" t="n"/>
      <c r="AC120" s="6" t="n"/>
      <c r="AD120" s="5" t="n"/>
      <c r="AE120" s="6" t="inlineStr">
        <is>
          <t>SARKAR, AWNIK</t>
        </is>
      </c>
      <c r="AF120" s="6" t="inlineStr">
        <is>
          <t>ASAP - DEER VALLEY</t>
        </is>
      </c>
      <c r="AG120" s="6" t="inlineStr">
        <is>
          <t>07/14/2026</t>
        </is>
      </c>
      <c r="AH120" s="6" t="inlineStr">
        <is>
          <t>BH</t>
        </is>
      </c>
      <c r="AI120" s="9" t="n"/>
      <c r="AJ120" s="5" t="n">
        <v>244</v>
      </c>
    </row>
    <row r="121">
      <c r="A121" s="2" t="n"/>
      <c r="B121" s="3" t="n"/>
      <c r="C121" s="4" t="n"/>
      <c r="D121" s="5" t="n">
        <v>563651212</v>
      </c>
      <c r="E121" s="6" t="inlineStr">
        <is>
          <t>HF470696196</t>
        </is>
      </c>
      <c r="F121" s="6" t="inlineStr">
        <is>
          <t>06/26/2026</t>
        </is>
      </c>
      <c r="G121" s="6" t="inlineStr">
        <is>
          <t>Medicare Part B Arizona *</t>
        </is>
      </c>
      <c r="H121" s="6" t="inlineStr">
        <is>
          <t>Medicare Part B Arizona *</t>
        </is>
      </c>
      <c r="I121" s="6" t="inlineStr">
        <is>
          <t>Blue Cross Blue Shield of Arizona (BCBS AZ)</t>
        </is>
      </c>
      <c r="J121" s="6" t="inlineStr">
        <is>
          <t>99493</t>
        </is>
      </c>
      <c r="K121" s="4" t="n"/>
      <c r="L121" s="5">
        <f>IF($M121="","",$M121-TODAY())</f>
        <v/>
      </c>
      <c r="M121" s="7" t="n">
        <v>46564</v>
      </c>
      <c r="N121" s="6" t="inlineStr">
        <is>
          <t>365 days</t>
        </is>
      </c>
      <c r="O121" s="6" t="inlineStr">
        <is>
          <t>MEDICARE</t>
        </is>
      </c>
      <c r="P121" s="6" t="n"/>
      <c r="Q121" s="6" t="n"/>
      <c r="R121" s="6" t="n"/>
      <c r="S121" s="5" t="n">
        <v>1</v>
      </c>
      <c r="T121" s="8" t="n">
        <v>976.64</v>
      </c>
      <c r="U121" s="8" t="n">
        <v>0</v>
      </c>
      <c r="V121" s="8" t="n">
        <v>0</v>
      </c>
      <c r="W121" s="6" t="n"/>
      <c r="X121" s="8" t="n">
        <v>976.64</v>
      </c>
      <c r="Y121" s="5" t="n">
        <v>43</v>
      </c>
      <c r="Z121" s="6" t="inlineStr">
        <is>
          <t>F4321</t>
        </is>
      </c>
      <c r="AA121" s="6" t="n"/>
      <c r="AB121" s="6" t="n"/>
      <c r="AC121" s="6" t="n"/>
      <c r="AD121" s="5" t="n"/>
      <c r="AE121" s="6" t="inlineStr">
        <is>
          <t>SARKAR, AWNIK</t>
        </is>
      </c>
      <c r="AF121" s="6" t="inlineStr">
        <is>
          <t>ASAP - DEER VALLEY</t>
        </is>
      </c>
      <c r="AG121" s="6" t="inlineStr">
        <is>
          <t>07/14/2026</t>
        </is>
      </c>
      <c r="AH121" s="6" t="inlineStr">
        <is>
          <t>BH</t>
        </is>
      </c>
      <c r="AI121" s="9" t="n"/>
      <c r="AJ121" s="5" t="n">
        <v>245</v>
      </c>
    </row>
    <row r="122">
      <c r="A122" s="2" t="n"/>
      <c r="B122" s="3" t="n"/>
      <c r="C122" s="4" t="n"/>
      <c r="D122" s="5" t="n">
        <v>563730488</v>
      </c>
      <c r="E122" s="6" t="inlineStr">
        <is>
          <t>HF534611051</t>
        </is>
      </c>
      <c r="F122" s="6" t="inlineStr">
        <is>
          <t>06/29/2026</t>
        </is>
      </c>
      <c r="G122" s="6" t="inlineStr">
        <is>
          <t>Medicare Part B Arizona *</t>
        </is>
      </c>
      <c r="H122" s="6" t="inlineStr">
        <is>
          <t>Medicare Part B Arizona *</t>
        </is>
      </c>
      <c r="I122" s="6" t="inlineStr">
        <is>
          <t>Aetna Senior Supplemental (AESSI) - Secondary Only 62118</t>
        </is>
      </c>
      <c r="J122" s="6" t="inlineStr">
        <is>
          <t>99494</t>
        </is>
      </c>
      <c r="K122" s="4" t="n"/>
      <c r="L122" s="5">
        <f>IF($M122="","",$M122-TODAY())</f>
        <v/>
      </c>
      <c r="M122" s="7" t="n">
        <v>46567</v>
      </c>
      <c r="N122" s="6" t="inlineStr">
        <is>
          <t>365 days</t>
        </is>
      </c>
      <c r="O122" s="6" t="inlineStr">
        <is>
          <t>MEDICARE</t>
        </is>
      </c>
      <c r="P122" s="6" t="n"/>
      <c r="Q122" s="6" t="n"/>
      <c r="R122" s="6" t="n"/>
      <c r="S122" s="5" t="n">
        <v>1</v>
      </c>
      <c r="T122" s="8" t="n">
        <v>396.27</v>
      </c>
      <c r="U122" s="8" t="n">
        <v>0</v>
      </c>
      <c r="V122" s="8" t="n">
        <v>0</v>
      </c>
      <c r="W122" s="6" t="n"/>
      <c r="X122" s="8" t="n">
        <v>396.27</v>
      </c>
      <c r="Y122" s="5" t="n">
        <v>40</v>
      </c>
      <c r="Z122" s="6" t="inlineStr">
        <is>
          <t>F4320</t>
        </is>
      </c>
      <c r="AA122" s="6" t="n"/>
      <c r="AB122" s="6" t="n"/>
      <c r="AC122" s="6" t="n"/>
      <c r="AD122" s="5" t="n"/>
      <c r="AE122" s="6" t="inlineStr">
        <is>
          <t>O'NEIL, ROY</t>
        </is>
      </c>
      <c r="AF122" s="6" t="inlineStr">
        <is>
          <t>ASAP - Surprise - Reems</t>
        </is>
      </c>
      <c r="AG122" s="6" t="inlineStr">
        <is>
          <t>07/14/2026</t>
        </is>
      </c>
      <c r="AH122" s="6" t="inlineStr">
        <is>
          <t>BH</t>
        </is>
      </c>
      <c r="AI122" s="9" t="n"/>
      <c r="AJ122" s="5" t="n">
        <v>242</v>
      </c>
    </row>
    <row r="123">
      <c r="A123" s="2" t="n"/>
      <c r="B123" s="3" t="n"/>
      <c r="C123" s="4" t="n"/>
      <c r="D123" s="5" t="n">
        <v>563730488</v>
      </c>
      <c r="E123" s="6" t="inlineStr">
        <is>
          <t>HF534611051</t>
        </is>
      </c>
      <c r="F123" s="6" t="inlineStr">
        <is>
          <t>06/29/2026</t>
        </is>
      </c>
      <c r="G123" s="6" t="inlineStr">
        <is>
          <t>Medicare Part B Arizona *</t>
        </is>
      </c>
      <c r="H123" s="6" t="inlineStr">
        <is>
          <t>Medicare Part B Arizona *</t>
        </is>
      </c>
      <c r="I123" s="6" t="inlineStr">
        <is>
          <t>Aetna Senior Supplemental (AESSI) - Secondary Only 62118</t>
        </is>
      </c>
      <c r="J123" s="6" t="inlineStr">
        <is>
          <t>99492</t>
        </is>
      </c>
      <c r="K123" s="4" t="n"/>
      <c r="L123" s="5">
        <f>IF($M123="","",$M123-TODAY())</f>
        <v/>
      </c>
      <c r="M123" s="7" t="n">
        <v>46567</v>
      </c>
      <c r="N123" s="6" t="inlineStr">
        <is>
          <t>365 days</t>
        </is>
      </c>
      <c r="O123" s="6" t="inlineStr">
        <is>
          <t>MEDICARE</t>
        </is>
      </c>
      <c r="P123" s="6" t="n"/>
      <c r="Q123" s="6" t="n"/>
      <c r="R123" s="6" t="n"/>
      <c r="S123" s="5" t="n">
        <v>1</v>
      </c>
      <c r="T123" s="8" t="n">
        <v>1029.98</v>
      </c>
      <c r="U123" s="8" t="n">
        <v>0</v>
      </c>
      <c r="V123" s="8" t="n">
        <v>0</v>
      </c>
      <c r="W123" s="6" t="n"/>
      <c r="X123" s="8" t="n">
        <v>1029.98</v>
      </c>
      <c r="Y123" s="5" t="n">
        <v>40</v>
      </c>
      <c r="Z123" s="6" t="inlineStr">
        <is>
          <t>F4320</t>
        </is>
      </c>
      <c r="AA123" s="6" t="n"/>
      <c r="AB123" s="6" t="n"/>
      <c r="AC123" s="6" t="n"/>
      <c r="AD123" s="5" t="n"/>
      <c r="AE123" s="6" t="inlineStr">
        <is>
          <t>O'NEIL, ROY</t>
        </is>
      </c>
      <c r="AF123" s="6" t="inlineStr">
        <is>
          <t>ASAP - Surprise - Reems</t>
        </is>
      </c>
      <c r="AG123" s="6" t="inlineStr">
        <is>
          <t>07/14/2026</t>
        </is>
      </c>
      <c r="AH123" s="6" t="inlineStr">
        <is>
          <t>BH</t>
        </is>
      </c>
      <c r="AI123" s="9" t="n"/>
      <c r="AJ123" s="5" t="n">
        <v>243</v>
      </c>
    </row>
    <row r="124">
      <c r="A124" s="2" t="n"/>
      <c r="B124" s="3" t="n"/>
      <c r="C124" s="4" t="n"/>
      <c r="D124" s="5" t="n">
        <v>563782794</v>
      </c>
      <c r="E124" s="6" t="inlineStr">
        <is>
          <t>HF334376585</t>
        </is>
      </c>
      <c r="F124" s="6" t="inlineStr">
        <is>
          <t>06/29/2026</t>
        </is>
      </c>
      <c r="G124" s="6" t="inlineStr">
        <is>
          <t>Medicare Part B Arizona *</t>
        </is>
      </c>
      <c r="H124" s="6" t="inlineStr">
        <is>
          <t>Medicare Part B Arizona *</t>
        </is>
      </c>
      <c r="I124" s="6" t="inlineStr">
        <is>
          <t>Health Net of Arizona, California, Oregon &amp; Washington - All Plans</t>
        </is>
      </c>
      <c r="J124" s="6" t="inlineStr">
        <is>
          <t>99494</t>
        </is>
      </c>
      <c r="K124" s="4" t="n"/>
      <c r="L124" s="5">
        <f>IF($M124="","",$M124-TODAY())</f>
        <v/>
      </c>
      <c r="M124" s="7" t="n">
        <v>46567</v>
      </c>
      <c r="N124" s="6" t="inlineStr">
        <is>
          <t>365 days</t>
        </is>
      </c>
      <c r="O124" s="6" t="inlineStr">
        <is>
          <t>MEDICARE</t>
        </is>
      </c>
      <c r="P124" s="6" t="n"/>
      <c r="Q124" s="6" t="n"/>
      <c r="R124" s="6" t="n"/>
      <c r="S124" s="5" t="n">
        <v>1</v>
      </c>
      <c r="T124" s="8" t="n">
        <v>396.27</v>
      </c>
      <c r="U124" s="8" t="n">
        <v>0</v>
      </c>
      <c r="V124" s="8" t="n">
        <v>0</v>
      </c>
      <c r="W124" s="6" t="inlineStr">
        <is>
          <t>07/22/2026</t>
        </is>
      </c>
      <c r="X124" s="8" t="n">
        <v>396.27</v>
      </c>
      <c r="Y124" s="5" t="n">
        <v>40</v>
      </c>
      <c r="Z124" s="6" t="inlineStr">
        <is>
          <t>F32A</t>
        </is>
      </c>
      <c r="AA124" s="6" t="n"/>
      <c r="AB124" s="6" t="n"/>
      <c r="AC124" s="6" t="n"/>
      <c r="AD124" s="5" t="n"/>
      <c r="AE124" s="6" t="inlineStr">
        <is>
          <t>BURGHER, ABRAM</t>
        </is>
      </c>
      <c r="AF124" s="6" t="inlineStr">
        <is>
          <t>ASAP Peoria</t>
        </is>
      </c>
      <c r="AG124" s="6" t="inlineStr">
        <is>
          <t>07/14/2026</t>
        </is>
      </c>
      <c r="AH124" s="6" t="inlineStr">
        <is>
          <t>BH</t>
        </is>
      </c>
      <c r="AI124" s="9" t="n"/>
      <c r="AJ124" s="5" t="n">
        <v>827</v>
      </c>
    </row>
    <row r="125">
      <c r="A125" s="2" t="n"/>
      <c r="B125" s="3" t="n"/>
      <c r="C125" s="4" t="n"/>
      <c r="D125" s="5" t="n">
        <v>563782794</v>
      </c>
      <c r="E125" s="6" t="inlineStr">
        <is>
          <t>HF334376585</t>
        </is>
      </c>
      <c r="F125" s="6" t="inlineStr">
        <is>
          <t>06/29/2026</t>
        </is>
      </c>
      <c r="G125" s="6" t="inlineStr">
        <is>
          <t>Medicare Part B Arizona *</t>
        </is>
      </c>
      <c r="H125" s="6" t="inlineStr">
        <is>
          <t>Medicare Part B Arizona *</t>
        </is>
      </c>
      <c r="I125" s="6" t="inlineStr">
        <is>
          <t>Health Net of Arizona, California, Oregon &amp; Washington - All Plans</t>
        </is>
      </c>
      <c r="J125" s="6" t="inlineStr">
        <is>
          <t>99492</t>
        </is>
      </c>
      <c r="K125" s="4" t="n"/>
      <c r="L125" s="5">
        <f>IF($M125="","",$M125-TODAY())</f>
        <v/>
      </c>
      <c r="M125" s="7" t="n">
        <v>46567</v>
      </c>
      <c r="N125" s="6" t="inlineStr">
        <is>
          <t>365 days</t>
        </is>
      </c>
      <c r="O125" s="6" t="inlineStr">
        <is>
          <t>MEDICARE</t>
        </is>
      </c>
      <c r="P125" s="6" t="n"/>
      <c r="Q125" s="6" t="n"/>
      <c r="R125" s="6" t="n"/>
      <c r="S125" s="5" t="n">
        <v>1</v>
      </c>
      <c r="T125" s="8" t="n">
        <v>1029.98</v>
      </c>
      <c r="U125" s="8" t="n">
        <v>0</v>
      </c>
      <c r="V125" s="8" t="n">
        <v>0</v>
      </c>
      <c r="W125" s="6" t="inlineStr">
        <is>
          <t>07/22/2026</t>
        </is>
      </c>
      <c r="X125" s="8" t="n">
        <v>1029.98</v>
      </c>
      <c r="Y125" s="5" t="n">
        <v>40</v>
      </c>
      <c r="Z125" s="6" t="inlineStr">
        <is>
          <t>F32A</t>
        </is>
      </c>
      <c r="AA125" s="6" t="n"/>
      <c r="AB125" s="6" t="n"/>
      <c r="AC125" s="6" t="n"/>
      <c r="AD125" s="5" t="n"/>
      <c r="AE125" s="6" t="inlineStr">
        <is>
          <t>BURGHER, ABRAM</t>
        </is>
      </c>
      <c r="AF125" s="6" t="inlineStr">
        <is>
          <t>ASAP Peoria</t>
        </is>
      </c>
      <c r="AG125" s="6" t="inlineStr">
        <is>
          <t>07/14/2026</t>
        </is>
      </c>
      <c r="AH125" s="6" t="inlineStr">
        <is>
          <t>BH</t>
        </is>
      </c>
      <c r="AI125" s="9" t="n"/>
      <c r="AJ125" s="5" t="n">
        <v>828</v>
      </c>
    </row>
    <row r="126">
      <c r="A126" s="2" t="n"/>
      <c r="B126" s="3" t="n"/>
      <c r="C126" s="4" t="n"/>
      <c r="D126" s="5" t="n">
        <v>563785068</v>
      </c>
      <c r="E126" s="6" t="inlineStr">
        <is>
          <t>HF460186731</t>
        </is>
      </c>
      <c r="F126" s="6" t="inlineStr">
        <is>
          <t>06/29/2026</t>
        </is>
      </c>
      <c r="G126" s="6" t="inlineStr">
        <is>
          <t>United HealthCare Dual Complete</t>
        </is>
      </c>
      <c r="H126" s="6" t="inlineStr">
        <is>
          <t>United HealthCare Dual Complete</t>
        </is>
      </c>
      <c r="I126" s="6" t="inlineStr">
        <is>
          <t>Mercy Care Plan (AHCCCS) - Complete Care &amp; Long Term Care (LTC)</t>
        </is>
      </c>
      <c r="J126" s="6" t="inlineStr">
        <is>
          <t>99494</t>
        </is>
      </c>
      <c r="K126" s="4" t="n"/>
      <c r="L126" s="5">
        <f>IF($M126="","",$M126-TODAY())</f>
        <v/>
      </c>
      <c r="M126" s="7" t="n">
        <v>46567</v>
      </c>
      <c r="N126" s="6" t="inlineStr">
        <is>
          <t>365 days</t>
        </is>
      </c>
      <c r="O126" s="6" t="inlineStr">
        <is>
          <t>UHC DUAL COMPLETE</t>
        </is>
      </c>
      <c r="P126" s="6" t="n"/>
      <c r="Q126" s="6" t="n"/>
      <c r="R126" s="6" t="n"/>
      <c r="S126" s="5" t="n">
        <v>1</v>
      </c>
      <c r="T126" s="8" t="n">
        <v>396.27</v>
      </c>
      <c r="U126" s="8" t="n">
        <v>0</v>
      </c>
      <c r="V126" s="8" t="n">
        <v>0</v>
      </c>
      <c r="W126" s="6" t="n"/>
      <c r="X126" s="8" t="n">
        <v>396.27</v>
      </c>
      <c r="Y126" s="5" t="n">
        <v>40</v>
      </c>
      <c r="Z126" s="6" t="inlineStr">
        <is>
          <t>F1190</t>
        </is>
      </c>
      <c r="AA126" s="6" t="n"/>
      <c r="AB126" s="6" t="n"/>
      <c r="AC126" s="6" t="n"/>
      <c r="AD126" s="5" t="n"/>
      <c r="AE126" s="6" t="inlineStr">
        <is>
          <t>O'NEIL, ROY</t>
        </is>
      </c>
      <c r="AF126" s="6" t="inlineStr">
        <is>
          <t>ASAP Peoria</t>
        </is>
      </c>
      <c r="AG126" s="6" t="inlineStr">
        <is>
          <t>07/14/2026</t>
        </is>
      </c>
      <c r="AH126" s="6" t="inlineStr">
        <is>
          <t>BH</t>
        </is>
      </c>
      <c r="AI126" s="9" t="n"/>
      <c r="AJ126" s="5" t="n">
        <v>880</v>
      </c>
    </row>
    <row r="127">
      <c r="A127" s="2" t="n"/>
      <c r="B127" s="3" t="n"/>
      <c r="C127" s="4" t="n"/>
      <c r="D127" s="5" t="n">
        <v>563785068</v>
      </c>
      <c r="E127" s="6" t="inlineStr">
        <is>
          <t>HF460186731</t>
        </is>
      </c>
      <c r="F127" s="6" t="inlineStr">
        <is>
          <t>06/29/2026</t>
        </is>
      </c>
      <c r="G127" s="6" t="inlineStr">
        <is>
          <t>United HealthCare Dual Complete</t>
        </is>
      </c>
      <c r="H127" s="6" t="inlineStr">
        <is>
          <t>United HealthCare Dual Complete</t>
        </is>
      </c>
      <c r="I127" s="6" t="inlineStr">
        <is>
          <t>Mercy Care Plan (AHCCCS) - Complete Care &amp; Long Term Care (LTC)</t>
        </is>
      </c>
      <c r="J127" s="6" t="inlineStr">
        <is>
          <t>99493</t>
        </is>
      </c>
      <c r="K127" s="4" t="n"/>
      <c r="L127" s="5">
        <f>IF($M127="","",$M127-TODAY())</f>
        <v/>
      </c>
      <c r="M127" s="7" t="n">
        <v>46567</v>
      </c>
      <c r="N127" s="6" t="inlineStr">
        <is>
          <t>365 days</t>
        </is>
      </c>
      <c r="O127" s="6" t="inlineStr">
        <is>
          <t>UHC DUAL COMPLETE</t>
        </is>
      </c>
      <c r="P127" s="6" t="n"/>
      <c r="Q127" s="6" t="n"/>
      <c r="R127" s="6" t="n"/>
      <c r="S127" s="5" t="n">
        <v>1</v>
      </c>
      <c r="T127" s="8" t="n">
        <v>976.64</v>
      </c>
      <c r="U127" s="8" t="n">
        <v>0</v>
      </c>
      <c r="V127" s="8" t="n">
        <v>0</v>
      </c>
      <c r="W127" s="6" t="n"/>
      <c r="X127" s="8" t="n">
        <v>976.64</v>
      </c>
      <c r="Y127" s="5" t="n">
        <v>40</v>
      </c>
      <c r="Z127" s="6" t="inlineStr">
        <is>
          <t>F1190</t>
        </is>
      </c>
      <c r="AA127" s="6" t="n"/>
      <c r="AB127" s="6" t="n"/>
      <c r="AC127" s="6" t="n"/>
      <c r="AD127" s="5" t="n"/>
      <c r="AE127" s="6" t="inlineStr">
        <is>
          <t>O'NEIL, ROY</t>
        </is>
      </c>
      <c r="AF127" s="6" t="inlineStr">
        <is>
          <t>ASAP Peoria</t>
        </is>
      </c>
      <c r="AG127" s="6" t="inlineStr">
        <is>
          <t>07/14/2026</t>
        </is>
      </c>
      <c r="AH127" s="6" t="inlineStr">
        <is>
          <t>BH</t>
        </is>
      </c>
      <c r="AI127" s="9" t="n"/>
      <c r="AJ127" s="5" t="n">
        <v>882</v>
      </c>
    </row>
    <row r="128">
      <c r="A128" s="2" t="n"/>
      <c r="B128" s="3" t="n"/>
      <c r="C128" s="4" t="n"/>
      <c r="D128" s="5" t="n">
        <v>561206929</v>
      </c>
      <c r="E128" s="6" t="inlineStr">
        <is>
          <t>HF538932939</t>
        </is>
      </c>
      <c r="F128" s="6" t="inlineStr">
        <is>
          <t>06/01/2026</t>
        </is>
      </c>
      <c r="G128" s="6" t="inlineStr">
        <is>
          <t>AARP MedicareComplete (SecureHorizons &amp; Oxford Network)</t>
        </is>
      </c>
      <c r="H128" s="6" t="inlineStr">
        <is>
          <t>AARP MedicareComplete (SecureHorizons &amp; Oxford Network)</t>
        </is>
      </c>
      <c r="I128" s="6" t="inlineStr">
        <is>
          <t>No Payer</t>
        </is>
      </c>
      <c r="J128" s="6" t="inlineStr">
        <is>
          <t>99493</t>
        </is>
      </c>
      <c r="K128" s="4" t="n"/>
      <c r="L128" s="5">
        <f>IF($M128="","",$M128-TODAY())</f>
        <v/>
      </c>
      <c r="M128" s="7" t="n"/>
      <c r="N128" s="6" t="n"/>
      <c r="O128" s="6" t="inlineStr">
        <is>
          <t>AARP MA CHOICE / MEDICARE COMPLETE</t>
        </is>
      </c>
      <c r="P128" s="6" t="n"/>
      <c r="Q128" s="6" t="n"/>
      <c r="R128" s="6" t="n"/>
      <c r="S128" s="5" t="n">
        <v>1</v>
      </c>
      <c r="T128" s="8" t="n">
        <v>976.64</v>
      </c>
      <c r="U128" s="8" t="n">
        <v>0</v>
      </c>
      <c r="V128" s="8" t="n">
        <v>0</v>
      </c>
      <c r="W128" s="6" t="n"/>
      <c r="X128" s="8" t="n">
        <v>976.64</v>
      </c>
      <c r="Y128" s="5" t="n">
        <v>68</v>
      </c>
      <c r="Z128" s="6" t="inlineStr">
        <is>
          <t>F4320</t>
        </is>
      </c>
      <c r="AA128" s="6" t="n"/>
      <c r="AB128" s="6" t="n"/>
      <c r="AC128" s="6" t="n"/>
      <c r="AD128" s="5" t="n"/>
      <c r="AE128" s="6" t="inlineStr">
        <is>
          <t>LEATHEM, JARRETT</t>
        </is>
      </c>
      <c r="AF128" s="6" t="inlineStr">
        <is>
          <t>ASAP Peoria</t>
        </is>
      </c>
      <c r="AG128" s="6" t="inlineStr">
        <is>
          <t>07/14/2026</t>
        </is>
      </c>
      <c r="AH128" s="6" t="inlineStr">
        <is>
          <t>BH</t>
        </is>
      </c>
      <c r="AI128" s="9" t="n"/>
      <c r="AJ128" s="5" t="n">
        <v>607</v>
      </c>
    </row>
    <row r="129">
      <c r="A129" s="2" t="n"/>
      <c r="B129" s="3" t="n"/>
      <c r="C129" s="4" t="n"/>
      <c r="D129" s="5" t="n">
        <v>561206929</v>
      </c>
      <c r="E129" s="6" t="inlineStr">
        <is>
          <t>HF538932939</t>
        </is>
      </c>
      <c r="F129" s="6" t="inlineStr">
        <is>
          <t>06/01/2026</t>
        </is>
      </c>
      <c r="G129" s="6" t="inlineStr">
        <is>
          <t>AARP MedicareComplete (SecureHorizons &amp; Oxford Network)</t>
        </is>
      </c>
      <c r="H129" s="6" t="inlineStr">
        <is>
          <t>AARP MedicareComplete (SecureHorizons &amp; Oxford Network)</t>
        </is>
      </c>
      <c r="I129" s="6" t="inlineStr">
        <is>
          <t>No Payer</t>
        </is>
      </c>
      <c r="J129" s="6" t="inlineStr">
        <is>
          <t>99494</t>
        </is>
      </c>
      <c r="K129" s="4" t="n"/>
      <c r="L129" s="5">
        <f>IF($M129="","",$M129-TODAY())</f>
        <v/>
      </c>
      <c r="M129" s="7" t="n"/>
      <c r="N129" s="6" t="n"/>
      <c r="O129" s="6" t="inlineStr">
        <is>
          <t>AARP MA CHOICE / MEDICARE COMPLETE</t>
        </is>
      </c>
      <c r="P129" s="6" t="n"/>
      <c r="Q129" s="6" t="n"/>
      <c r="R129" s="6" t="n"/>
      <c r="S129" s="5" t="n">
        <v>1</v>
      </c>
      <c r="T129" s="8" t="n">
        <v>396.27</v>
      </c>
      <c r="U129" s="8" t="n">
        <v>0</v>
      </c>
      <c r="V129" s="8" t="n">
        <v>0</v>
      </c>
      <c r="W129" s="6" t="n"/>
      <c r="X129" s="8" t="n">
        <v>396.27</v>
      </c>
      <c r="Y129" s="5" t="n">
        <v>68</v>
      </c>
      <c r="Z129" s="6" t="inlineStr">
        <is>
          <t>F4320</t>
        </is>
      </c>
      <c r="AA129" s="6" t="n"/>
      <c r="AB129" s="6" t="n"/>
      <c r="AC129" s="6" t="n"/>
      <c r="AD129" s="5" t="n"/>
      <c r="AE129" s="6" t="inlineStr">
        <is>
          <t>LEATHEM, JARRETT</t>
        </is>
      </c>
      <c r="AF129" s="6" t="inlineStr">
        <is>
          <t>ASAP Peoria</t>
        </is>
      </c>
      <c r="AG129" s="6" t="inlineStr">
        <is>
          <t>07/14/2026</t>
        </is>
      </c>
      <c r="AH129" s="6" t="inlineStr">
        <is>
          <t>BH</t>
        </is>
      </c>
      <c r="AI129" s="9" t="n"/>
      <c r="AJ129" s="5" t="n">
        <v>608</v>
      </c>
    </row>
    <row r="130">
      <c r="A130" s="2" t="n"/>
      <c r="B130" s="3" t="n"/>
      <c r="C130" s="4" t="n"/>
      <c r="D130" s="5" t="n">
        <v>561024208</v>
      </c>
      <c r="E130" s="6" t="inlineStr">
        <is>
          <t>HF542472046</t>
        </is>
      </c>
      <c r="F130" s="6" t="inlineStr">
        <is>
          <t>06/02/2026</t>
        </is>
      </c>
      <c r="G130" s="6" t="inlineStr">
        <is>
          <t>Tricare West</t>
        </is>
      </c>
      <c r="H130" s="6" t="inlineStr">
        <is>
          <t>Tricare West</t>
        </is>
      </c>
      <c r="I130" s="6" t="inlineStr">
        <is>
          <t>No Payer</t>
        </is>
      </c>
      <c r="J130" s="6" t="inlineStr">
        <is>
          <t>99484</t>
        </is>
      </c>
      <c r="K130" s="4" t="n"/>
      <c r="L130" s="5">
        <f>IF($M130="","",$M130-TODAY())</f>
        <v/>
      </c>
      <c r="M130" s="7" t="n"/>
      <c r="N130" s="6" t="n"/>
      <c r="O130" s="6" t="inlineStr">
        <is>
          <t>Not on reference list</t>
        </is>
      </c>
      <c r="P130" s="6" t="inlineStr">
        <is>
          <t>25</t>
        </is>
      </c>
      <c r="Q130" s="6" t="n"/>
      <c r="R130" s="6" t="n"/>
      <c r="S130" s="5" t="n">
        <v>1</v>
      </c>
      <c r="T130" s="8" t="n">
        <v>294.42</v>
      </c>
      <c r="U130" s="8" t="n">
        <v>0</v>
      </c>
      <c r="V130" s="8" t="n">
        <v>0</v>
      </c>
      <c r="W130" s="6" t="n"/>
      <c r="X130" s="8" t="n">
        <v>294.42</v>
      </c>
      <c r="Y130" s="5" t="n">
        <v>67</v>
      </c>
      <c r="Z130" s="6" t="inlineStr">
        <is>
          <t>R6884</t>
        </is>
      </c>
      <c r="AA130" s="6" t="inlineStr">
        <is>
          <t>M25551</t>
        </is>
      </c>
      <c r="AB130" s="6" t="inlineStr">
        <is>
          <t>M25552</t>
        </is>
      </c>
      <c r="AC130" s="6" t="inlineStr">
        <is>
          <t>G5771</t>
        </is>
      </c>
      <c r="AD130" s="5" t="n"/>
      <c r="AE130" s="6" t="inlineStr">
        <is>
          <t>LEATHEM, JARRETT</t>
        </is>
      </c>
      <c r="AF130" s="6" t="inlineStr">
        <is>
          <t>ASAP - Gilbert</t>
        </is>
      </c>
      <c r="AG130" s="6" t="inlineStr">
        <is>
          <t>06/18/2026</t>
        </is>
      </c>
      <c r="AH130" s="6" t="inlineStr">
        <is>
          <t>BH</t>
        </is>
      </c>
      <c r="AI130" s="9" t="inlineStr">
        <is>
          <t>No timely filing limit on file for this payer - confirm the limit from the contract or provider manual before working this claim.</t>
        </is>
      </c>
      <c r="AJ130" s="5" t="n">
        <v>1051</v>
      </c>
    </row>
    <row r="131">
      <c r="A131" s="2" t="n"/>
      <c r="B131" s="3" t="n"/>
      <c r="C131" s="4" t="n"/>
      <c r="D131" s="5" t="n">
        <v>561219063</v>
      </c>
      <c r="E131" s="6" t="inlineStr">
        <is>
          <t>HF557340272</t>
        </is>
      </c>
      <c r="F131" s="6" t="inlineStr">
        <is>
          <t>06/02/2026</t>
        </is>
      </c>
      <c r="G131" s="6" t="inlineStr">
        <is>
          <t>Tricare for Life (All Regions)</t>
        </is>
      </c>
      <c r="H131" s="6" t="inlineStr">
        <is>
          <t>Tricare for Life (All Regions)</t>
        </is>
      </c>
      <c r="I131" s="6" t="inlineStr">
        <is>
          <t>No Payer</t>
        </is>
      </c>
      <c r="J131" s="6" t="inlineStr">
        <is>
          <t>99494</t>
        </is>
      </c>
      <c r="K131" s="4" t="n"/>
      <c r="L131" s="5">
        <f>IF($M131="","",$M131-TODAY())</f>
        <v/>
      </c>
      <c r="M131" s="7" t="n"/>
      <c r="N131" s="6" t="n"/>
      <c r="O131" s="6" t="inlineStr">
        <is>
          <t>Not on reference list</t>
        </is>
      </c>
      <c r="P131" s="6" t="n"/>
      <c r="Q131" s="6" t="n"/>
      <c r="R131" s="6" t="n"/>
      <c r="S131" s="5" t="n">
        <v>1</v>
      </c>
      <c r="T131" s="8" t="n">
        <v>396.27</v>
      </c>
      <c r="U131" s="8" t="n">
        <v>0</v>
      </c>
      <c r="V131" s="8" t="n">
        <v>0</v>
      </c>
      <c r="W131" s="6" t="inlineStr">
        <is>
          <t>07/15/2026</t>
        </is>
      </c>
      <c r="X131" s="8" t="n">
        <v>396.27</v>
      </c>
      <c r="Y131" s="5" t="n">
        <v>67</v>
      </c>
      <c r="Z131" s="6" t="inlineStr">
        <is>
          <t>F4320</t>
        </is>
      </c>
      <c r="AA131" s="6" t="n"/>
      <c r="AB131" s="6" t="n"/>
      <c r="AC131" s="6" t="n"/>
      <c r="AD131" s="5" t="n"/>
      <c r="AE131" s="6" t="inlineStr">
        <is>
          <t>LEATHEM, JARRETT</t>
        </is>
      </c>
      <c r="AF131" s="6" t="inlineStr">
        <is>
          <t>ASAP Peoria</t>
        </is>
      </c>
      <c r="AG131" s="6" t="inlineStr">
        <is>
          <t>07/14/2026</t>
        </is>
      </c>
      <c r="AH131" s="6" t="inlineStr">
        <is>
          <t>BH</t>
        </is>
      </c>
      <c r="AI131" s="9" t="inlineStr">
        <is>
          <t>No timely filing limit on file for this payer - confirm the limit from the contract or provider manual before working this claim.</t>
        </is>
      </c>
      <c r="AJ131" s="5" t="n">
        <v>185</v>
      </c>
    </row>
    <row r="132">
      <c r="A132" s="2" t="n"/>
      <c r="B132" s="3" t="n"/>
      <c r="C132" s="4" t="n"/>
      <c r="D132" s="5" t="n">
        <v>561219063</v>
      </c>
      <c r="E132" s="6" t="inlineStr">
        <is>
          <t>HF557340272</t>
        </is>
      </c>
      <c r="F132" s="6" t="inlineStr">
        <is>
          <t>06/02/2026</t>
        </is>
      </c>
      <c r="G132" s="6" t="inlineStr">
        <is>
          <t>Tricare for Life (All Regions)</t>
        </is>
      </c>
      <c r="H132" s="6" t="inlineStr">
        <is>
          <t>Tricare for Life (All Regions)</t>
        </is>
      </c>
      <c r="I132" s="6" t="inlineStr">
        <is>
          <t>No Payer</t>
        </is>
      </c>
      <c r="J132" s="6" t="inlineStr">
        <is>
          <t>99492</t>
        </is>
      </c>
      <c r="K132" s="4" t="n"/>
      <c r="L132" s="5">
        <f>IF($M132="","",$M132-TODAY())</f>
        <v/>
      </c>
      <c r="M132" s="7" t="n"/>
      <c r="N132" s="6" t="n"/>
      <c r="O132" s="6" t="inlineStr">
        <is>
          <t>Not on reference list</t>
        </is>
      </c>
      <c r="P132" s="6" t="n"/>
      <c r="Q132" s="6" t="n"/>
      <c r="R132" s="6" t="n"/>
      <c r="S132" s="5" t="n">
        <v>1</v>
      </c>
      <c r="T132" s="8" t="n">
        <v>1029.98</v>
      </c>
      <c r="U132" s="8" t="n">
        <v>0</v>
      </c>
      <c r="V132" s="8" t="n">
        <v>0</v>
      </c>
      <c r="W132" s="6" t="inlineStr">
        <is>
          <t>07/15/2026</t>
        </is>
      </c>
      <c r="X132" s="8" t="n">
        <v>1029.98</v>
      </c>
      <c r="Y132" s="5" t="n">
        <v>67</v>
      </c>
      <c r="Z132" s="6" t="inlineStr">
        <is>
          <t>F4320</t>
        </is>
      </c>
      <c r="AA132" s="6" t="n"/>
      <c r="AB132" s="6" t="n"/>
      <c r="AC132" s="6" t="n"/>
      <c r="AD132" s="5" t="n"/>
      <c r="AE132" s="6" t="inlineStr">
        <is>
          <t>LEATHEM, JARRETT</t>
        </is>
      </c>
      <c r="AF132" s="6" t="inlineStr">
        <is>
          <t>ASAP Peoria</t>
        </is>
      </c>
      <c r="AG132" s="6" t="inlineStr">
        <is>
          <t>07/14/2026</t>
        </is>
      </c>
      <c r="AH132" s="6" t="inlineStr">
        <is>
          <t>BH</t>
        </is>
      </c>
      <c r="AI132" s="9" t="inlineStr">
        <is>
          <t>No timely filing limit on file for this payer - confirm the limit from the contract or provider manual before working this claim.</t>
        </is>
      </c>
      <c r="AJ132" s="5" t="n">
        <v>186</v>
      </c>
    </row>
    <row r="133">
      <c r="A133" s="2" t="n"/>
      <c r="B133" s="3" t="n"/>
      <c r="C133" s="4" t="n"/>
      <c r="D133" s="5" t="n">
        <v>561884056</v>
      </c>
      <c r="E133" s="6" t="inlineStr">
        <is>
          <t>HF480446878</t>
        </is>
      </c>
      <c r="F133" s="6" t="inlineStr">
        <is>
          <t>06/05/2026</t>
        </is>
      </c>
      <c r="G133" s="6" t="inlineStr">
        <is>
          <t>Meritain Health</t>
        </is>
      </c>
      <c r="H133" s="6" t="inlineStr">
        <is>
          <t>Meritain Health</t>
        </is>
      </c>
      <c r="I133" s="6" t="inlineStr">
        <is>
          <t>No Payer</t>
        </is>
      </c>
      <c r="J133" s="6" t="inlineStr">
        <is>
          <t>99492</t>
        </is>
      </c>
      <c r="K133" s="4" t="n"/>
      <c r="L133" s="5">
        <f>IF($M133="","",$M133-TODAY())</f>
        <v/>
      </c>
      <c r="M133" s="7" t="n"/>
      <c r="N133" s="6" t="n"/>
      <c r="O133" s="6" t="inlineStr">
        <is>
          <t>Not on reference list</t>
        </is>
      </c>
      <c r="P133" s="6" t="n"/>
      <c r="Q133" s="6" t="n"/>
      <c r="R133" s="6" t="n"/>
      <c r="S133" s="5" t="n">
        <v>1</v>
      </c>
      <c r="T133" s="8" t="n">
        <v>1029.98</v>
      </c>
      <c r="U133" s="8" t="n">
        <v>0</v>
      </c>
      <c r="V133" s="8" t="n">
        <v>0</v>
      </c>
      <c r="W133" s="6" t="n"/>
      <c r="X133" s="8" t="n">
        <v>1029.98</v>
      </c>
      <c r="Y133" s="5" t="n">
        <v>64</v>
      </c>
      <c r="Z133" s="6" t="inlineStr">
        <is>
          <t>F1190</t>
        </is>
      </c>
      <c r="AA133" s="6" t="n"/>
      <c r="AB133" s="6" t="n"/>
      <c r="AC133" s="6" t="n"/>
      <c r="AD133" s="5" t="n"/>
      <c r="AE133" s="6" t="inlineStr">
        <is>
          <t>BURGHER, ABRAM</t>
        </is>
      </c>
      <c r="AF133" s="6" t="inlineStr">
        <is>
          <t>ASAP - Gilbert</t>
        </is>
      </c>
      <c r="AG133" s="6" t="inlineStr">
        <is>
          <t>07/14/2026</t>
        </is>
      </c>
      <c r="AH133" s="6" t="inlineStr">
        <is>
          <t>BH</t>
        </is>
      </c>
      <c r="AI133" s="9" t="inlineStr">
        <is>
          <t>No timely filing limit on file for this payer - confirm the limit from the contract or provider manual before working this claim.</t>
        </is>
      </c>
      <c r="AJ133" s="5" t="n">
        <v>1030</v>
      </c>
    </row>
    <row r="134">
      <c r="A134" s="2" t="n"/>
      <c r="B134" s="3" t="n"/>
      <c r="C134" s="4" t="n"/>
      <c r="D134" s="5" t="n">
        <v>562198116</v>
      </c>
      <c r="E134" s="6" t="inlineStr">
        <is>
          <t>HF551421253</t>
        </is>
      </c>
      <c r="F134" s="6" t="inlineStr">
        <is>
          <t>06/12/2026</t>
        </is>
      </c>
      <c r="G134" s="6" t="inlineStr">
        <is>
          <t>Summit Administration Services, Inc</t>
        </is>
      </c>
      <c r="H134" s="6" t="inlineStr">
        <is>
          <t>Summit Administration Services, Inc</t>
        </is>
      </c>
      <c r="I134" s="6" t="inlineStr">
        <is>
          <t>No Payer</t>
        </is>
      </c>
      <c r="J134" s="6" t="inlineStr">
        <is>
          <t>99492</t>
        </is>
      </c>
      <c r="K134" s="4" t="n"/>
      <c r="L134" s="5">
        <f>IF($M134="","",$M134-TODAY())</f>
        <v/>
      </c>
      <c r="M134" s="7" t="n"/>
      <c r="N134" s="6" t="n"/>
      <c r="O134" s="6" t="inlineStr">
        <is>
          <t>Not on reference list</t>
        </is>
      </c>
      <c r="P134" s="6" t="n"/>
      <c r="Q134" s="6" t="n"/>
      <c r="R134" s="6" t="n"/>
      <c r="S134" s="5" t="n">
        <v>1</v>
      </c>
      <c r="T134" s="8" t="n">
        <v>1029.98</v>
      </c>
      <c r="U134" s="8" t="n">
        <v>0</v>
      </c>
      <c r="V134" s="8" t="n">
        <v>0</v>
      </c>
      <c r="W134" s="6" t="n"/>
      <c r="X134" s="8" t="n">
        <v>1029.98</v>
      </c>
      <c r="Y134" s="5" t="n">
        <v>57</v>
      </c>
      <c r="Z134" s="6" t="inlineStr">
        <is>
          <t>F4320</t>
        </is>
      </c>
      <c r="AA134" s="6" t="n"/>
      <c r="AB134" s="6" t="n"/>
      <c r="AC134" s="6" t="n"/>
      <c r="AD134" s="5" t="n"/>
      <c r="AE134" s="6" t="inlineStr">
        <is>
          <t>TURLEY, TODD</t>
        </is>
      </c>
      <c r="AF134" s="6" t="inlineStr">
        <is>
          <t>ASAP - DEER VALLEY</t>
        </is>
      </c>
      <c r="AG134" s="6" t="inlineStr">
        <is>
          <t>07/14/2026</t>
        </is>
      </c>
      <c r="AH134" s="6" t="inlineStr">
        <is>
          <t>BH</t>
        </is>
      </c>
      <c r="AI134" s="9" t="inlineStr">
        <is>
          <t>No timely filing limit on file for this payer - confirm the limit from the contract or provider manual before working this claim.</t>
        </is>
      </c>
      <c r="AJ134" s="5" t="n">
        <v>956</v>
      </c>
    </row>
    <row r="135">
      <c r="A135" s="2" t="n"/>
      <c r="B135" s="3" t="n"/>
      <c r="C135" s="4" t="n"/>
      <c r="D135" s="5" t="n">
        <v>562198116</v>
      </c>
      <c r="E135" s="6" t="inlineStr">
        <is>
          <t>HF551421253</t>
        </is>
      </c>
      <c r="F135" s="6" t="inlineStr">
        <is>
          <t>06/12/2026</t>
        </is>
      </c>
      <c r="G135" s="6" t="inlineStr">
        <is>
          <t>Summit Administration Services, Inc</t>
        </is>
      </c>
      <c r="H135" s="6" t="inlineStr">
        <is>
          <t>Summit Administration Services, Inc</t>
        </is>
      </c>
      <c r="I135" s="6" t="inlineStr">
        <is>
          <t>No Payer</t>
        </is>
      </c>
      <c r="J135" s="6" t="inlineStr">
        <is>
          <t>99494</t>
        </is>
      </c>
      <c r="K135" s="4" t="n"/>
      <c r="L135" s="5">
        <f>IF($M135="","",$M135-TODAY())</f>
        <v/>
      </c>
      <c r="M135" s="7" t="n"/>
      <c r="N135" s="6" t="n"/>
      <c r="O135" s="6" t="inlineStr">
        <is>
          <t>Not on reference list</t>
        </is>
      </c>
      <c r="P135" s="6" t="n"/>
      <c r="Q135" s="6" t="n"/>
      <c r="R135" s="6" t="n"/>
      <c r="S135" s="5" t="n">
        <v>1</v>
      </c>
      <c r="T135" s="8" t="n">
        <v>396.27</v>
      </c>
      <c r="U135" s="8" t="n">
        <v>0</v>
      </c>
      <c r="V135" s="8" t="n">
        <v>0</v>
      </c>
      <c r="W135" s="6" t="n"/>
      <c r="X135" s="8" t="n">
        <v>396.27</v>
      </c>
      <c r="Y135" s="5" t="n">
        <v>57</v>
      </c>
      <c r="Z135" s="6" t="inlineStr">
        <is>
          <t>F4320</t>
        </is>
      </c>
      <c r="AA135" s="6" t="n"/>
      <c r="AB135" s="6" t="n"/>
      <c r="AC135" s="6" t="n"/>
      <c r="AD135" s="5" t="n"/>
      <c r="AE135" s="6" t="inlineStr">
        <is>
          <t>TURLEY, TODD</t>
        </is>
      </c>
      <c r="AF135" s="6" t="inlineStr">
        <is>
          <t>ASAP - DEER VALLEY</t>
        </is>
      </c>
      <c r="AG135" s="6" t="inlineStr">
        <is>
          <t>07/14/2026</t>
        </is>
      </c>
      <c r="AH135" s="6" t="inlineStr">
        <is>
          <t>BH</t>
        </is>
      </c>
      <c r="AI135" s="9" t="inlineStr">
        <is>
          <t>No timely filing limit on file for this payer - confirm the limit from the contract or provider manual before working this claim.</t>
        </is>
      </c>
      <c r="AJ135" s="5" t="n">
        <v>957</v>
      </c>
    </row>
    <row r="136">
      <c r="A136" s="2" t="n"/>
      <c r="B136" s="3" t="n"/>
      <c r="C136" s="4" t="n"/>
      <c r="D136" s="5" t="n">
        <v>562518339</v>
      </c>
      <c r="E136" s="6" t="inlineStr">
        <is>
          <t>HF559371386</t>
        </is>
      </c>
      <c r="F136" s="6" t="inlineStr">
        <is>
          <t>06/16/2026</t>
        </is>
      </c>
      <c r="G136" s="6" t="inlineStr">
        <is>
          <t>Gold Kidney Health Plan</t>
        </is>
      </c>
      <c r="H136" s="6" t="inlineStr">
        <is>
          <t>Gold Kidney Health Plan</t>
        </is>
      </c>
      <c r="I136" s="6" t="inlineStr">
        <is>
          <t>No Payer</t>
        </is>
      </c>
      <c r="J136" s="6" t="inlineStr">
        <is>
          <t>99492</t>
        </is>
      </c>
      <c r="K136" s="4" t="n"/>
      <c r="L136" s="5">
        <f>IF($M136="","",$M136-TODAY())</f>
        <v/>
      </c>
      <c r="M136" s="7" t="n"/>
      <c r="N136" s="6" t="n"/>
      <c r="O136" s="6" t="inlineStr">
        <is>
          <t>Not on reference list</t>
        </is>
      </c>
      <c r="P136" s="6" t="n"/>
      <c r="Q136" s="6" t="n"/>
      <c r="R136" s="6" t="n"/>
      <c r="S136" s="5" t="n">
        <v>1</v>
      </c>
      <c r="T136" s="8" t="n">
        <v>1029.98</v>
      </c>
      <c r="U136" s="8" t="n">
        <v>0</v>
      </c>
      <c r="V136" s="8" t="n">
        <v>0</v>
      </c>
      <c r="W136" s="6" t="n"/>
      <c r="X136" s="8" t="n">
        <v>1029.98</v>
      </c>
      <c r="Y136" s="5" t="n">
        <v>53</v>
      </c>
      <c r="Z136" s="6" t="inlineStr">
        <is>
          <t>F4320</t>
        </is>
      </c>
      <c r="AA136" s="6" t="n"/>
      <c r="AB136" s="6" t="n"/>
      <c r="AC136" s="6" t="n"/>
      <c r="AD136" s="5" t="n"/>
      <c r="AE136" s="6" t="inlineStr">
        <is>
          <t>CURRIE, DAVID</t>
        </is>
      </c>
      <c r="AF136" s="6" t="inlineStr">
        <is>
          <t>ASAP - Avondale</t>
        </is>
      </c>
      <c r="AG136" s="6" t="inlineStr">
        <is>
          <t>07/14/2026</t>
        </is>
      </c>
      <c r="AH136" s="6" t="inlineStr">
        <is>
          <t>BH</t>
        </is>
      </c>
      <c r="AI136" s="9" t="inlineStr">
        <is>
          <t>No timely filing limit on file for this payer - confirm the limit from the contract or provider manual before working this claim.</t>
        </is>
      </c>
      <c r="AJ136" s="5" t="n">
        <v>1019</v>
      </c>
    </row>
    <row r="137">
      <c r="A137" s="2" t="n"/>
      <c r="B137" s="3" t="n"/>
      <c r="C137" s="4" t="n"/>
      <c r="D137" s="5" t="n">
        <v>562518339</v>
      </c>
      <c r="E137" s="6" t="inlineStr">
        <is>
          <t>HF559371386</t>
        </is>
      </c>
      <c r="F137" s="6" t="inlineStr">
        <is>
          <t>06/16/2026</t>
        </is>
      </c>
      <c r="G137" s="6" t="inlineStr">
        <is>
          <t>Gold Kidney Health Plan</t>
        </is>
      </c>
      <c r="H137" s="6" t="inlineStr">
        <is>
          <t>Gold Kidney Health Plan</t>
        </is>
      </c>
      <c r="I137" s="6" t="inlineStr">
        <is>
          <t>No Payer</t>
        </is>
      </c>
      <c r="J137" s="6" t="inlineStr">
        <is>
          <t>99494</t>
        </is>
      </c>
      <c r="K137" s="4" t="n"/>
      <c r="L137" s="5">
        <f>IF($M137="","",$M137-TODAY())</f>
        <v/>
      </c>
      <c r="M137" s="7" t="n"/>
      <c r="N137" s="6" t="n"/>
      <c r="O137" s="6" t="inlineStr">
        <is>
          <t>Not on reference list</t>
        </is>
      </c>
      <c r="P137" s="6" t="n"/>
      <c r="Q137" s="6" t="n"/>
      <c r="R137" s="6" t="n"/>
      <c r="S137" s="5" t="n">
        <v>1</v>
      </c>
      <c r="T137" s="8" t="n">
        <v>396.27</v>
      </c>
      <c r="U137" s="8" t="n">
        <v>0</v>
      </c>
      <c r="V137" s="8" t="n">
        <v>0</v>
      </c>
      <c r="W137" s="6" t="n"/>
      <c r="X137" s="8" t="n">
        <v>396.27</v>
      </c>
      <c r="Y137" s="5" t="n">
        <v>53</v>
      </c>
      <c r="Z137" s="6" t="inlineStr">
        <is>
          <t>F4320</t>
        </is>
      </c>
      <c r="AA137" s="6" t="n"/>
      <c r="AB137" s="6" t="n"/>
      <c r="AC137" s="6" t="n"/>
      <c r="AD137" s="5" t="n"/>
      <c r="AE137" s="6" t="inlineStr">
        <is>
          <t>CURRIE, DAVID</t>
        </is>
      </c>
      <c r="AF137" s="6" t="inlineStr">
        <is>
          <t>ASAP - Avondale</t>
        </is>
      </c>
      <c r="AG137" s="6" t="inlineStr">
        <is>
          <t>07/14/2026</t>
        </is>
      </c>
      <c r="AH137" s="6" t="inlineStr">
        <is>
          <t>BH</t>
        </is>
      </c>
      <c r="AI137" s="9" t="inlineStr">
        <is>
          <t>No timely filing limit on file for this payer - confirm the limit from the contract or provider manual before working this claim.</t>
        </is>
      </c>
      <c r="AJ137" s="5" t="n">
        <v>1020</v>
      </c>
    </row>
    <row r="138">
      <c r="A138" s="2" t="n"/>
      <c r="B138" s="3" t="n"/>
      <c r="C138" s="4" t="n"/>
      <c r="D138" s="5" t="n">
        <v>562594958</v>
      </c>
      <c r="E138" s="6" t="inlineStr">
        <is>
          <t>HF444036229</t>
        </is>
      </c>
      <c r="F138" s="6" t="inlineStr">
        <is>
          <t>06/17/2026</t>
        </is>
      </c>
      <c r="G138" s="6" t="inlineStr">
        <is>
          <t>Imperial Insurance Companies Inc Exchange AZ (IEXAZ) (WAYSTAR ONLY)</t>
        </is>
      </c>
      <c r="H138" s="6" t="inlineStr">
        <is>
          <t>Imperial Insurance Companies Inc Exchange AZ (IEXAZ) (WAYSTAR ONLY)</t>
        </is>
      </c>
      <c r="I138" s="6" t="inlineStr">
        <is>
          <t>No Payer</t>
        </is>
      </c>
      <c r="J138" s="6" t="inlineStr">
        <is>
          <t>99492</t>
        </is>
      </c>
      <c r="K138" s="4" t="n"/>
      <c r="L138" s="5">
        <f>IF($M138="","",$M138-TODAY())</f>
        <v/>
      </c>
      <c r="M138" s="7" t="n"/>
      <c r="N138" s="6" t="n"/>
      <c r="O138" s="6" t="inlineStr">
        <is>
          <t>Not on reference list</t>
        </is>
      </c>
      <c r="P138" s="6" t="n"/>
      <c r="Q138" s="6" t="n"/>
      <c r="R138" s="6" t="n"/>
      <c r="S138" s="5" t="n">
        <v>1</v>
      </c>
      <c r="T138" s="8" t="n">
        <v>1029.98</v>
      </c>
      <c r="U138" s="8" t="n">
        <v>0</v>
      </c>
      <c r="V138" s="8" t="n">
        <v>0</v>
      </c>
      <c r="W138" s="6" t="n"/>
      <c r="X138" s="8" t="n">
        <v>1029.98</v>
      </c>
      <c r="Y138" s="5" t="n">
        <v>52</v>
      </c>
      <c r="Z138" s="6" t="inlineStr">
        <is>
          <t>F1190</t>
        </is>
      </c>
      <c r="AA138" s="6" t="n"/>
      <c r="AB138" s="6" t="n"/>
      <c r="AC138" s="6" t="n"/>
      <c r="AD138" s="5" t="n"/>
      <c r="AE138" s="6" t="inlineStr">
        <is>
          <t>LEATHEM, JARRETT</t>
        </is>
      </c>
      <c r="AF138" s="6" t="inlineStr">
        <is>
          <t>ASAP - Gilbert</t>
        </is>
      </c>
      <c r="AG138" s="6" t="inlineStr">
        <is>
          <t>07/14/2026</t>
        </is>
      </c>
      <c r="AH138" s="6" t="inlineStr">
        <is>
          <t>BH</t>
        </is>
      </c>
      <c r="AI138" s="9" t="inlineStr">
        <is>
          <t>No timely filing limit on file for this payer - confirm the limit from the contract or provider manual before working this claim.</t>
        </is>
      </c>
      <c r="AJ138" s="5" t="n">
        <v>1006</v>
      </c>
    </row>
    <row r="139">
      <c r="A139" s="2" t="n"/>
      <c r="B139" s="3" t="n"/>
      <c r="C139" s="4" t="n"/>
      <c r="D139" s="5" t="n">
        <v>562594958</v>
      </c>
      <c r="E139" s="6" t="inlineStr">
        <is>
          <t>HF444036229</t>
        </is>
      </c>
      <c r="F139" s="6" t="inlineStr">
        <is>
          <t>06/17/2026</t>
        </is>
      </c>
      <c r="G139" s="6" t="inlineStr">
        <is>
          <t>Imperial Insurance Companies Inc Exchange AZ (IEXAZ) (WAYSTAR ONLY)</t>
        </is>
      </c>
      <c r="H139" s="6" t="inlineStr">
        <is>
          <t>Imperial Insurance Companies Inc Exchange AZ (IEXAZ) (WAYSTAR ONLY)</t>
        </is>
      </c>
      <c r="I139" s="6" t="inlineStr">
        <is>
          <t>No Payer</t>
        </is>
      </c>
      <c r="J139" s="6" t="inlineStr">
        <is>
          <t>99494</t>
        </is>
      </c>
      <c r="K139" s="4" t="n"/>
      <c r="L139" s="5">
        <f>IF($M139="","",$M139-TODAY())</f>
        <v/>
      </c>
      <c r="M139" s="7" t="n"/>
      <c r="N139" s="6" t="n"/>
      <c r="O139" s="6" t="inlineStr">
        <is>
          <t>Not on reference list</t>
        </is>
      </c>
      <c r="P139" s="6" t="n"/>
      <c r="Q139" s="6" t="n"/>
      <c r="R139" s="6" t="n"/>
      <c r="S139" s="5" t="n">
        <v>1</v>
      </c>
      <c r="T139" s="8" t="n">
        <v>396.27</v>
      </c>
      <c r="U139" s="8" t="n">
        <v>0</v>
      </c>
      <c r="V139" s="8" t="n">
        <v>0</v>
      </c>
      <c r="W139" s="6" t="n"/>
      <c r="X139" s="8" t="n">
        <v>396.27</v>
      </c>
      <c r="Y139" s="5" t="n">
        <v>52</v>
      </c>
      <c r="Z139" s="6" t="inlineStr">
        <is>
          <t>F1190</t>
        </is>
      </c>
      <c r="AA139" s="6" t="n"/>
      <c r="AB139" s="6" t="n"/>
      <c r="AC139" s="6" t="n"/>
      <c r="AD139" s="5" t="n"/>
      <c r="AE139" s="6" t="inlineStr">
        <is>
          <t>LEATHEM, JARRETT</t>
        </is>
      </c>
      <c r="AF139" s="6" t="inlineStr">
        <is>
          <t>ASAP - Gilbert</t>
        </is>
      </c>
      <c r="AG139" s="6" t="inlineStr">
        <is>
          <t>07/14/2026</t>
        </is>
      </c>
      <c r="AH139" s="6" t="inlineStr">
        <is>
          <t>BH</t>
        </is>
      </c>
      <c r="AI139" s="9" t="inlineStr">
        <is>
          <t>No timely filing limit on file for this payer - confirm the limit from the contract or provider manual before working this claim.</t>
        </is>
      </c>
      <c r="AJ139" s="5" t="n">
        <v>1009</v>
      </c>
    </row>
    <row r="140">
      <c r="A140" s="2" t="n"/>
      <c r="B140" s="3" t="n"/>
      <c r="C140" s="4" t="n"/>
      <c r="D140" s="5" t="n">
        <v>562803163</v>
      </c>
      <c r="E140" s="6" t="inlineStr">
        <is>
          <t>HF528535429</t>
        </is>
      </c>
      <c r="F140" s="6" t="inlineStr">
        <is>
          <t>06/17/2026</t>
        </is>
      </c>
      <c r="G140" s="6" t="inlineStr">
        <is>
          <t>SCAN Health Plan (Village Health Plan)</t>
        </is>
      </c>
      <c r="H140" s="6" t="inlineStr">
        <is>
          <t>SCAN Health Plan (Village Health Plan)</t>
        </is>
      </c>
      <c r="I140" s="6" t="inlineStr">
        <is>
          <t>Mercy Care RBHA</t>
        </is>
      </c>
      <c r="J140" s="6" t="inlineStr">
        <is>
          <t>99493</t>
        </is>
      </c>
      <c r="K140" s="4" t="n"/>
      <c r="L140" s="5">
        <f>IF($M140="","",$M140-TODAY())</f>
        <v/>
      </c>
      <c r="M140" s="7" t="n"/>
      <c r="N140" s="6" t="n"/>
      <c r="O140" s="6" t="inlineStr">
        <is>
          <t>Not on reference list</t>
        </is>
      </c>
      <c r="P140" s="6" t="n"/>
      <c r="Q140" s="6" t="n"/>
      <c r="R140" s="6" t="n"/>
      <c r="S140" s="5" t="n">
        <v>1</v>
      </c>
      <c r="T140" s="8" t="n">
        <v>976.64</v>
      </c>
      <c r="U140" s="8" t="n">
        <v>0</v>
      </c>
      <c r="V140" s="8" t="n">
        <v>0</v>
      </c>
      <c r="W140" s="6" t="n"/>
      <c r="X140" s="8" t="n">
        <v>976.64</v>
      </c>
      <c r="Y140" s="5" t="n">
        <v>52</v>
      </c>
      <c r="Z140" s="6" t="inlineStr">
        <is>
          <t>F331</t>
        </is>
      </c>
      <c r="AA140" s="6" t="inlineStr">
        <is>
          <t>F411</t>
        </is>
      </c>
      <c r="AB140" s="6" t="n"/>
      <c r="AC140" s="6" t="n"/>
      <c r="AD140" s="5" t="n"/>
      <c r="AE140" s="6" t="inlineStr">
        <is>
          <t>MEARS, CHAD</t>
        </is>
      </c>
      <c r="AF140" s="6" t="inlineStr">
        <is>
          <t>ASAP - DEER VALLEY</t>
        </is>
      </c>
      <c r="AG140" s="6" t="inlineStr">
        <is>
          <t>07/14/2026</t>
        </is>
      </c>
      <c r="AH140" s="6" t="inlineStr">
        <is>
          <t>BH</t>
        </is>
      </c>
      <c r="AI140" s="9" t="inlineStr">
        <is>
          <t>No timely filing limit on file for this payer - confirm the limit from the contract or provider manual before working this claim.</t>
        </is>
      </c>
      <c r="AJ140" s="5" t="n">
        <v>1060</v>
      </c>
    </row>
    <row r="141">
      <c r="A141" s="2" t="n"/>
      <c r="B141" s="3" t="n"/>
      <c r="C141" s="4" t="n"/>
      <c r="D141" s="5" t="n">
        <v>562803163</v>
      </c>
      <c r="E141" s="6" t="inlineStr">
        <is>
          <t>HF528535429</t>
        </is>
      </c>
      <c r="F141" s="6" t="inlineStr">
        <is>
          <t>06/17/2026</t>
        </is>
      </c>
      <c r="G141" s="6" t="inlineStr">
        <is>
          <t>SCAN Health Plan (Village Health Plan)</t>
        </is>
      </c>
      <c r="H141" s="6" t="inlineStr">
        <is>
          <t>SCAN Health Plan (Village Health Plan)</t>
        </is>
      </c>
      <c r="I141" s="6" t="inlineStr">
        <is>
          <t>Mercy Care RBHA</t>
        </is>
      </c>
      <c r="J141" s="6" t="inlineStr">
        <is>
          <t>99494</t>
        </is>
      </c>
      <c r="K141" s="4" t="n"/>
      <c r="L141" s="5">
        <f>IF($M141="","",$M141-TODAY())</f>
        <v/>
      </c>
      <c r="M141" s="7" t="n"/>
      <c r="N141" s="6" t="n"/>
      <c r="O141" s="6" t="inlineStr">
        <is>
          <t>Not on reference list</t>
        </is>
      </c>
      <c r="P141" s="6" t="n"/>
      <c r="Q141" s="6" t="n"/>
      <c r="R141" s="6" t="n"/>
      <c r="S141" s="5" t="n">
        <v>1</v>
      </c>
      <c r="T141" s="8" t="n">
        <v>396.27</v>
      </c>
      <c r="U141" s="8" t="n">
        <v>0</v>
      </c>
      <c r="V141" s="8" t="n">
        <v>0</v>
      </c>
      <c r="W141" s="6" t="n"/>
      <c r="X141" s="8" t="n">
        <v>396.27</v>
      </c>
      <c r="Y141" s="5" t="n">
        <v>52</v>
      </c>
      <c r="Z141" s="6" t="inlineStr">
        <is>
          <t>F331</t>
        </is>
      </c>
      <c r="AA141" s="6" t="inlineStr">
        <is>
          <t>F411</t>
        </is>
      </c>
      <c r="AB141" s="6" t="n"/>
      <c r="AC141" s="6" t="n"/>
      <c r="AD141" s="5" t="n"/>
      <c r="AE141" s="6" t="inlineStr">
        <is>
          <t>MEARS, CHAD</t>
        </is>
      </c>
      <c r="AF141" s="6" t="inlineStr">
        <is>
          <t>ASAP - DEER VALLEY</t>
        </is>
      </c>
      <c r="AG141" s="6" t="inlineStr">
        <is>
          <t>07/14/2026</t>
        </is>
      </c>
      <c r="AH141" s="6" t="inlineStr">
        <is>
          <t>BH</t>
        </is>
      </c>
      <c r="AI141" s="9" t="inlineStr">
        <is>
          <t>No timely filing limit on file for this payer - confirm the limit from the contract or provider manual before working this claim.</t>
        </is>
      </c>
      <c r="AJ141" s="5" t="n">
        <v>1062</v>
      </c>
    </row>
    <row r="142">
      <c r="A142" s="2" t="n"/>
      <c r="B142" s="3" t="n"/>
      <c r="C142" s="4" t="n"/>
      <c r="D142" s="5" t="n">
        <v>562862986</v>
      </c>
      <c r="E142" s="6" t="inlineStr">
        <is>
          <t>HF559343228</t>
        </is>
      </c>
      <c r="F142" s="6" t="inlineStr">
        <is>
          <t>06/19/2026</t>
        </is>
      </c>
      <c r="G142" s="6" t="inlineStr">
        <is>
          <t>UMR Wausau / UHIS</t>
        </is>
      </c>
      <c r="H142" s="6" t="inlineStr">
        <is>
          <t>UMR Wausau / UHIS</t>
        </is>
      </c>
      <c r="I142" s="6" t="inlineStr">
        <is>
          <t>No Payer</t>
        </is>
      </c>
      <c r="J142" s="6" t="inlineStr">
        <is>
          <t>99484</t>
        </is>
      </c>
      <c r="K142" s="4" t="n"/>
      <c r="L142" s="5">
        <f>IF($M142="","",$M142-TODAY())</f>
        <v/>
      </c>
      <c r="M142" s="7" t="n"/>
      <c r="N142" s="6" t="n"/>
      <c r="O142" s="6" t="inlineStr">
        <is>
          <t>UMR / WAUSAU</t>
        </is>
      </c>
      <c r="P142" s="6" t="n"/>
      <c r="Q142" s="6" t="n"/>
      <c r="R142" s="6" t="n"/>
      <c r="S142" s="5" t="n">
        <v>1</v>
      </c>
      <c r="T142" s="8" t="n">
        <v>294.42</v>
      </c>
      <c r="U142" s="8" t="n">
        <v>0</v>
      </c>
      <c r="V142" s="8" t="n">
        <v>0</v>
      </c>
      <c r="W142" s="6" t="n"/>
      <c r="X142" s="8" t="n">
        <v>294.42</v>
      </c>
      <c r="Y142" s="5" t="n">
        <v>50</v>
      </c>
      <c r="Z142" s="6" t="inlineStr">
        <is>
          <t>Z79891</t>
        </is>
      </c>
      <c r="AA142" s="6" t="inlineStr">
        <is>
          <t>Z1331</t>
        </is>
      </c>
      <c r="AB142" s="6" t="n"/>
      <c r="AC142" s="6" t="n"/>
      <c r="AD142" s="5" t="n"/>
      <c r="AE142" s="6" t="inlineStr">
        <is>
          <t>WILSON, JARED</t>
        </is>
      </c>
      <c r="AF142" s="6" t="inlineStr">
        <is>
          <t>ASAP - Tucson</t>
        </is>
      </c>
      <c r="AG142" s="6" t="inlineStr">
        <is>
          <t>07/31/2026</t>
        </is>
      </c>
      <c r="AH142" s="6" t="inlineStr">
        <is>
          <t>BH</t>
        </is>
      </c>
      <c r="AI142" s="9" t="n"/>
      <c r="AJ142" s="5" t="n">
        <v>915</v>
      </c>
    </row>
    <row r="143">
      <c r="A143" s="2" t="n"/>
      <c r="B143" s="3" t="n"/>
      <c r="C143" s="4" t="n"/>
      <c r="D143" s="5" t="n">
        <v>562903580</v>
      </c>
      <c r="E143" s="6" t="inlineStr">
        <is>
          <t>HF551929698</t>
        </is>
      </c>
      <c r="F143" s="6" t="inlineStr">
        <is>
          <t>06/19/2026</t>
        </is>
      </c>
      <c r="G143" s="6" t="inlineStr">
        <is>
          <t>Alignment Health Care</t>
        </is>
      </c>
      <c r="H143" s="6" t="inlineStr">
        <is>
          <t>Alignment Health Care</t>
        </is>
      </c>
      <c r="I143" s="6" t="inlineStr">
        <is>
          <t>No Payer</t>
        </is>
      </c>
      <c r="J143" s="6" t="inlineStr">
        <is>
          <t>99492</t>
        </is>
      </c>
      <c r="K143" s="4" t="n"/>
      <c r="L143" s="5">
        <f>IF($M143="","",$M143-TODAY())</f>
        <v/>
      </c>
      <c r="M143" s="7" t="n"/>
      <c r="N143" s="6" t="n"/>
      <c r="O143" s="6" t="inlineStr">
        <is>
          <t>Not on reference list</t>
        </is>
      </c>
      <c r="P143" s="6" t="n"/>
      <c r="Q143" s="6" t="n"/>
      <c r="R143" s="6" t="n"/>
      <c r="S143" s="5" t="n">
        <v>1</v>
      </c>
      <c r="T143" s="8" t="n">
        <v>1029.98</v>
      </c>
      <c r="U143" s="8" t="n">
        <v>0</v>
      </c>
      <c r="V143" s="8" t="n">
        <v>0</v>
      </c>
      <c r="W143" s="6" t="n"/>
      <c r="X143" s="8" t="n">
        <v>1029.98</v>
      </c>
      <c r="Y143" s="5" t="n">
        <v>50</v>
      </c>
      <c r="Z143" s="6" t="inlineStr">
        <is>
          <t>F4320</t>
        </is>
      </c>
      <c r="AA143" s="6" t="n"/>
      <c r="AB143" s="6" t="n"/>
      <c r="AC143" s="6" t="n"/>
      <c r="AD143" s="5" t="n"/>
      <c r="AE143" s="6" t="inlineStr">
        <is>
          <t>TURLEY, TODD</t>
        </is>
      </c>
      <c r="AF143" s="6" t="inlineStr">
        <is>
          <t>ASAP - Surprise - Reems</t>
        </is>
      </c>
      <c r="AG143" s="6" t="inlineStr">
        <is>
          <t>07/14/2026</t>
        </is>
      </c>
      <c r="AH143" s="6" t="inlineStr">
        <is>
          <t>BH</t>
        </is>
      </c>
      <c r="AI143" s="9" t="inlineStr">
        <is>
          <t>No timely filing limit on file for this payer - confirm the limit from the contract or provider manual before working this claim.</t>
        </is>
      </c>
      <c r="AJ143" s="5" t="n">
        <v>422</v>
      </c>
    </row>
    <row r="144">
      <c r="A144" s="2" t="n"/>
      <c r="B144" s="3" t="n"/>
      <c r="C144" s="4" t="n"/>
      <c r="D144" s="5" t="n">
        <v>562903580</v>
      </c>
      <c r="E144" s="6" t="inlineStr">
        <is>
          <t>HF551929698</t>
        </is>
      </c>
      <c r="F144" s="6" t="inlineStr">
        <is>
          <t>06/19/2026</t>
        </is>
      </c>
      <c r="G144" s="6" t="inlineStr">
        <is>
          <t>Alignment Health Care</t>
        </is>
      </c>
      <c r="H144" s="6" t="inlineStr">
        <is>
          <t>Alignment Health Care</t>
        </is>
      </c>
      <c r="I144" s="6" t="inlineStr">
        <is>
          <t>No Payer</t>
        </is>
      </c>
      <c r="J144" s="6" t="inlineStr">
        <is>
          <t>99494</t>
        </is>
      </c>
      <c r="K144" s="4" t="n"/>
      <c r="L144" s="5">
        <f>IF($M144="","",$M144-TODAY())</f>
        <v/>
      </c>
      <c r="M144" s="7" t="n"/>
      <c r="N144" s="6" t="n"/>
      <c r="O144" s="6" t="inlineStr">
        <is>
          <t>Not on reference list</t>
        </is>
      </c>
      <c r="P144" s="6" t="n"/>
      <c r="Q144" s="6" t="n"/>
      <c r="R144" s="6" t="n"/>
      <c r="S144" s="5" t="n">
        <v>1</v>
      </c>
      <c r="T144" s="8" t="n">
        <v>396.27</v>
      </c>
      <c r="U144" s="8" t="n">
        <v>0</v>
      </c>
      <c r="V144" s="8" t="n">
        <v>0</v>
      </c>
      <c r="W144" s="6" t="n"/>
      <c r="X144" s="8" t="n">
        <v>396.27</v>
      </c>
      <c r="Y144" s="5" t="n">
        <v>50</v>
      </c>
      <c r="Z144" s="6" t="inlineStr">
        <is>
          <t>F4320</t>
        </is>
      </c>
      <c r="AA144" s="6" t="n"/>
      <c r="AB144" s="6" t="n"/>
      <c r="AC144" s="6" t="n"/>
      <c r="AD144" s="5" t="n"/>
      <c r="AE144" s="6" t="inlineStr">
        <is>
          <t>TURLEY, TODD</t>
        </is>
      </c>
      <c r="AF144" s="6" t="inlineStr">
        <is>
          <t>ASAP - Surprise - Reems</t>
        </is>
      </c>
      <c r="AG144" s="6" t="inlineStr">
        <is>
          <t>07/14/2026</t>
        </is>
      </c>
      <c r="AH144" s="6" t="inlineStr">
        <is>
          <t>BH</t>
        </is>
      </c>
      <c r="AI144" s="9" t="inlineStr">
        <is>
          <t>No timely filing limit on file for this payer - confirm the limit from the contract or provider manual before working this claim.</t>
        </is>
      </c>
      <c r="AJ144" s="5" t="n">
        <v>423</v>
      </c>
    </row>
    <row r="145">
      <c r="A145" s="2" t="n"/>
      <c r="B145" s="3" t="n"/>
      <c r="C145" s="4" t="n"/>
      <c r="D145" s="5" t="n">
        <v>563312859</v>
      </c>
      <c r="E145" s="6" t="inlineStr">
        <is>
          <t>HF470289659</t>
        </is>
      </c>
      <c r="F145" s="6" t="inlineStr">
        <is>
          <t>06/22/2026</t>
        </is>
      </c>
      <c r="G145" s="6" t="inlineStr">
        <is>
          <t>UMR Wausau / UHIS</t>
        </is>
      </c>
      <c r="H145" s="6" t="inlineStr">
        <is>
          <t>UMR Wausau / UHIS</t>
        </is>
      </c>
      <c r="I145" s="6" t="inlineStr">
        <is>
          <t>No Payer</t>
        </is>
      </c>
      <c r="J145" s="6" t="inlineStr">
        <is>
          <t>99494</t>
        </is>
      </c>
      <c r="K145" s="4" t="n"/>
      <c r="L145" s="5">
        <f>IF($M145="","",$M145-TODAY())</f>
        <v/>
      </c>
      <c r="M145" s="7" t="n"/>
      <c r="N145" s="6" t="n"/>
      <c r="O145" s="6" t="inlineStr">
        <is>
          <t>UMR / WAUSAU</t>
        </is>
      </c>
      <c r="P145" s="6" t="n"/>
      <c r="Q145" s="6" t="n"/>
      <c r="R145" s="6" t="n"/>
      <c r="S145" s="5" t="n">
        <v>2</v>
      </c>
      <c r="T145" s="8" t="n">
        <v>792.54</v>
      </c>
      <c r="U145" s="8" t="n">
        <v>0</v>
      </c>
      <c r="V145" s="8" t="n">
        <v>0</v>
      </c>
      <c r="W145" s="6" t="n"/>
      <c r="X145" s="8" t="n">
        <v>792.54</v>
      </c>
      <c r="Y145" s="5" t="n">
        <v>47</v>
      </c>
      <c r="Z145" s="6" t="inlineStr">
        <is>
          <t>F331</t>
        </is>
      </c>
      <c r="AA145" s="6" t="n"/>
      <c r="AB145" s="6" t="n"/>
      <c r="AC145" s="6" t="n"/>
      <c r="AD145" s="5" t="n"/>
      <c r="AE145" s="6" t="inlineStr">
        <is>
          <t>TURLEY, TODD</t>
        </is>
      </c>
      <c r="AF145" s="6" t="inlineStr">
        <is>
          <t>ASAP Peoria</t>
        </is>
      </c>
      <c r="AG145" s="6" t="inlineStr">
        <is>
          <t>07/14/2026</t>
        </is>
      </c>
      <c r="AH145" s="6" t="inlineStr">
        <is>
          <t>BH</t>
        </is>
      </c>
      <c r="AI145" s="9" t="n"/>
      <c r="AJ145" s="5" t="n">
        <v>1017</v>
      </c>
    </row>
    <row r="146">
      <c r="A146" s="2" t="n"/>
      <c r="B146" s="3" t="n"/>
      <c r="C146" s="4" t="n"/>
      <c r="D146" s="5" t="n">
        <v>563312859</v>
      </c>
      <c r="E146" s="6" t="inlineStr">
        <is>
          <t>HF470289659</t>
        </is>
      </c>
      <c r="F146" s="6" t="inlineStr">
        <is>
          <t>06/22/2026</t>
        </is>
      </c>
      <c r="G146" s="6" t="inlineStr">
        <is>
          <t>UMR Wausau / UHIS</t>
        </is>
      </c>
      <c r="H146" s="6" t="inlineStr">
        <is>
          <t>UMR Wausau / UHIS</t>
        </is>
      </c>
      <c r="I146" s="6" t="inlineStr">
        <is>
          <t>No Payer</t>
        </is>
      </c>
      <c r="J146" s="6" t="inlineStr">
        <is>
          <t>99493</t>
        </is>
      </c>
      <c r="K146" s="4" t="n"/>
      <c r="L146" s="5">
        <f>IF($M146="","",$M146-TODAY())</f>
        <v/>
      </c>
      <c r="M146" s="7" t="n"/>
      <c r="N146" s="6" t="n"/>
      <c r="O146" s="6" t="inlineStr">
        <is>
          <t>UMR / WAUSAU</t>
        </is>
      </c>
      <c r="P146" s="6" t="n"/>
      <c r="Q146" s="6" t="n"/>
      <c r="R146" s="6" t="n"/>
      <c r="S146" s="5" t="n">
        <v>1</v>
      </c>
      <c r="T146" s="8" t="n">
        <v>976.64</v>
      </c>
      <c r="U146" s="8" t="n">
        <v>0</v>
      </c>
      <c r="V146" s="8" t="n">
        <v>0</v>
      </c>
      <c r="W146" s="6" t="n"/>
      <c r="X146" s="8" t="n">
        <v>976.64</v>
      </c>
      <c r="Y146" s="5" t="n">
        <v>47</v>
      </c>
      <c r="Z146" s="6" t="inlineStr">
        <is>
          <t>F331</t>
        </is>
      </c>
      <c r="AA146" s="6" t="n"/>
      <c r="AB146" s="6" t="n"/>
      <c r="AC146" s="6" t="n"/>
      <c r="AD146" s="5" t="n"/>
      <c r="AE146" s="6" t="inlineStr">
        <is>
          <t>TURLEY, TODD</t>
        </is>
      </c>
      <c r="AF146" s="6" t="inlineStr">
        <is>
          <t>ASAP Peoria</t>
        </is>
      </c>
      <c r="AG146" s="6" t="inlineStr">
        <is>
          <t>07/14/2026</t>
        </is>
      </c>
      <c r="AH146" s="6" t="inlineStr">
        <is>
          <t>BH</t>
        </is>
      </c>
      <c r="AI146" s="9" t="n"/>
      <c r="AJ146" s="5" t="n">
        <v>1031</v>
      </c>
    </row>
    <row r="147">
      <c r="A147" s="2" t="n"/>
      <c r="B147" s="3" t="n"/>
      <c r="C147" s="4" t="n"/>
      <c r="D147" s="5" t="n">
        <v>563421228</v>
      </c>
      <c r="E147" s="6" t="inlineStr">
        <is>
          <t>HF561201154</t>
        </is>
      </c>
      <c r="F147" s="6" t="inlineStr">
        <is>
          <t>06/25/2026</t>
        </is>
      </c>
      <c r="G147" s="6" t="inlineStr">
        <is>
          <t>Alignment Health Care</t>
        </is>
      </c>
      <c r="H147" s="6" t="inlineStr">
        <is>
          <t>Alignment Health Care</t>
        </is>
      </c>
      <c r="I147" s="6" t="inlineStr">
        <is>
          <t>No Payer</t>
        </is>
      </c>
      <c r="J147" s="6" t="inlineStr">
        <is>
          <t>99494</t>
        </is>
      </c>
      <c r="K147" s="4" t="n"/>
      <c r="L147" s="5">
        <f>IF($M147="","",$M147-TODAY())</f>
        <v/>
      </c>
      <c r="M147" s="7" t="n"/>
      <c r="N147" s="6" t="n"/>
      <c r="O147" s="6" t="inlineStr">
        <is>
          <t>Not on reference list</t>
        </is>
      </c>
      <c r="P147" s="6" t="n"/>
      <c r="Q147" s="6" t="n"/>
      <c r="R147" s="6" t="n"/>
      <c r="S147" s="5" t="n">
        <v>1</v>
      </c>
      <c r="T147" s="8" t="n">
        <v>396.27</v>
      </c>
      <c r="U147" s="8" t="n">
        <v>0</v>
      </c>
      <c r="V147" s="8" t="n">
        <v>0</v>
      </c>
      <c r="W147" s="6" t="n"/>
      <c r="X147" s="8" t="n">
        <v>396.27</v>
      </c>
      <c r="Y147" s="5" t="n">
        <v>44</v>
      </c>
      <c r="Z147" s="6" t="inlineStr">
        <is>
          <t>F4320</t>
        </is>
      </c>
      <c r="AA147" s="6" t="n"/>
      <c r="AB147" s="6" t="n"/>
      <c r="AC147" s="6" t="n"/>
      <c r="AD147" s="5" t="n"/>
      <c r="AE147" s="6" t="inlineStr">
        <is>
          <t>O'NEIL, ROY</t>
        </is>
      </c>
      <c r="AF147" s="6" t="inlineStr">
        <is>
          <t>ASAP - Avondale</t>
        </is>
      </c>
      <c r="AG147" s="6" t="inlineStr">
        <is>
          <t>07/14/2026</t>
        </is>
      </c>
      <c r="AH147" s="6" t="inlineStr">
        <is>
          <t>BH</t>
        </is>
      </c>
      <c r="AI147" s="9" t="inlineStr">
        <is>
          <t>No timely filing limit on file for this payer - confirm the limit from the contract or provider manual before working this claim.</t>
        </is>
      </c>
      <c r="AJ147" s="5" t="n">
        <v>820</v>
      </c>
    </row>
    <row r="148">
      <c r="A148" s="2" t="n"/>
      <c r="B148" s="3" t="n"/>
      <c r="C148" s="4" t="n"/>
      <c r="D148" s="5" t="n">
        <v>563421228</v>
      </c>
      <c r="E148" s="6" t="inlineStr">
        <is>
          <t>HF561201154</t>
        </is>
      </c>
      <c r="F148" s="6" t="inlineStr">
        <is>
          <t>06/25/2026</t>
        </is>
      </c>
      <c r="G148" s="6" t="inlineStr">
        <is>
          <t>Alignment Health Care</t>
        </is>
      </c>
      <c r="H148" s="6" t="inlineStr">
        <is>
          <t>Alignment Health Care</t>
        </is>
      </c>
      <c r="I148" s="6" t="inlineStr">
        <is>
          <t>No Payer</t>
        </is>
      </c>
      <c r="J148" s="6" t="inlineStr">
        <is>
          <t>99492</t>
        </is>
      </c>
      <c r="K148" s="4" t="n"/>
      <c r="L148" s="5">
        <f>IF($M148="","",$M148-TODAY())</f>
        <v/>
      </c>
      <c r="M148" s="7" t="n"/>
      <c r="N148" s="6" t="n"/>
      <c r="O148" s="6" t="inlineStr">
        <is>
          <t>Not on reference list</t>
        </is>
      </c>
      <c r="P148" s="6" t="n"/>
      <c r="Q148" s="6" t="n"/>
      <c r="R148" s="6" t="n"/>
      <c r="S148" s="5" t="n">
        <v>1</v>
      </c>
      <c r="T148" s="8" t="n">
        <v>1029.98</v>
      </c>
      <c r="U148" s="8" t="n">
        <v>0</v>
      </c>
      <c r="V148" s="8" t="n">
        <v>0</v>
      </c>
      <c r="W148" s="6" t="n"/>
      <c r="X148" s="8" t="n">
        <v>1029.98</v>
      </c>
      <c r="Y148" s="5" t="n">
        <v>44</v>
      </c>
      <c r="Z148" s="6" t="inlineStr">
        <is>
          <t>F4320</t>
        </is>
      </c>
      <c r="AA148" s="6" t="n"/>
      <c r="AB148" s="6" t="n"/>
      <c r="AC148" s="6" t="n"/>
      <c r="AD148" s="5" t="n"/>
      <c r="AE148" s="6" t="inlineStr">
        <is>
          <t>O'NEIL, ROY</t>
        </is>
      </c>
      <c r="AF148" s="6" t="inlineStr">
        <is>
          <t>ASAP - Avondale</t>
        </is>
      </c>
      <c r="AG148" s="6" t="inlineStr">
        <is>
          <t>07/14/2026</t>
        </is>
      </c>
      <c r="AH148" s="6" t="inlineStr">
        <is>
          <t>BH</t>
        </is>
      </c>
      <c r="AI148" s="9" t="inlineStr">
        <is>
          <t>No timely filing limit on file for this payer - confirm the limit from the contract or provider manual before working this claim.</t>
        </is>
      </c>
      <c r="AJ148" s="5" t="n">
        <v>822</v>
      </c>
    </row>
    <row r="149">
      <c r="A149" s="2" t="n"/>
      <c r="B149" s="3" t="n"/>
      <c r="C149" s="4" t="n"/>
      <c r="D149" s="5" t="n">
        <v>563431840</v>
      </c>
      <c r="E149" s="6" t="inlineStr">
        <is>
          <t>HF545973710</t>
        </is>
      </c>
      <c r="F149" s="6" t="inlineStr">
        <is>
          <t>06/25/2026</t>
        </is>
      </c>
      <c r="G149" s="6" t="inlineStr">
        <is>
          <t>AARP MedicareComplete (SecureHorizons &amp; Oxford Network)</t>
        </is>
      </c>
      <c r="H149" s="6" t="inlineStr">
        <is>
          <t>AARP MedicareComplete (SecureHorizons &amp; Oxford Network)</t>
        </is>
      </c>
      <c r="I149" s="6" t="inlineStr">
        <is>
          <t>No Payer</t>
        </is>
      </c>
      <c r="J149" s="6" t="inlineStr">
        <is>
          <t>99494</t>
        </is>
      </c>
      <c r="K149" s="4" t="n"/>
      <c r="L149" s="5">
        <f>IF($M149="","",$M149-TODAY())</f>
        <v/>
      </c>
      <c r="M149" s="7" t="n"/>
      <c r="N149" s="6" t="n"/>
      <c r="O149" s="6" t="inlineStr">
        <is>
          <t>AARP MA CHOICE / MEDICARE COMPLETE</t>
        </is>
      </c>
      <c r="P149" s="6" t="n"/>
      <c r="Q149" s="6" t="n"/>
      <c r="R149" s="6" t="n"/>
      <c r="S149" s="5" t="n">
        <v>1</v>
      </c>
      <c r="T149" s="8" t="n">
        <v>396.27</v>
      </c>
      <c r="U149" s="8" t="n">
        <v>0</v>
      </c>
      <c r="V149" s="8" t="n">
        <v>0</v>
      </c>
      <c r="W149" s="6" t="n"/>
      <c r="X149" s="8" t="n">
        <v>396.27</v>
      </c>
      <c r="Y149" s="5" t="n">
        <v>44</v>
      </c>
      <c r="Z149" s="6" t="inlineStr">
        <is>
          <t>F4323</t>
        </is>
      </c>
      <c r="AA149" s="6" t="n"/>
      <c r="AB149" s="6" t="n"/>
      <c r="AC149" s="6" t="n"/>
      <c r="AD149" s="5" t="n"/>
      <c r="AE149" s="6" t="inlineStr">
        <is>
          <t>KRAUSE, JEFFREY</t>
        </is>
      </c>
      <c r="AF149" s="6" t="inlineStr">
        <is>
          <t>ASAP - DEER VALLEY</t>
        </is>
      </c>
      <c r="AG149" s="6" t="inlineStr">
        <is>
          <t>07/14/2026</t>
        </is>
      </c>
      <c r="AH149" s="6" t="inlineStr">
        <is>
          <t>BH</t>
        </is>
      </c>
      <c r="AI149" s="9" t="n"/>
      <c r="AJ149" s="5" t="n">
        <v>967</v>
      </c>
    </row>
    <row r="150">
      <c r="A150" s="2" t="n"/>
      <c r="B150" s="3" t="n"/>
      <c r="C150" s="4" t="n"/>
      <c r="D150" s="5" t="n">
        <v>563431840</v>
      </c>
      <c r="E150" s="6" t="inlineStr">
        <is>
          <t>HF545973710</t>
        </is>
      </c>
      <c r="F150" s="6" t="inlineStr">
        <is>
          <t>06/25/2026</t>
        </is>
      </c>
      <c r="G150" s="6" t="inlineStr">
        <is>
          <t>AARP MedicareComplete (SecureHorizons &amp; Oxford Network)</t>
        </is>
      </c>
      <c r="H150" s="6" t="inlineStr">
        <is>
          <t>AARP MedicareComplete (SecureHorizons &amp; Oxford Network)</t>
        </is>
      </c>
      <c r="I150" s="6" t="inlineStr">
        <is>
          <t>No Payer</t>
        </is>
      </c>
      <c r="J150" s="6" t="inlineStr">
        <is>
          <t>99492</t>
        </is>
      </c>
      <c r="K150" s="4" t="n"/>
      <c r="L150" s="5">
        <f>IF($M150="","",$M150-TODAY())</f>
        <v/>
      </c>
      <c r="M150" s="7" t="n"/>
      <c r="N150" s="6" t="n"/>
      <c r="O150" s="6" t="inlineStr">
        <is>
          <t>AARP MA CHOICE / MEDICARE COMPLETE</t>
        </is>
      </c>
      <c r="P150" s="6" t="n"/>
      <c r="Q150" s="6" t="n"/>
      <c r="R150" s="6" t="n"/>
      <c r="S150" s="5" t="n">
        <v>1</v>
      </c>
      <c r="T150" s="8" t="n">
        <v>1029.98</v>
      </c>
      <c r="U150" s="8" t="n">
        <v>0</v>
      </c>
      <c r="V150" s="8" t="n">
        <v>0</v>
      </c>
      <c r="W150" s="6" t="n"/>
      <c r="X150" s="8" t="n">
        <v>1029.98</v>
      </c>
      <c r="Y150" s="5" t="n">
        <v>44</v>
      </c>
      <c r="Z150" s="6" t="inlineStr">
        <is>
          <t>F4323</t>
        </is>
      </c>
      <c r="AA150" s="6" t="n"/>
      <c r="AB150" s="6" t="n"/>
      <c r="AC150" s="6" t="n"/>
      <c r="AD150" s="5" t="n"/>
      <c r="AE150" s="6" t="inlineStr">
        <is>
          <t>KRAUSE, JEFFREY</t>
        </is>
      </c>
      <c r="AF150" s="6" t="inlineStr">
        <is>
          <t>ASAP - DEER VALLEY</t>
        </is>
      </c>
      <c r="AG150" s="6" t="inlineStr">
        <is>
          <t>07/14/2026</t>
        </is>
      </c>
      <c r="AH150" s="6" t="inlineStr">
        <is>
          <t>BH</t>
        </is>
      </c>
      <c r="AI150" s="9" t="n"/>
      <c r="AJ150" s="5" t="n">
        <v>968</v>
      </c>
    </row>
    <row r="151">
      <c r="A151" s="2" t="n"/>
      <c r="B151" s="3" t="n"/>
      <c r="C151" s="4" t="n"/>
      <c r="D151" s="5" t="n">
        <v>563470580</v>
      </c>
      <c r="E151" s="6" t="inlineStr">
        <is>
          <t>HF563174710</t>
        </is>
      </c>
      <c r="F151" s="6" t="inlineStr">
        <is>
          <t>06/25/2026</t>
        </is>
      </c>
      <c r="G151" s="6" t="inlineStr">
        <is>
          <t>Banner University Care Dual Advantage Plan</t>
        </is>
      </c>
      <c r="H151" s="6" t="inlineStr">
        <is>
          <t>Banner University Care Dual Advantage Plan</t>
        </is>
      </c>
      <c r="I151" s="6" t="inlineStr">
        <is>
          <t>No Payer</t>
        </is>
      </c>
      <c r="J151" s="6" t="inlineStr">
        <is>
          <t>99484</t>
        </is>
      </c>
      <c r="K151" s="4" t="n"/>
      <c r="L151" s="5">
        <f>IF($M151="","",$M151-TODAY())</f>
        <v/>
      </c>
      <c r="M151" s="7" t="n"/>
      <c r="N151" s="6" t="n"/>
      <c r="O151" s="6" t="inlineStr">
        <is>
          <t>Not on reference list</t>
        </is>
      </c>
      <c r="P151" s="6" t="n"/>
      <c r="Q151" s="6" t="n"/>
      <c r="R151" s="6" t="n"/>
      <c r="S151" s="5" t="n">
        <v>1</v>
      </c>
      <c r="T151" s="8" t="n">
        <v>294.42</v>
      </c>
      <c r="U151" s="8" t="n">
        <v>0</v>
      </c>
      <c r="V151" s="8" t="n">
        <v>0</v>
      </c>
      <c r="W151" s="6" t="n"/>
      <c r="X151" s="8" t="n">
        <v>294.42</v>
      </c>
      <c r="Y151" s="5" t="n">
        <v>44</v>
      </c>
      <c r="Z151" s="6" t="inlineStr">
        <is>
          <t>Z79891</t>
        </is>
      </c>
      <c r="AA151" s="6" t="inlineStr">
        <is>
          <t>Z1331</t>
        </is>
      </c>
      <c r="AB151" s="6" t="n"/>
      <c r="AC151" s="6" t="n"/>
      <c r="AD151" s="5" t="n"/>
      <c r="AE151" s="6" t="inlineStr">
        <is>
          <t>WILSON, JARED</t>
        </is>
      </c>
      <c r="AF151" s="6" t="inlineStr">
        <is>
          <t>ASAP - Tucson</t>
        </is>
      </c>
      <c r="AG151" s="6" t="inlineStr">
        <is>
          <t>07/31/2026</t>
        </is>
      </c>
      <c r="AH151" s="6" t="inlineStr">
        <is>
          <t>BH</t>
        </is>
      </c>
      <c r="AI151" s="9" t="inlineStr">
        <is>
          <t>No timely filing limit on file for this payer - confirm the limit from the contract or provider manual before working this claim.</t>
        </is>
      </c>
      <c r="AJ151" s="5" t="n">
        <v>595</v>
      </c>
    </row>
  </sheetData>
  <autoFilter ref="A1:AJ151"/>
  <conditionalFormatting sqref="L2:O15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564111540</v>
      </c>
      <c r="E2" s="6" t="inlineStr">
        <is>
          <t>HF557656306</t>
        </is>
      </c>
      <c r="F2" s="6" t="inlineStr">
        <is>
          <t>06/26/2026</t>
        </is>
      </c>
      <c r="G2" s="6" t="inlineStr">
        <is>
          <t>Devoted Health Plan</t>
        </is>
      </c>
      <c r="H2" s="6" t="inlineStr">
        <is>
          <t>Devoted Health Plan</t>
        </is>
      </c>
      <c r="I2" s="6" t="inlineStr">
        <is>
          <t>Tricare for Life (All Regions)</t>
        </is>
      </c>
      <c r="J2" s="6" t="inlineStr">
        <is>
          <t>A6023</t>
        </is>
      </c>
      <c r="K2" s="4" t="n"/>
      <c r="L2" s="5">
        <f>IF($M2="","",$M2-TODAY())</f>
        <v/>
      </c>
      <c r="M2" s="7" t="n">
        <v>46259</v>
      </c>
      <c r="N2" s="6" t="inlineStr">
        <is>
          <t>60 days</t>
        </is>
      </c>
      <c r="O2" s="6" t="inlineStr">
        <is>
          <t>DEVOTED</t>
        </is>
      </c>
      <c r="P2" s="6" t="inlineStr">
        <is>
          <t>A1</t>
        </is>
      </c>
      <c r="Q2" s="6" t="n"/>
      <c r="R2" s="6" t="n"/>
      <c r="S2" s="5" t="n">
        <v>20</v>
      </c>
      <c r="T2" s="8" t="n">
        <v>36353.8</v>
      </c>
      <c r="U2" s="8" t="n">
        <v>0</v>
      </c>
      <c r="V2" s="8" t="n">
        <v>0</v>
      </c>
      <c r="W2" s="6" t="inlineStr">
        <is>
          <t>07/08/2026</t>
        </is>
      </c>
      <c r="X2" s="8" t="n">
        <v>36353.8</v>
      </c>
      <c r="Y2" s="5" t="n">
        <v>43</v>
      </c>
      <c r="Z2" s="6" t="inlineStr">
        <is>
          <t>G894</t>
        </is>
      </c>
      <c r="AA2" s="6" t="inlineStr">
        <is>
          <t>M48062</t>
        </is>
      </c>
      <c r="AB2" s="6" t="n"/>
      <c r="AC2" s="6" t="n"/>
      <c r="AD2" s="5" t="n"/>
      <c r="AE2" s="6" t="inlineStr">
        <is>
          <t>OROC, RENEE</t>
        </is>
      </c>
      <c r="AF2" s="6" t="inlineStr">
        <is>
          <t>ASAP - Mesa</t>
        </is>
      </c>
      <c r="AG2" s="6" t="inlineStr">
        <is>
          <t>07/02/2026</t>
        </is>
      </c>
      <c r="AH2" s="6" t="inlineStr">
        <is>
          <t>DME</t>
        </is>
      </c>
      <c r="AI2" s="9" t="n"/>
      <c r="AJ2" s="5" t="n">
        <v>771</v>
      </c>
    </row>
    <row r="3">
      <c r="A3" s="2" t="n"/>
      <c r="B3" s="3" t="n"/>
      <c r="C3" s="4" t="n"/>
      <c r="D3" s="5" t="n">
        <v>562162337</v>
      </c>
      <c r="E3" s="6" t="inlineStr">
        <is>
          <t>HF438667754</t>
        </is>
      </c>
      <c r="F3" s="6" t="inlineStr">
        <is>
          <t>06/01/2026</t>
        </is>
      </c>
      <c r="G3" s="6" t="inlineStr">
        <is>
          <t>United Healthcare</t>
        </is>
      </c>
      <c r="H3" s="6" t="inlineStr">
        <is>
          <t>United Healthcare</t>
        </is>
      </c>
      <c r="I3" s="6" t="inlineStr">
        <is>
          <t>No Payer</t>
        </is>
      </c>
      <c r="J3" s="6" t="inlineStr">
        <is>
          <t>A6010</t>
        </is>
      </c>
      <c r="K3" s="4" t="n"/>
      <c r="L3" s="5">
        <f>IF($M3="","",$M3-TODAY())</f>
        <v/>
      </c>
      <c r="M3" s="7" t="n">
        <v>46264</v>
      </c>
      <c r="N3" s="6" t="inlineStr">
        <is>
          <t>90 days</t>
        </is>
      </c>
      <c r="O3" s="6" t="inlineStr">
        <is>
          <t>UHC COMMERCIAL</t>
        </is>
      </c>
      <c r="P3" s="6" t="inlineStr">
        <is>
          <t>A1</t>
        </is>
      </c>
      <c r="Q3" s="6" t="n"/>
      <c r="R3" s="6" t="n"/>
      <c r="S3" s="5" t="n">
        <v>20</v>
      </c>
      <c r="T3" s="8" t="n">
        <v>5916.4</v>
      </c>
      <c r="U3" s="8" t="n">
        <v>0</v>
      </c>
      <c r="V3" s="8" t="n">
        <v>0</v>
      </c>
      <c r="W3" s="6" t="inlineStr">
        <is>
          <t>07/09/2026</t>
        </is>
      </c>
      <c r="X3" s="8" t="n">
        <v>5916.4</v>
      </c>
      <c r="Y3" s="5" t="n">
        <v>68</v>
      </c>
      <c r="Z3" s="6" t="inlineStr">
        <is>
          <t>G894</t>
        </is>
      </c>
      <c r="AA3" s="6" t="n"/>
      <c r="AB3" s="6" t="n"/>
      <c r="AC3" s="6" t="n"/>
      <c r="AD3" s="5" t="n"/>
      <c r="AE3" s="6" t="inlineStr">
        <is>
          <t>KOMINSKY, STEPHEN</t>
        </is>
      </c>
      <c r="AF3" s="6" t="inlineStr">
        <is>
          <t>ASAP - DEER VALLEY</t>
        </is>
      </c>
      <c r="AG3" s="6" t="inlineStr">
        <is>
          <t>06/12/2026</t>
        </is>
      </c>
      <c r="AH3" s="6" t="inlineStr">
        <is>
          <t>DME</t>
        </is>
      </c>
      <c r="AI3" s="9" t="n"/>
      <c r="AJ3" s="5" t="n">
        <v>735</v>
      </c>
    </row>
    <row r="4">
      <c r="A4" s="2" t="n"/>
      <c r="B4" s="3" t="n"/>
      <c r="C4" s="4" t="n"/>
      <c r="D4" s="5" t="n">
        <v>563985783</v>
      </c>
      <c r="E4" s="6" t="inlineStr">
        <is>
          <t>HF488155930</t>
        </is>
      </c>
      <c r="F4" s="6" t="inlineStr">
        <is>
          <t>06/01/2026</t>
        </is>
      </c>
      <c r="G4" s="6" t="inlineStr">
        <is>
          <t>Optum Care Medical Network of Arizona, Utah, &amp; Washington (LifePrint)</t>
        </is>
      </c>
      <c r="H4" s="6" t="inlineStr">
        <is>
          <t>Optum Care Medical Network of Arizona, Utah, &amp; Washington (LifePrint)</t>
        </is>
      </c>
      <c r="I4" s="6" t="inlineStr">
        <is>
          <t>No Payer</t>
        </is>
      </c>
      <c r="J4" s="6" t="inlineStr">
        <is>
          <t>A6010</t>
        </is>
      </c>
      <c r="K4" s="4" t="n"/>
      <c r="L4" s="5">
        <f>IF($M4="","",$M4-TODAY())</f>
        <v/>
      </c>
      <c r="M4" s="7" t="n">
        <v>46264</v>
      </c>
      <c r="N4" s="6" t="inlineStr">
        <is>
          <t>90 days</t>
        </is>
      </c>
      <c r="O4" s="6" t="inlineStr">
        <is>
          <t>OPTUM</t>
        </is>
      </c>
      <c r="P4" s="6" t="inlineStr">
        <is>
          <t>A1</t>
        </is>
      </c>
      <c r="Q4" s="6" t="n"/>
      <c r="R4" s="6" t="n"/>
      <c r="S4" s="5" t="n">
        <v>20</v>
      </c>
      <c r="T4" s="8" t="n">
        <v>5916.4</v>
      </c>
      <c r="U4" s="8" t="n">
        <v>0</v>
      </c>
      <c r="V4" s="8" t="n">
        <v>0</v>
      </c>
      <c r="W4" s="6" t="inlineStr">
        <is>
          <t>07/21/2026</t>
        </is>
      </c>
      <c r="X4" s="8" t="n">
        <v>5916.4</v>
      </c>
      <c r="Y4" s="5" t="n">
        <v>68</v>
      </c>
      <c r="Z4" s="6" t="inlineStr">
        <is>
          <t>G894</t>
        </is>
      </c>
      <c r="AA4" s="6" t="inlineStr">
        <is>
          <t>M461</t>
        </is>
      </c>
      <c r="AB4" s="6" t="n"/>
      <c r="AC4" s="6" t="n"/>
      <c r="AD4" s="5" t="n"/>
      <c r="AE4" s="6" t="inlineStr">
        <is>
          <t>WONG, KELLY</t>
        </is>
      </c>
      <c r="AF4" s="6" t="inlineStr">
        <is>
          <t>ASAP - Mesa</t>
        </is>
      </c>
      <c r="AG4" s="6" t="inlineStr">
        <is>
          <t>06/12/2026</t>
        </is>
      </c>
      <c r="AH4" s="6" t="inlineStr">
        <is>
          <t>DME</t>
        </is>
      </c>
      <c r="AI4" s="9" t="n"/>
      <c r="AJ4" s="5" t="n">
        <v>329</v>
      </c>
    </row>
    <row r="5">
      <c r="A5" s="2" t="n"/>
      <c r="B5" s="3" t="n"/>
      <c r="C5" s="4" t="n"/>
      <c r="D5" s="5" t="n">
        <v>562140119</v>
      </c>
      <c r="E5" s="6" t="inlineStr">
        <is>
          <t>HF557730068</t>
        </is>
      </c>
      <c r="F5" s="6" t="inlineStr">
        <is>
          <t>06/02/2026</t>
        </is>
      </c>
      <c r="G5" s="6" t="inlineStr">
        <is>
          <t>Optum Care Medical Network of Arizona, Utah, &amp; Washington (LifePrint)</t>
        </is>
      </c>
      <c r="H5" s="6" t="inlineStr">
        <is>
          <t>Optum Care Medical Network of Arizona, Utah, &amp; Washington (LifePrint)</t>
        </is>
      </c>
      <c r="I5" s="6" t="inlineStr">
        <is>
          <t>No Payer</t>
        </is>
      </c>
      <c r="J5" s="6" t="inlineStr">
        <is>
          <t>A6010</t>
        </is>
      </c>
      <c r="K5" s="4" t="n"/>
      <c r="L5" s="5">
        <f>IF($M5="","",$M5-TODAY())</f>
        <v/>
      </c>
      <c r="M5" s="7" t="n">
        <v>46265</v>
      </c>
      <c r="N5" s="6" t="inlineStr">
        <is>
          <t>90 days</t>
        </is>
      </c>
      <c r="O5" s="6" t="inlineStr">
        <is>
          <t>OPTUM</t>
        </is>
      </c>
      <c r="P5" s="6" t="inlineStr">
        <is>
          <t>A2</t>
        </is>
      </c>
      <c r="Q5" s="6" t="n"/>
      <c r="R5" s="6" t="n"/>
      <c r="S5" s="5" t="n">
        <v>40</v>
      </c>
      <c r="T5" s="8" t="n">
        <v>11832.8</v>
      </c>
      <c r="U5" s="8" t="n">
        <v>0</v>
      </c>
      <c r="V5" s="8" t="n">
        <v>0</v>
      </c>
      <c r="W5" s="6" t="inlineStr">
        <is>
          <t>07/09/2026</t>
        </is>
      </c>
      <c r="X5" s="8" t="n">
        <v>11832.8</v>
      </c>
      <c r="Y5" s="5" t="n">
        <v>67</v>
      </c>
      <c r="Z5" s="6" t="inlineStr">
        <is>
          <t>G894</t>
        </is>
      </c>
      <c r="AA5" s="6" t="inlineStr">
        <is>
          <t>M5450</t>
        </is>
      </c>
      <c r="AB5" s="6" t="n"/>
      <c r="AC5" s="6" t="n"/>
      <c r="AD5" s="5" t="n"/>
      <c r="AE5" s="6" t="inlineStr">
        <is>
          <t>CURRIE, DAVID</t>
        </is>
      </c>
      <c r="AF5" s="6" t="inlineStr">
        <is>
          <t>ASAP - Gilbert</t>
        </is>
      </c>
      <c r="AG5" s="6" t="inlineStr">
        <is>
          <t>06/12/2026</t>
        </is>
      </c>
      <c r="AH5" s="6" t="inlineStr">
        <is>
          <t>DME</t>
        </is>
      </c>
      <c r="AI5" s="9" t="n"/>
      <c r="AJ5" s="5" t="n">
        <v>849</v>
      </c>
    </row>
    <row r="6">
      <c r="A6" s="2" t="n"/>
      <c r="B6" s="3" t="n"/>
      <c r="C6" s="4" t="n"/>
      <c r="D6" s="5" t="n">
        <v>564662813</v>
      </c>
      <c r="E6" s="6" t="inlineStr">
        <is>
          <t>HF547910822</t>
        </is>
      </c>
      <c r="F6" s="6" t="inlineStr">
        <is>
          <t>06/05/2026</t>
        </is>
      </c>
      <c r="G6" s="6" t="inlineStr">
        <is>
          <t>HealthSpring Medicare Advantage</t>
        </is>
      </c>
      <c r="H6" s="6" t="inlineStr">
        <is>
          <t>HealthSpring Medicare Advantage</t>
        </is>
      </c>
      <c r="I6" s="6" t="inlineStr">
        <is>
          <t>No Payer</t>
        </is>
      </c>
      <c r="J6" s="6" t="inlineStr">
        <is>
          <t>A6010</t>
        </is>
      </c>
      <c r="K6" s="4" t="n"/>
      <c r="L6" s="5">
        <f>IF($M6="","",$M6-TODAY())</f>
        <v/>
      </c>
      <c r="M6" s="7" t="n">
        <v>46268</v>
      </c>
      <c r="N6" s="6" t="inlineStr">
        <is>
          <t>90 days</t>
        </is>
      </c>
      <c r="O6" s="6" t="inlineStr">
        <is>
          <t>CIGNA / CIGNA MEDICARE</t>
        </is>
      </c>
      <c r="P6" s="6" t="inlineStr">
        <is>
          <t>A1</t>
        </is>
      </c>
      <c r="Q6" s="6" t="n"/>
      <c r="R6" s="6" t="n"/>
      <c r="S6" s="5" t="n">
        <v>20</v>
      </c>
      <c r="T6" s="8" t="n">
        <v>5916.4</v>
      </c>
      <c r="U6" s="8" t="n">
        <v>0</v>
      </c>
      <c r="V6" s="8" t="n">
        <v>0</v>
      </c>
      <c r="W6" s="6" t="n"/>
      <c r="X6" s="8" t="n">
        <v>5916.4</v>
      </c>
      <c r="Y6" s="5" t="n">
        <v>64</v>
      </c>
      <c r="Z6" s="6" t="inlineStr">
        <is>
          <t>G894</t>
        </is>
      </c>
      <c r="AA6" s="6" t="inlineStr">
        <is>
          <t>M48062</t>
        </is>
      </c>
      <c r="AB6" s="6" t="n"/>
      <c r="AC6" s="6" t="n"/>
      <c r="AD6" s="5" t="n"/>
      <c r="AE6" s="6" t="inlineStr">
        <is>
          <t>OROC, RENEE</t>
        </is>
      </c>
      <c r="AF6" s="6" t="inlineStr">
        <is>
          <t>ASAP - Mesa</t>
        </is>
      </c>
      <c r="AG6" s="6" t="inlineStr">
        <is>
          <t>07/08/2026</t>
        </is>
      </c>
      <c r="AH6" s="6" t="inlineStr">
        <is>
          <t>DME</t>
        </is>
      </c>
      <c r="AI6" s="9" t="n"/>
      <c r="AJ6" s="5" t="n">
        <v>1058</v>
      </c>
    </row>
    <row r="7">
      <c r="A7" s="2" t="n"/>
      <c r="B7" s="3" t="n"/>
      <c r="C7" s="4" t="n"/>
      <c r="D7" s="5" t="n">
        <v>562698907</v>
      </c>
      <c r="E7" s="6" t="inlineStr">
        <is>
          <t>HF506477391</t>
        </is>
      </c>
      <c r="F7" s="6" t="inlineStr">
        <is>
          <t>06/09/2026</t>
        </is>
      </c>
      <c r="G7" s="6" t="inlineStr">
        <is>
          <t>UnitedHealthcare Community Plan / Arizona Long Term Care</t>
        </is>
      </c>
      <c r="H7" s="6" t="inlineStr">
        <is>
          <t>UnitedHealthcare Community Plan / Arizona Long Term Care</t>
        </is>
      </c>
      <c r="I7" s="6" t="inlineStr">
        <is>
          <t>No Payer</t>
        </is>
      </c>
      <c r="J7" s="6" t="inlineStr">
        <is>
          <t>L0650</t>
        </is>
      </c>
      <c r="K7" s="4" t="n"/>
      <c r="L7" s="5">
        <f>IF($M7="","",$M7-TODAY())</f>
        <v/>
      </c>
      <c r="M7" s="7" t="n">
        <v>46272</v>
      </c>
      <c r="N7" s="6" t="inlineStr">
        <is>
          <t>90 days</t>
        </is>
      </c>
      <c r="O7" s="6" t="inlineStr">
        <is>
          <t>UHC COMMUNITY</t>
        </is>
      </c>
      <c r="P7" s="6" t="inlineStr">
        <is>
          <t>NU</t>
        </is>
      </c>
      <c r="Q7" s="6" t="n"/>
      <c r="R7" s="6" t="n"/>
      <c r="S7" s="5" t="n">
        <v>1</v>
      </c>
      <c r="T7" s="8" t="n">
        <v>6392.96</v>
      </c>
      <c r="U7" s="8" t="n">
        <v>0</v>
      </c>
      <c r="V7" s="8" t="n">
        <v>0</v>
      </c>
      <c r="W7" s="6" t="inlineStr">
        <is>
          <t>06/29/2026</t>
        </is>
      </c>
      <c r="X7" s="8" t="n">
        <v>6392.96</v>
      </c>
      <c r="Y7" s="5" t="n">
        <v>60</v>
      </c>
      <c r="Z7" s="6" t="inlineStr">
        <is>
          <t>M5416</t>
        </is>
      </c>
      <c r="AA7" s="6" t="inlineStr">
        <is>
          <t>M47816</t>
        </is>
      </c>
      <c r="AB7" s="6" t="n"/>
      <c r="AC7" s="6" t="n"/>
      <c r="AD7" s="5" t="n"/>
      <c r="AE7" s="6" t="inlineStr">
        <is>
          <t>HOLLISTER, ALICIA</t>
        </is>
      </c>
      <c r="AF7" s="6" t="inlineStr">
        <is>
          <t>ASAP - DEER VALLEY</t>
        </is>
      </c>
      <c r="AG7" s="6" t="inlineStr">
        <is>
          <t>06/18/2026</t>
        </is>
      </c>
      <c r="AH7" s="6" t="inlineStr">
        <is>
          <t>DME</t>
        </is>
      </c>
      <c r="AI7" s="9" t="n"/>
      <c r="AJ7" s="5" t="n">
        <v>804</v>
      </c>
    </row>
    <row r="8">
      <c r="A8" s="2" t="n"/>
      <c r="B8" s="3" t="n"/>
      <c r="C8" s="4" t="n"/>
      <c r="D8" s="5" t="n">
        <v>562572005</v>
      </c>
      <c r="E8" s="6" t="inlineStr">
        <is>
          <t>HF537490920</t>
        </is>
      </c>
      <c r="F8" s="6" t="inlineStr">
        <is>
          <t>06/12/2026</t>
        </is>
      </c>
      <c r="G8" s="6" t="inlineStr">
        <is>
          <t>Blue Cross Blue Shield of Arizona (BCBS AZ)</t>
        </is>
      </c>
      <c r="H8" s="6" t="inlineStr">
        <is>
          <t>Blue Cross Blue Shield of Arizona (BCBS AZ)</t>
        </is>
      </c>
      <c r="I8" s="6" t="inlineStr">
        <is>
          <t>No Payer</t>
        </is>
      </c>
      <c r="J8" s="6" t="inlineStr">
        <is>
          <t>A6010</t>
        </is>
      </c>
      <c r="K8" s="4" t="n"/>
      <c r="L8" s="5">
        <f>IF($M8="","",$M8-TODAY())</f>
        <v/>
      </c>
      <c r="M8" s="7" t="n">
        <v>46275</v>
      </c>
      <c r="N8" s="6" t="inlineStr">
        <is>
          <t>90 days</t>
        </is>
      </c>
      <c r="O8" s="6" t="inlineStr">
        <is>
          <t>BCBS</t>
        </is>
      </c>
      <c r="P8" s="6" t="inlineStr">
        <is>
          <t>A1</t>
        </is>
      </c>
      <c r="Q8" s="6" t="n"/>
      <c r="R8" s="6" t="n"/>
      <c r="S8" s="5" t="n">
        <v>20</v>
      </c>
      <c r="T8" s="8" t="n">
        <v>5916.4</v>
      </c>
      <c r="U8" s="8" t="n">
        <v>0</v>
      </c>
      <c r="V8" s="8" t="n">
        <v>0</v>
      </c>
      <c r="W8" s="6" t="inlineStr">
        <is>
          <t>07/01/2026</t>
        </is>
      </c>
      <c r="X8" s="8" t="n">
        <v>5916.4</v>
      </c>
      <c r="Y8" s="5" t="n">
        <v>57</v>
      </c>
      <c r="Z8" s="6" t="inlineStr">
        <is>
          <t>G894</t>
        </is>
      </c>
      <c r="AA8" s="6" t="n"/>
      <c r="AB8" s="6" t="n"/>
      <c r="AC8" s="6" t="n"/>
      <c r="AD8" s="5" t="n"/>
      <c r="AE8" s="6" t="inlineStr">
        <is>
          <t>TONDINI, JENISE</t>
        </is>
      </c>
      <c r="AF8" s="6" t="inlineStr">
        <is>
          <t>ASAP - Goodyear</t>
        </is>
      </c>
      <c r="AG8" s="6" t="inlineStr">
        <is>
          <t>06/17/2026</t>
        </is>
      </c>
      <c r="AH8" s="6" t="inlineStr">
        <is>
          <t>DME</t>
        </is>
      </c>
      <c r="AI8" s="9" t="inlineStr">
        <is>
          <t>BCBS AZ dropped from 365 to 90 days on 01/01/2026. All dates of service here are 2026, so 90 days applies.</t>
        </is>
      </c>
      <c r="AJ8" s="5" t="n">
        <v>850</v>
      </c>
    </row>
    <row r="9">
      <c r="A9" s="2" t="n"/>
      <c r="B9" s="3" t="n"/>
      <c r="C9" s="4" t="n"/>
      <c r="D9" s="5" t="n">
        <v>562729752</v>
      </c>
      <c r="E9" s="6" t="inlineStr">
        <is>
          <t>HF519300380</t>
        </is>
      </c>
      <c r="F9" s="6" t="inlineStr">
        <is>
          <t>06/16/2026</t>
        </is>
      </c>
      <c r="G9" s="6" t="inlineStr">
        <is>
          <t>UnitedHealthcare Community Plan / Arizona Long Term Care</t>
        </is>
      </c>
      <c r="H9" s="6" t="inlineStr">
        <is>
          <t>UnitedHealthcare Community Plan / Arizona Long Term Care</t>
        </is>
      </c>
      <c r="I9" s="6" t="inlineStr">
        <is>
          <t>No Payer</t>
        </is>
      </c>
      <c r="J9" s="6" t="inlineStr">
        <is>
          <t>A6010</t>
        </is>
      </c>
      <c r="K9" s="4" t="n"/>
      <c r="L9" s="5">
        <f>IF($M9="","",$M9-TODAY())</f>
        <v/>
      </c>
      <c r="M9" s="7" t="n">
        <v>46279</v>
      </c>
      <c r="N9" s="6" t="inlineStr">
        <is>
          <t>90 days</t>
        </is>
      </c>
      <c r="O9" s="6" t="inlineStr">
        <is>
          <t>UHC COMMUNITY</t>
        </is>
      </c>
      <c r="P9" s="6" t="inlineStr">
        <is>
          <t>A1</t>
        </is>
      </c>
      <c r="Q9" s="6" t="n"/>
      <c r="R9" s="6" t="n"/>
      <c r="S9" s="5" t="n">
        <v>10</v>
      </c>
      <c r="T9" s="8" t="n">
        <v>2958.2</v>
      </c>
      <c r="U9" s="8" t="n">
        <v>0</v>
      </c>
      <c r="V9" s="8" t="n">
        <v>0</v>
      </c>
      <c r="W9" s="6" t="inlineStr">
        <is>
          <t>06/29/2026</t>
        </is>
      </c>
      <c r="X9" s="8" t="n">
        <v>2958.2</v>
      </c>
      <c r="Y9" s="5" t="n">
        <v>53</v>
      </c>
      <c r="Z9" s="6" t="inlineStr">
        <is>
          <t>G894</t>
        </is>
      </c>
      <c r="AA9" s="6" t="n"/>
      <c r="AB9" s="6" t="n"/>
      <c r="AC9" s="6" t="n"/>
      <c r="AD9" s="5" t="n"/>
      <c r="AE9" s="6" t="inlineStr">
        <is>
          <t>HOLLISTER, ALICIA</t>
        </is>
      </c>
      <c r="AF9" s="6" t="inlineStr">
        <is>
          <t>ASAP - DEER VALLEY</t>
        </is>
      </c>
      <c r="AG9" s="6" t="inlineStr">
        <is>
          <t>06/18/2026</t>
        </is>
      </c>
      <c r="AH9" s="6" t="inlineStr">
        <is>
          <t>DME</t>
        </is>
      </c>
      <c r="AI9" s="9" t="n"/>
      <c r="AJ9" s="5" t="n">
        <v>753</v>
      </c>
    </row>
    <row r="10">
      <c r="A10" s="2" t="n"/>
      <c r="B10" s="3" t="n"/>
      <c r="C10" s="4" t="n"/>
      <c r="D10" s="5" t="n">
        <v>562710031</v>
      </c>
      <c r="E10" s="6" t="inlineStr">
        <is>
          <t>HF499093825</t>
        </is>
      </c>
      <c r="F10" s="6" t="inlineStr">
        <is>
          <t>06/17/2026</t>
        </is>
      </c>
      <c r="G10" s="6" t="inlineStr">
        <is>
          <t>HealthSpring Medicare Advantage</t>
        </is>
      </c>
      <c r="H10" s="6" t="inlineStr">
        <is>
          <t>HealthSpring Medicare Advantage</t>
        </is>
      </c>
      <c r="I10" s="6" t="inlineStr">
        <is>
          <t>No Payer</t>
        </is>
      </c>
      <c r="J10" s="6" t="inlineStr">
        <is>
          <t>L0648</t>
        </is>
      </c>
      <c r="K10" s="4" t="n"/>
      <c r="L10" s="5">
        <f>IF($M10="","",$M10-TODAY())</f>
        <v/>
      </c>
      <c r="M10" s="7" t="n">
        <v>46280</v>
      </c>
      <c r="N10" s="6" t="inlineStr">
        <is>
          <t>90 days</t>
        </is>
      </c>
      <c r="O10" s="6" t="inlineStr">
        <is>
          <t>CIGNA / CIGNA MEDICARE</t>
        </is>
      </c>
      <c r="P10" s="6" t="inlineStr">
        <is>
          <t>KX</t>
        </is>
      </c>
      <c r="Q10" s="6" t="n"/>
      <c r="R10" s="6" t="n"/>
      <c r="S10" s="5" t="n">
        <v>1</v>
      </c>
      <c r="T10" s="8" t="n">
        <v>5492.55</v>
      </c>
      <c r="U10" s="8" t="n">
        <v>0</v>
      </c>
      <c r="V10" s="8" t="n">
        <v>0</v>
      </c>
      <c r="W10" s="6" t="inlineStr">
        <is>
          <t>07/22/2026</t>
        </is>
      </c>
      <c r="X10" s="8" t="n">
        <v>5492.55</v>
      </c>
      <c r="Y10" s="5" t="n">
        <v>52</v>
      </c>
      <c r="Z10" s="6" t="inlineStr">
        <is>
          <t>M461</t>
        </is>
      </c>
      <c r="AA10" s="6" t="inlineStr">
        <is>
          <t>M47816</t>
        </is>
      </c>
      <c r="AB10" s="6" t="n"/>
      <c r="AC10" s="6" t="n"/>
      <c r="AD10" s="5" t="n"/>
      <c r="AE10" s="6" t="inlineStr">
        <is>
          <t>OROC, RENEE</t>
        </is>
      </c>
      <c r="AF10" s="6" t="inlineStr">
        <is>
          <t>ASAP - Mesa</t>
        </is>
      </c>
      <c r="AG10" s="6" t="inlineStr">
        <is>
          <t>06/18/2026</t>
        </is>
      </c>
      <c r="AH10" s="6" t="inlineStr">
        <is>
          <t>DME</t>
        </is>
      </c>
      <c r="AI10" s="9" t="n"/>
      <c r="AJ10" s="5" t="n">
        <v>871</v>
      </c>
    </row>
    <row r="11">
      <c r="A11" s="2" t="n"/>
      <c r="B11" s="3" t="n"/>
      <c r="C11" s="4" t="n"/>
      <c r="D11" s="5" t="n">
        <v>563171807</v>
      </c>
      <c r="E11" s="6" t="inlineStr">
        <is>
          <t>HF492208813</t>
        </is>
      </c>
      <c r="F11" s="6" t="inlineStr">
        <is>
          <t>06/18/2026</t>
        </is>
      </c>
      <c r="G11" s="6" t="inlineStr">
        <is>
          <t>Blue Cross Blue Shield of Arizona (BCBS AZ)</t>
        </is>
      </c>
      <c r="H11" s="6" t="inlineStr">
        <is>
          <t>Blue Cross Blue Shield of Arizona (BCBS AZ)</t>
        </is>
      </c>
      <c r="I11" s="6" t="inlineStr">
        <is>
          <t>Blue Cross Blue Shield of Arizona (BCBS AZ)</t>
        </is>
      </c>
      <c r="J11" s="6" t="inlineStr">
        <is>
          <t>A6010</t>
        </is>
      </c>
      <c r="K11" s="4" t="n"/>
      <c r="L11" s="5">
        <f>IF($M11="","",$M11-TODAY())</f>
        <v/>
      </c>
      <c r="M11" s="7" t="n">
        <v>46281</v>
      </c>
      <c r="N11" s="6" t="inlineStr">
        <is>
          <t>90 days</t>
        </is>
      </c>
      <c r="O11" s="6" t="inlineStr">
        <is>
          <t>BCBS</t>
        </is>
      </c>
      <c r="P11" s="6" t="inlineStr">
        <is>
          <t>A1</t>
        </is>
      </c>
      <c r="Q11" s="6" t="n"/>
      <c r="R11" s="6" t="n"/>
      <c r="S11" s="5" t="n">
        <v>10</v>
      </c>
      <c r="T11" s="8" t="n">
        <v>2958.2</v>
      </c>
      <c r="U11" s="8" t="n">
        <v>0</v>
      </c>
      <c r="V11" s="8" t="n">
        <v>0</v>
      </c>
      <c r="W11" s="6" t="n"/>
      <c r="X11" s="8" t="n">
        <v>2958.2</v>
      </c>
      <c r="Y11" s="5" t="n">
        <v>51</v>
      </c>
      <c r="Z11" s="6" t="inlineStr">
        <is>
          <t>G894</t>
        </is>
      </c>
      <c r="AA11" s="6" t="n"/>
      <c r="AB11" s="6" t="n"/>
      <c r="AC11" s="6" t="n"/>
      <c r="AD11" s="5" t="n"/>
      <c r="AE11" s="6" t="inlineStr">
        <is>
          <t>HOLLISTER, ALICIA</t>
        </is>
      </c>
      <c r="AF11" s="6" t="inlineStr">
        <is>
          <t>ASAP - DEER VALLEY</t>
        </is>
      </c>
      <c r="AG11" s="6" t="inlineStr">
        <is>
          <t>06/23/2026</t>
        </is>
      </c>
      <c r="AH11" s="6" t="inlineStr">
        <is>
          <t>DME</t>
        </is>
      </c>
      <c r="AI11" s="9" t="inlineStr">
        <is>
          <t>BCBS AZ dropped from 365 to 90 days on 01/01/2026. All dates of service here are 2026, so 90 days applies.</t>
        </is>
      </c>
      <c r="AJ11" s="5" t="n">
        <v>415</v>
      </c>
    </row>
    <row r="12">
      <c r="A12" s="2" t="n"/>
      <c r="B12" s="3" t="n"/>
      <c r="C12" s="4" t="n"/>
      <c r="D12" s="5" t="n">
        <v>563172458</v>
      </c>
      <c r="E12" s="6" t="inlineStr">
        <is>
          <t>HF331720981</t>
        </is>
      </c>
      <c r="F12" s="6" t="inlineStr">
        <is>
          <t>06/18/2026</t>
        </is>
      </c>
      <c r="G12" s="6" t="inlineStr">
        <is>
          <t>United Healthcare</t>
        </is>
      </c>
      <c r="H12" s="6" t="inlineStr">
        <is>
          <t>United Healthcare</t>
        </is>
      </c>
      <c r="I12" s="6" t="inlineStr">
        <is>
          <t>No Payer</t>
        </is>
      </c>
      <c r="J12" s="6" t="inlineStr">
        <is>
          <t>A6023</t>
        </is>
      </c>
      <c r="K12" s="4" t="n"/>
      <c r="L12" s="5">
        <f>IF($M12="","",$M12-TODAY())</f>
        <v/>
      </c>
      <c r="M12" s="7" t="n">
        <v>46281</v>
      </c>
      <c r="N12" s="6" t="inlineStr">
        <is>
          <t>90 days</t>
        </is>
      </c>
      <c r="O12" s="6" t="inlineStr">
        <is>
          <t>UHC COMMERCIAL</t>
        </is>
      </c>
      <c r="P12" s="6" t="inlineStr">
        <is>
          <t>A1</t>
        </is>
      </c>
      <c r="Q12" s="6" t="n"/>
      <c r="R12" s="6" t="n"/>
      <c r="S12" s="5" t="n">
        <v>10</v>
      </c>
      <c r="T12" s="8" t="n">
        <v>2958.2</v>
      </c>
      <c r="U12" s="8" t="n">
        <v>0</v>
      </c>
      <c r="V12" s="8" t="n">
        <v>0</v>
      </c>
      <c r="W12" s="6" t="n"/>
      <c r="X12" s="8" t="n">
        <v>2958.2</v>
      </c>
      <c r="Y12" s="5" t="n">
        <v>51</v>
      </c>
      <c r="Z12" s="6" t="inlineStr">
        <is>
          <t>G894</t>
        </is>
      </c>
      <c r="AA12" s="6" t="n"/>
      <c r="AB12" s="6" t="n"/>
      <c r="AC12" s="6" t="n"/>
      <c r="AD12" s="5" t="n"/>
      <c r="AE12" s="6" t="inlineStr">
        <is>
          <t>HOLLISTER, ALICIA</t>
        </is>
      </c>
      <c r="AF12" s="6" t="inlineStr">
        <is>
          <t>ASAP - DEER VALLEY</t>
        </is>
      </c>
      <c r="AG12" s="6" t="inlineStr">
        <is>
          <t>06/23/2026</t>
        </is>
      </c>
      <c r="AH12" s="6" t="inlineStr">
        <is>
          <t>DME</t>
        </is>
      </c>
      <c r="AI12" s="9" t="n"/>
      <c r="AJ12" s="5" t="n">
        <v>315</v>
      </c>
    </row>
    <row r="13">
      <c r="A13" s="2" t="n"/>
      <c r="B13" s="3" t="n"/>
      <c r="C13" s="4" t="n"/>
      <c r="D13" s="5" t="n">
        <v>563185113</v>
      </c>
      <c r="E13" s="6" t="inlineStr">
        <is>
          <t>HF361329895</t>
        </is>
      </c>
      <c r="F13" s="6" t="inlineStr">
        <is>
          <t>06/19/2026</t>
        </is>
      </c>
      <c r="G13" s="6" t="inlineStr">
        <is>
          <t>UHC Group Medicare Advantage</t>
        </is>
      </c>
      <c r="H13" s="6" t="inlineStr">
        <is>
          <t>UHC Group Medicare Advantage</t>
        </is>
      </c>
      <c r="I13" s="6" t="inlineStr">
        <is>
          <t>No Payer</t>
        </is>
      </c>
      <c r="J13" s="6" t="inlineStr">
        <is>
          <t>L0650</t>
        </is>
      </c>
      <c r="K13" s="4" t="n"/>
      <c r="L13" s="5">
        <f>IF($M13="","",$M13-TODAY())</f>
        <v/>
      </c>
      <c r="M13" s="7" t="n">
        <v>46282</v>
      </c>
      <c r="N13" s="6" t="inlineStr">
        <is>
          <t>90 days</t>
        </is>
      </c>
      <c r="O13" s="6" t="inlineStr">
        <is>
          <t>UHC MA</t>
        </is>
      </c>
      <c r="P13" s="6" t="inlineStr">
        <is>
          <t>NU</t>
        </is>
      </c>
      <c r="Q13" s="6" t="n"/>
      <c r="R13" s="6" t="n"/>
      <c r="S13" s="5" t="n">
        <v>1</v>
      </c>
      <c r="T13" s="8" t="n">
        <v>6392.96</v>
      </c>
      <c r="U13" s="8" t="n">
        <v>0</v>
      </c>
      <c r="V13" s="8" t="n">
        <v>0</v>
      </c>
      <c r="W13" s="6" t="n"/>
      <c r="X13" s="8" t="n">
        <v>6392.96</v>
      </c>
      <c r="Y13" s="5" t="n">
        <v>50</v>
      </c>
      <c r="Z13" s="6" t="inlineStr">
        <is>
          <t>M5416</t>
        </is>
      </c>
      <c r="AA13" s="6" t="inlineStr">
        <is>
          <t>M48062</t>
        </is>
      </c>
      <c r="AB13" s="6" t="n"/>
      <c r="AC13" s="6" t="n"/>
      <c r="AD13" s="5" t="n"/>
      <c r="AE13" s="6" t="inlineStr">
        <is>
          <t>DYDYK, ALEXANDER</t>
        </is>
      </c>
      <c r="AF13" s="6" t="inlineStr">
        <is>
          <t>ASAP - DEER VALLEY</t>
        </is>
      </c>
      <c r="AG13" s="6" t="inlineStr">
        <is>
          <t>06/23/2026</t>
        </is>
      </c>
      <c r="AH13" s="6" t="inlineStr">
        <is>
          <t>DME</t>
        </is>
      </c>
      <c r="AI13" s="9" t="n"/>
      <c r="AJ13" s="5" t="n">
        <v>306</v>
      </c>
    </row>
    <row r="14">
      <c r="A14" s="2" t="n"/>
      <c r="B14" s="3" t="n"/>
      <c r="C14" s="4" t="n"/>
      <c r="D14" s="5" t="n">
        <v>563159449</v>
      </c>
      <c r="E14" s="6" t="inlineStr">
        <is>
          <t>HF342712719</t>
        </is>
      </c>
      <c r="F14" s="6" t="inlineStr">
        <is>
          <t>06/22/2026</t>
        </is>
      </c>
      <c r="G14" s="6" t="inlineStr">
        <is>
          <t>United Healthcare</t>
        </is>
      </c>
      <c r="H14" s="6" t="inlineStr">
        <is>
          <t>United Healthcare</t>
        </is>
      </c>
      <c r="I14" s="6" t="inlineStr">
        <is>
          <t>No Payer</t>
        </is>
      </c>
      <c r="J14" s="6" t="inlineStr">
        <is>
          <t>A6010</t>
        </is>
      </c>
      <c r="K14" s="4" t="n"/>
      <c r="L14" s="5">
        <f>IF($M14="","",$M14-TODAY())</f>
        <v/>
      </c>
      <c r="M14" s="7" t="n">
        <v>46285</v>
      </c>
      <c r="N14" s="6" t="inlineStr">
        <is>
          <t>90 days</t>
        </is>
      </c>
      <c r="O14" s="6" t="inlineStr">
        <is>
          <t>UHC COMMERCIAL</t>
        </is>
      </c>
      <c r="P14" s="6" t="inlineStr">
        <is>
          <t>A1</t>
        </is>
      </c>
      <c r="Q14" s="6" t="n"/>
      <c r="R14" s="6" t="n"/>
      <c r="S14" s="5" t="n">
        <v>20</v>
      </c>
      <c r="T14" s="8" t="n">
        <v>5916.4</v>
      </c>
      <c r="U14" s="8" t="n">
        <v>0</v>
      </c>
      <c r="V14" s="8" t="n">
        <v>0</v>
      </c>
      <c r="W14" s="6" t="n"/>
      <c r="X14" s="8" t="n">
        <v>5916.4</v>
      </c>
      <c r="Y14" s="5" t="n">
        <v>47</v>
      </c>
      <c r="Z14" s="6" t="inlineStr">
        <is>
          <t>G894</t>
        </is>
      </c>
      <c r="AA14" s="6" t="inlineStr">
        <is>
          <t>M50122</t>
        </is>
      </c>
      <c r="AB14" s="6" t="inlineStr">
        <is>
          <t>M50121</t>
        </is>
      </c>
      <c r="AC14" s="6" t="n"/>
      <c r="AD14" s="5" t="n"/>
      <c r="AE14" s="6" t="inlineStr">
        <is>
          <t>HOLLISTER, ALICIA</t>
        </is>
      </c>
      <c r="AF14" s="6" t="inlineStr">
        <is>
          <t>ASAP - DEER VALLEY</t>
        </is>
      </c>
      <c r="AG14" s="6" t="inlineStr">
        <is>
          <t>06/23/2026</t>
        </is>
      </c>
      <c r="AH14" s="6" t="inlineStr">
        <is>
          <t>DME</t>
        </is>
      </c>
      <c r="AI14" s="9" t="n"/>
      <c r="AJ14" s="5" t="n">
        <v>963</v>
      </c>
    </row>
    <row r="15">
      <c r="A15" s="2" t="n"/>
      <c r="B15" s="3" t="n"/>
      <c r="C15" s="4" t="n"/>
      <c r="D15" s="5" t="n">
        <v>563161489</v>
      </c>
      <c r="E15" s="6" t="inlineStr">
        <is>
          <t>HF458717535</t>
        </is>
      </c>
      <c r="F15" s="6" t="inlineStr">
        <is>
          <t>06/22/2026</t>
        </is>
      </c>
      <c r="G15" s="6" t="inlineStr">
        <is>
          <t>Blue Cross Blue Shield of Arizona (BCBS AZ)</t>
        </is>
      </c>
      <c r="H15" s="6" t="inlineStr">
        <is>
          <t>Blue Cross Blue Shield of Arizona (BCBS AZ)</t>
        </is>
      </c>
      <c r="I15" s="6" t="inlineStr">
        <is>
          <t>No Payer</t>
        </is>
      </c>
      <c r="J15" s="6" t="inlineStr">
        <is>
          <t>A6023</t>
        </is>
      </c>
      <c r="K15" s="4" t="n"/>
      <c r="L15" s="5">
        <f>IF($M15="","",$M15-TODAY())</f>
        <v/>
      </c>
      <c r="M15" s="7" t="n">
        <v>46285</v>
      </c>
      <c r="N15" s="6" t="inlineStr">
        <is>
          <t>90 days</t>
        </is>
      </c>
      <c r="O15" s="6" t="inlineStr">
        <is>
          <t>BCBS</t>
        </is>
      </c>
      <c r="P15" s="6" t="inlineStr">
        <is>
          <t>A2</t>
        </is>
      </c>
      <c r="Q15" s="6" t="n"/>
      <c r="R15" s="6" t="n"/>
      <c r="S15" s="5" t="n">
        <v>25</v>
      </c>
      <c r="T15" s="8" t="n">
        <v>45442.25</v>
      </c>
      <c r="U15" s="8" t="n">
        <v>0</v>
      </c>
      <c r="V15" s="8" t="n">
        <v>0</v>
      </c>
      <c r="W15" s="6" t="n"/>
      <c r="X15" s="8" t="n">
        <v>45442.25</v>
      </c>
      <c r="Y15" s="5" t="n">
        <v>47</v>
      </c>
      <c r="Z15" s="6" t="inlineStr">
        <is>
          <t>G894</t>
        </is>
      </c>
      <c r="AA15" s="6" t="inlineStr">
        <is>
          <t>M961</t>
        </is>
      </c>
      <c r="AB15" s="6" t="inlineStr">
        <is>
          <t>G90523</t>
        </is>
      </c>
      <c r="AC15" s="6" t="n"/>
      <c r="AD15" s="5" t="n"/>
      <c r="AE15" s="6" t="inlineStr">
        <is>
          <t>SARKAR, AWNIK</t>
        </is>
      </c>
      <c r="AF15" s="6" t="inlineStr">
        <is>
          <t>ASAP - Surprise - Reems</t>
        </is>
      </c>
      <c r="AG15" s="6" t="inlineStr">
        <is>
          <t>06/23/2026</t>
        </is>
      </c>
      <c r="AH15" s="6" t="inlineStr">
        <is>
          <t>DME</t>
        </is>
      </c>
      <c r="AI15" s="9" t="inlineStr">
        <is>
          <t>BCBS AZ dropped from 365 to 90 days on 01/01/2026. All dates of service here are 2026, so 90 days applies.</t>
        </is>
      </c>
      <c r="AJ15" s="5" t="n">
        <v>424</v>
      </c>
    </row>
    <row r="16">
      <c r="A16" s="2" t="n"/>
      <c r="B16" s="3" t="n"/>
      <c r="C16" s="4" t="n"/>
      <c r="D16" s="5" t="n">
        <v>563166125</v>
      </c>
      <c r="E16" s="6" t="inlineStr">
        <is>
          <t>HF547083886</t>
        </is>
      </c>
      <c r="F16" s="6" t="inlineStr">
        <is>
          <t>06/22/2026</t>
        </is>
      </c>
      <c r="G16" s="6" t="inlineStr">
        <is>
          <t>Optum Care Medical Network of Arizona, Utah, &amp; Washington (LifePrint)</t>
        </is>
      </c>
      <c r="H16" s="6" t="inlineStr">
        <is>
          <t>Optum Care Medical Network of Arizona, Utah, &amp; Washington (LifePrint)</t>
        </is>
      </c>
      <c r="I16" s="6" t="inlineStr">
        <is>
          <t>No Payer</t>
        </is>
      </c>
      <c r="J16" s="6" t="inlineStr">
        <is>
          <t>A6010</t>
        </is>
      </c>
      <c r="K16" s="4" t="n"/>
      <c r="L16" s="5">
        <f>IF($M16="","",$M16-TODAY())</f>
        <v/>
      </c>
      <c r="M16" s="7" t="n">
        <v>46285</v>
      </c>
      <c r="N16" s="6" t="inlineStr">
        <is>
          <t>90 days</t>
        </is>
      </c>
      <c r="O16" s="6" t="inlineStr">
        <is>
          <t>OPTUM</t>
        </is>
      </c>
      <c r="P16" s="6" t="inlineStr">
        <is>
          <t>A1</t>
        </is>
      </c>
      <c r="Q16" s="6" t="n"/>
      <c r="R16" s="6" t="n"/>
      <c r="S16" s="5" t="n">
        <v>20</v>
      </c>
      <c r="T16" s="8" t="n">
        <v>5916.4</v>
      </c>
      <c r="U16" s="8" t="n">
        <v>0</v>
      </c>
      <c r="V16" s="8" t="n">
        <v>0</v>
      </c>
      <c r="W16" s="6" t="inlineStr">
        <is>
          <t>07/19/2026</t>
        </is>
      </c>
      <c r="X16" s="8" t="n">
        <v>5916.4</v>
      </c>
      <c r="Y16" s="5" t="n">
        <v>47</v>
      </c>
      <c r="Z16" s="6" t="inlineStr">
        <is>
          <t>G894</t>
        </is>
      </c>
      <c r="AA16" s="6" t="inlineStr">
        <is>
          <t>M48062</t>
        </is>
      </c>
      <c r="AB16" s="6" t="n"/>
      <c r="AC16" s="6" t="n"/>
      <c r="AD16" s="5" t="n"/>
      <c r="AE16" s="6" t="inlineStr">
        <is>
          <t>MEARS, CHAD</t>
        </is>
      </c>
      <c r="AF16" s="6" t="inlineStr">
        <is>
          <t>ASAP Peoria</t>
        </is>
      </c>
      <c r="AG16" s="6" t="inlineStr">
        <is>
          <t>06/23/2026</t>
        </is>
      </c>
      <c r="AH16" s="6" t="inlineStr">
        <is>
          <t>DME</t>
        </is>
      </c>
      <c r="AI16" s="9" t="n"/>
      <c r="AJ16" s="5" t="n">
        <v>907</v>
      </c>
    </row>
    <row r="17">
      <c r="A17" s="2" t="n"/>
      <c r="B17" s="3" t="n"/>
      <c r="C17" s="4" t="n"/>
      <c r="D17" s="5" t="n">
        <v>563182075</v>
      </c>
      <c r="E17" s="6" t="inlineStr">
        <is>
          <t>HF482747140</t>
        </is>
      </c>
      <c r="F17" s="6" t="inlineStr">
        <is>
          <t>06/22/2026</t>
        </is>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IF($M17="","",$M17-TODAY())</f>
        <v/>
      </c>
      <c r="M17" s="7" t="n">
        <v>46285</v>
      </c>
      <c r="N17" s="6" t="inlineStr">
        <is>
          <t>90 days</t>
        </is>
      </c>
      <c r="O17" s="6" t="inlineStr">
        <is>
          <t>UHC COMMUNITY</t>
        </is>
      </c>
      <c r="P17" s="6" t="inlineStr">
        <is>
          <t>A2</t>
        </is>
      </c>
      <c r="Q17" s="6" t="n"/>
      <c r="R17" s="6" t="n"/>
      <c r="S17" s="5" t="n">
        <v>10</v>
      </c>
      <c r="T17" s="8" t="n">
        <v>2958.2</v>
      </c>
      <c r="U17" s="8" t="n">
        <v>0</v>
      </c>
      <c r="V17" s="8" t="n">
        <v>0</v>
      </c>
      <c r="W17" s="6" t="inlineStr">
        <is>
          <t>07/01/2026</t>
        </is>
      </c>
      <c r="X17" s="8" t="n">
        <v>2958.2</v>
      </c>
      <c r="Y17" s="5" t="n">
        <v>47</v>
      </c>
      <c r="Z17" s="6" t="inlineStr">
        <is>
          <t>M5416</t>
        </is>
      </c>
      <c r="AA17" s="6" t="n"/>
      <c r="AB17" s="6" t="n"/>
      <c r="AC17" s="6" t="n"/>
      <c r="AD17" s="5" t="n"/>
      <c r="AE17" s="6" t="inlineStr">
        <is>
          <t>SARKAR, AWNIK</t>
        </is>
      </c>
      <c r="AF17" s="6" t="inlineStr">
        <is>
          <t>ASAP - Surprise - Reems</t>
        </is>
      </c>
      <c r="AG17" s="6" t="inlineStr">
        <is>
          <t>06/23/2026</t>
        </is>
      </c>
      <c r="AH17" s="6" t="inlineStr">
        <is>
          <t>DME</t>
        </is>
      </c>
      <c r="AI17" s="9" t="n"/>
      <c r="AJ17" s="5" t="n">
        <v>918</v>
      </c>
    </row>
    <row r="18">
      <c r="A18" s="2" t="n"/>
      <c r="B18" s="3" t="n"/>
      <c r="C18" s="4" t="n"/>
      <c r="D18" s="5" t="n">
        <v>563202959</v>
      </c>
      <c r="E18" s="6" t="inlineStr">
        <is>
          <t>HF560310366</t>
        </is>
      </c>
      <c r="F18" s="6" t="inlineStr">
        <is>
          <t>06/22/2026</t>
        </is>
      </c>
      <c r="G18" s="6" t="inlineStr">
        <is>
          <t>Blue Cross Blue Shield of Arizona (BCBS AZ)</t>
        </is>
      </c>
      <c r="H18" s="6" t="inlineStr">
        <is>
          <t>Blue Cross Blue Shield of Arizona (BCBS AZ)</t>
        </is>
      </c>
      <c r="I18" s="6" t="inlineStr">
        <is>
          <t>No Payer</t>
        </is>
      </c>
      <c r="J18" s="6" t="inlineStr">
        <is>
          <t>L0650</t>
        </is>
      </c>
      <c r="K18" s="4" t="n"/>
      <c r="L18" s="5">
        <f>IF($M18="","",$M18-TODAY())</f>
        <v/>
      </c>
      <c r="M18" s="7" t="n">
        <v>46285</v>
      </c>
      <c r="N18" s="6" t="inlineStr">
        <is>
          <t>90 days</t>
        </is>
      </c>
      <c r="O18" s="6" t="inlineStr">
        <is>
          <t>BCBS</t>
        </is>
      </c>
      <c r="P18" s="6" t="inlineStr">
        <is>
          <t>KX</t>
        </is>
      </c>
      <c r="Q18" s="6" t="n"/>
      <c r="R18" s="6" t="n"/>
      <c r="S18" s="5" t="n">
        <v>1</v>
      </c>
      <c r="T18" s="8" t="n">
        <v>6392.96</v>
      </c>
      <c r="U18" s="8" t="n">
        <v>0</v>
      </c>
      <c r="V18" s="8" t="n">
        <v>0</v>
      </c>
      <c r="W18" s="6" t="inlineStr">
        <is>
          <t>07/07/2026</t>
        </is>
      </c>
      <c r="X18" s="8" t="n">
        <v>6392.96</v>
      </c>
      <c r="Y18" s="5" t="n">
        <v>47</v>
      </c>
      <c r="Z18" s="6" t="inlineStr">
        <is>
          <t>S22080S</t>
        </is>
      </c>
      <c r="AA18" s="6" t="n"/>
      <c r="AB18" s="6" t="n"/>
      <c r="AC18" s="6" t="n"/>
      <c r="AD18" s="5" t="n"/>
      <c r="AE18" s="6" t="inlineStr">
        <is>
          <t>KRAUSE, JEFFREY</t>
        </is>
      </c>
      <c r="AF18" s="6" t="inlineStr">
        <is>
          <t>ASAP - DEER VALLEY</t>
        </is>
      </c>
      <c r="AG18" s="6" t="inlineStr">
        <is>
          <t>06/23/2026</t>
        </is>
      </c>
      <c r="AH18" s="6" t="inlineStr">
        <is>
          <t>DME</t>
        </is>
      </c>
      <c r="AI18" s="9" t="inlineStr">
        <is>
          <t>BCBS AZ dropped from 365 to 90 days on 01/01/2026. All dates of service here are 2026, so 90 days applies.</t>
        </is>
      </c>
      <c r="AJ18" s="5" t="n">
        <v>891</v>
      </c>
    </row>
    <row r="19">
      <c r="A19" s="2" t="n"/>
      <c r="B19" s="3" t="n"/>
      <c r="C19" s="4" t="n"/>
      <c r="D19" s="5" t="n">
        <v>564043829</v>
      </c>
      <c r="E19" s="6" t="inlineStr">
        <is>
          <t>HF469884720</t>
        </is>
      </c>
      <c r="F19" s="6" t="inlineStr">
        <is>
          <t>06/23/2026</t>
        </is>
      </c>
      <c r="G19" s="6" t="inlineStr">
        <is>
          <t>Optum Care Medical Network of Arizona, Utah, &amp; Washington (LifePrint)</t>
        </is>
      </c>
      <c r="H19" s="6" t="inlineStr">
        <is>
          <t>Optum Care Medical Network of Arizona, Utah, &amp; Washington (LifePrint)</t>
        </is>
      </c>
      <c r="I19" s="6" t="inlineStr">
        <is>
          <t>No Payer</t>
        </is>
      </c>
      <c r="J19" s="6" t="inlineStr">
        <is>
          <t>L0637</t>
        </is>
      </c>
      <c r="K19" s="4" t="n"/>
      <c r="L19" s="5">
        <f>IF($M19="","",$M19-TODAY())</f>
        <v/>
      </c>
      <c r="M19" s="7" t="n">
        <v>46286</v>
      </c>
      <c r="N19" s="6" t="inlineStr">
        <is>
          <t>90 days</t>
        </is>
      </c>
      <c r="O19" s="6" t="inlineStr">
        <is>
          <t>OPTUM</t>
        </is>
      </c>
      <c r="P19" s="6" t="inlineStr">
        <is>
          <t>NU</t>
        </is>
      </c>
      <c r="Q19" s="6" t="n"/>
      <c r="R19" s="6" t="n"/>
      <c r="S19" s="5" t="n">
        <v>1</v>
      </c>
      <c r="T19" s="8" t="n">
        <v>9479.4</v>
      </c>
      <c r="U19" s="8" t="n">
        <v>0</v>
      </c>
      <c r="V19" s="8" t="n">
        <v>0</v>
      </c>
      <c r="W19" s="6" t="inlineStr">
        <is>
          <t>07/17/2026</t>
        </is>
      </c>
      <c r="X19" s="8" t="n">
        <v>9479.4</v>
      </c>
      <c r="Y19" s="5" t="n">
        <v>46</v>
      </c>
      <c r="Z19" s="6" t="inlineStr">
        <is>
          <t>M48062</t>
        </is>
      </c>
      <c r="AA19" s="6" t="n"/>
      <c r="AB19" s="6" t="n"/>
      <c r="AC19" s="6" t="n"/>
      <c r="AD19" s="5" t="n"/>
      <c r="AE19" s="6" t="inlineStr">
        <is>
          <t>HOLLISTER, ALICIA</t>
        </is>
      </c>
      <c r="AF19" s="6" t="inlineStr">
        <is>
          <t>ASAP - DEER VALLEY</t>
        </is>
      </c>
      <c r="AG19" s="6" t="inlineStr">
        <is>
          <t>07/01/2026</t>
        </is>
      </c>
      <c r="AH19" s="6" t="inlineStr">
        <is>
          <t>DME</t>
        </is>
      </c>
      <c r="AI19" s="9" t="n"/>
      <c r="AJ19" s="5" t="n">
        <v>873</v>
      </c>
    </row>
    <row r="20">
      <c r="A20" s="2" t="n"/>
      <c r="B20" s="3" t="n"/>
      <c r="C20" s="4" t="n"/>
      <c r="D20" s="5" t="n">
        <v>564105695</v>
      </c>
      <c r="E20" s="6" t="inlineStr">
        <is>
          <t>HF562904021</t>
        </is>
      </c>
      <c r="F20" s="6" t="inlineStr">
        <is>
          <t>06/24/2026</t>
        </is>
      </c>
      <c r="G20" s="6" t="inlineStr">
        <is>
          <t>UnitedHealthcare Community Plan / Arizona Long Term Care</t>
        </is>
      </c>
      <c r="H20" s="6" t="inlineStr">
        <is>
          <t>UnitedHealthcare Community Plan / Arizona Long Term Care</t>
        </is>
      </c>
      <c r="I20" s="6" t="inlineStr">
        <is>
          <t>Mercy Care Plan (AHCCCS) - Complete Care &amp; Long Term Care (LTC)</t>
        </is>
      </c>
      <c r="J20" s="6" t="inlineStr">
        <is>
          <t>A6010</t>
        </is>
      </c>
      <c r="K20" s="4" t="n"/>
      <c r="L20" s="5">
        <f>IF($M20="","",$M20-TODAY())</f>
        <v/>
      </c>
      <c r="M20" s="7" t="n">
        <v>46287</v>
      </c>
      <c r="N20" s="6" t="inlineStr">
        <is>
          <t>90 days</t>
        </is>
      </c>
      <c r="O20" s="6" t="inlineStr">
        <is>
          <t>UHC COMMUNITY</t>
        </is>
      </c>
      <c r="P20" s="6" t="inlineStr">
        <is>
          <t>A1</t>
        </is>
      </c>
      <c r="Q20" s="6" t="n"/>
      <c r="R20" s="6" t="n"/>
      <c r="S20" s="5" t="n">
        <v>10</v>
      </c>
      <c r="T20" s="8" t="n">
        <v>2958.2</v>
      </c>
      <c r="U20" s="8" t="n">
        <v>0</v>
      </c>
      <c r="V20" s="8" t="n">
        <v>0</v>
      </c>
      <c r="W20" s="6" t="inlineStr">
        <is>
          <t>07/08/2026</t>
        </is>
      </c>
      <c r="X20" s="8" t="n">
        <v>2958.2</v>
      </c>
      <c r="Y20" s="5" t="n">
        <v>45</v>
      </c>
      <c r="Z20" s="6" t="inlineStr">
        <is>
          <t>G894</t>
        </is>
      </c>
      <c r="AA20" s="6" t="inlineStr">
        <is>
          <t>M48062</t>
        </is>
      </c>
      <c r="AB20" s="6" t="n"/>
      <c r="AC20" s="6" t="n"/>
      <c r="AD20" s="5" t="n"/>
      <c r="AE20" s="6" t="inlineStr">
        <is>
          <t>MCMURDIE, TODD</t>
        </is>
      </c>
      <c r="AF20" s="6" t="inlineStr">
        <is>
          <t>ASAP - Surprise - Reems</t>
        </is>
      </c>
      <c r="AG20" s="6" t="inlineStr">
        <is>
          <t>07/02/2026</t>
        </is>
      </c>
      <c r="AH20" s="6" t="inlineStr">
        <is>
          <t>DME</t>
        </is>
      </c>
      <c r="AI20" s="9" t="n"/>
      <c r="AJ20" s="5" t="n">
        <v>946</v>
      </c>
    </row>
    <row r="21">
      <c r="A21" s="2" t="n"/>
      <c r="B21" s="3" t="n"/>
      <c r="C21" s="4" t="n"/>
      <c r="D21" s="5" t="n">
        <v>564106567</v>
      </c>
      <c r="E21" s="6" t="inlineStr">
        <is>
          <t>HF563307378</t>
        </is>
      </c>
      <c r="F21" s="6" t="inlineStr">
        <is>
          <t>06/25/2026</t>
        </is>
      </c>
      <c r="G21" s="6" t="inlineStr">
        <is>
          <t>Blue Cross Blue Shield of Arizona (BCBS AZ)</t>
        </is>
      </c>
      <c r="H21" s="6" t="inlineStr">
        <is>
          <t>Blue Cross Blue Shield of Arizona (BCBS AZ)</t>
        </is>
      </c>
      <c r="I21" s="6" t="inlineStr">
        <is>
          <t>No Payer</t>
        </is>
      </c>
      <c r="J21" s="6" t="inlineStr">
        <is>
          <t>A6010</t>
        </is>
      </c>
      <c r="K21" s="4" t="n"/>
      <c r="L21" s="5">
        <f>IF($M21="","",$M21-TODAY())</f>
        <v/>
      </c>
      <c r="M21" s="7" t="n">
        <v>46288</v>
      </c>
      <c r="N21" s="6" t="inlineStr">
        <is>
          <t>90 days</t>
        </is>
      </c>
      <c r="O21" s="6" t="inlineStr">
        <is>
          <t>BCBS</t>
        </is>
      </c>
      <c r="P21" s="6" t="inlineStr">
        <is>
          <t>A1</t>
        </is>
      </c>
      <c r="Q21" s="6" t="n"/>
      <c r="R21" s="6" t="n"/>
      <c r="S21" s="5" t="n">
        <v>10</v>
      </c>
      <c r="T21" s="8" t="n">
        <v>2958.2</v>
      </c>
      <c r="U21" s="8" t="n">
        <v>0</v>
      </c>
      <c r="V21" s="8" t="n">
        <v>0</v>
      </c>
      <c r="W21" s="6" t="n"/>
      <c r="X21" s="8" t="n">
        <v>2958.2</v>
      </c>
      <c r="Y21" s="5" t="n">
        <v>44</v>
      </c>
      <c r="Z21" s="6" t="inlineStr">
        <is>
          <t>G894</t>
        </is>
      </c>
      <c r="AA21" s="6" t="inlineStr">
        <is>
          <t>G959</t>
        </is>
      </c>
      <c r="AB21" s="6" t="n"/>
      <c r="AC21" s="6" t="n"/>
      <c r="AD21" s="5" t="n"/>
      <c r="AE21" s="6" t="inlineStr">
        <is>
          <t>MCMURDIE, TODD</t>
        </is>
      </c>
      <c r="AF21" s="6" t="inlineStr">
        <is>
          <t>ASAP Peoria</t>
        </is>
      </c>
      <c r="AG21" s="6" t="inlineStr">
        <is>
          <t>07/02/2026</t>
        </is>
      </c>
      <c r="AH21" s="6" t="inlineStr">
        <is>
          <t>DME</t>
        </is>
      </c>
      <c r="AI21" s="9" t="inlineStr">
        <is>
          <t>BCBS AZ dropped from 365 to 90 days on 01/01/2026. All dates of service here are 2026, so 90 days applies.</t>
        </is>
      </c>
      <c r="AJ21" s="5" t="n">
        <v>936</v>
      </c>
    </row>
    <row r="22">
      <c r="A22" s="2" t="n"/>
      <c r="B22" s="3" t="n"/>
      <c r="C22" s="4" t="n"/>
      <c r="D22" s="5" t="n">
        <v>564107377</v>
      </c>
      <c r="E22" s="6" t="inlineStr">
        <is>
          <t>HF537035136</t>
        </is>
      </c>
      <c r="F22" s="6" t="inlineStr">
        <is>
          <t>06/25/2026</t>
        </is>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IF($M22="","",$M22-TODAY())</f>
        <v/>
      </c>
      <c r="M22" s="7" t="n">
        <v>46288</v>
      </c>
      <c r="N22" s="6" t="inlineStr">
        <is>
          <t>90 days</t>
        </is>
      </c>
      <c r="O22" s="6" t="inlineStr">
        <is>
          <t>OPTUM</t>
        </is>
      </c>
      <c r="P22" s="6" t="inlineStr">
        <is>
          <t>A2</t>
        </is>
      </c>
      <c r="Q22" s="6" t="n"/>
      <c r="R22" s="6" t="n"/>
      <c r="S22" s="5" t="n">
        <v>20</v>
      </c>
      <c r="T22" s="8" t="n">
        <v>5916.4</v>
      </c>
      <c r="U22" s="8" t="n">
        <v>0</v>
      </c>
      <c r="V22" s="8" t="n">
        <v>0</v>
      </c>
      <c r="W22" s="6" t="n"/>
      <c r="X22" s="8" t="n">
        <v>5916.4</v>
      </c>
      <c r="Y22" s="5" t="n">
        <v>44</v>
      </c>
      <c r="Z22" s="6" t="inlineStr">
        <is>
          <t>G894</t>
        </is>
      </c>
      <c r="AA22" s="6" t="inlineStr">
        <is>
          <t>M5459</t>
        </is>
      </c>
      <c r="AB22" s="6" t="inlineStr">
        <is>
          <t>M5417</t>
        </is>
      </c>
      <c r="AC22" s="6" t="n"/>
      <c r="AD22" s="5" t="n"/>
      <c r="AE22" s="6" t="inlineStr">
        <is>
          <t>MEARS, CHAD</t>
        </is>
      </c>
      <c r="AF22" s="6" t="inlineStr">
        <is>
          <t>ASAP Peoria</t>
        </is>
      </c>
      <c r="AG22" s="6" t="inlineStr">
        <is>
          <t>07/02/2026</t>
        </is>
      </c>
      <c r="AH22" s="6" t="inlineStr">
        <is>
          <t>DME</t>
        </is>
      </c>
      <c r="AI22" s="9" t="n"/>
      <c r="AJ22" s="5" t="n">
        <v>664</v>
      </c>
    </row>
    <row r="23">
      <c r="A23" s="2" t="n"/>
      <c r="B23" s="3" t="n"/>
      <c r="C23" s="4" t="n"/>
      <c r="D23" s="5" t="n">
        <v>564053524</v>
      </c>
      <c r="E23" s="6" t="inlineStr">
        <is>
          <t>HF330419338</t>
        </is>
      </c>
      <c r="F23" s="6" t="inlineStr">
        <is>
          <t>06/29/2026</t>
        </is>
      </c>
      <c r="G23" s="6" t="inlineStr">
        <is>
          <t>Optum Care Medical Network of Arizona, Utah, &amp; Washington (LifePrint)</t>
        </is>
      </c>
      <c r="H23" s="6" t="inlineStr">
        <is>
          <t>Optum Care Medical Network of Arizona, Utah, &amp; Washington (LifePrint)</t>
        </is>
      </c>
      <c r="I23" s="6" t="inlineStr">
        <is>
          <t>No Payer</t>
        </is>
      </c>
      <c r="J23" s="6" t="inlineStr">
        <is>
          <t>L0650</t>
        </is>
      </c>
      <c r="K23" s="4" t="n"/>
      <c r="L23" s="5">
        <f>IF($M23="","",$M23-TODAY())</f>
        <v/>
      </c>
      <c r="M23" s="7" t="n">
        <v>46292</v>
      </c>
      <c r="N23" s="6" t="inlineStr">
        <is>
          <t>90 days</t>
        </is>
      </c>
      <c r="O23" s="6" t="inlineStr">
        <is>
          <t>OPTUM</t>
        </is>
      </c>
      <c r="P23" s="6" t="inlineStr">
        <is>
          <t>NU</t>
        </is>
      </c>
      <c r="Q23" s="6" t="n"/>
      <c r="R23" s="6" t="n"/>
      <c r="S23" s="5" t="n">
        <v>1</v>
      </c>
      <c r="T23" s="8" t="n">
        <v>6392.96</v>
      </c>
      <c r="U23" s="8" t="n">
        <v>0</v>
      </c>
      <c r="V23" s="8" t="n">
        <v>0</v>
      </c>
      <c r="W23" s="6" t="inlineStr">
        <is>
          <t>07/17/2026</t>
        </is>
      </c>
      <c r="X23" s="8" t="n">
        <v>6392.96</v>
      </c>
      <c r="Y23" s="5" t="n">
        <v>40</v>
      </c>
      <c r="Z23" s="6" t="inlineStr">
        <is>
          <t>M47814</t>
        </is>
      </c>
      <c r="AA23" s="6" t="inlineStr">
        <is>
          <t>M5489</t>
        </is>
      </c>
      <c r="AB23" s="6" t="n"/>
      <c r="AC23" s="6" t="n"/>
      <c r="AD23" s="5" t="n"/>
      <c r="AE23" s="6" t="inlineStr">
        <is>
          <t>ADLER, STEVEN</t>
        </is>
      </c>
      <c r="AF23" s="6" t="inlineStr">
        <is>
          <t>ASAP - DEER VALLEY</t>
        </is>
      </c>
      <c r="AG23" s="6" t="inlineStr">
        <is>
          <t>07/01/2026</t>
        </is>
      </c>
      <c r="AH23" s="6" t="inlineStr">
        <is>
          <t>DME</t>
        </is>
      </c>
      <c r="AI23" s="9" t="n"/>
      <c r="AJ23" s="5" t="n">
        <v>945</v>
      </c>
    </row>
    <row r="24">
      <c r="A24" s="2" t="n"/>
      <c r="B24" s="3" t="n"/>
      <c r="C24" s="4" t="n"/>
      <c r="D24" s="5" t="n">
        <v>564118055</v>
      </c>
      <c r="E24" s="6" t="inlineStr">
        <is>
          <t>HF535371970</t>
        </is>
      </c>
      <c r="F24" s="6" t="inlineStr">
        <is>
          <t>06/29/2026</t>
        </is>
      </c>
      <c r="G24" s="6" t="inlineStr">
        <is>
          <t>United Healthcare</t>
        </is>
      </c>
      <c r="H24" s="6" t="inlineStr">
        <is>
          <t>United Healthcare</t>
        </is>
      </c>
      <c r="I24" s="6" t="inlineStr">
        <is>
          <t>No Payer</t>
        </is>
      </c>
      <c r="J24" s="6" t="inlineStr">
        <is>
          <t>A6010</t>
        </is>
      </c>
      <c r="K24" s="4" t="n"/>
      <c r="L24" s="5">
        <f>IF($M24="","",$M24-TODAY())</f>
        <v/>
      </c>
      <c r="M24" s="7" t="n">
        <v>46292</v>
      </c>
      <c r="N24" s="6" t="inlineStr">
        <is>
          <t>90 days</t>
        </is>
      </c>
      <c r="O24" s="6" t="inlineStr">
        <is>
          <t>UHC COMMERCIAL</t>
        </is>
      </c>
      <c r="P24" s="6" t="inlineStr">
        <is>
          <t>A1</t>
        </is>
      </c>
      <c r="Q24" s="6" t="n"/>
      <c r="R24" s="6" t="n"/>
      <c r="S24" s="5" t="n">
        <v>10</v>
      </c>
      <c r="T24" s="8" t="n">
        <v>2958.2</v>
      </c>
      <c r="U24" s="8" t="n">
        <v>0</v>
      </c>
      <c r="V24" s="8" t="n">
        <v>0</v>
      </c>
      <c r="W24" s="6" t="n"/>
      <c r="X24" s="8" t="n">
        <v>2958.2</v>
      </c>
      <c r="Y24" s="5" t="n">
        <v>40</v>
      </c>
      <c r="Z24" s="6" t="inlineStr">
        <is>
          <t>G894</t>
        </is>
      </c>
      <c r="AA24" s="6" t="n"/>
      <c r="AB24" s="6" t="n"/>
      <c r="AC24" s="6" t="n"/>
      <c r="AD24" s="5" t="n"/>
      <c r="AE24" s="6" t="inlineStr">
        <is>
          <t>TONDINI, JENISE</t>
        </is>
      </c>
      <c r="AF24" s="6" t="inlineStr">
        <is>
          <t>ASAP - Goodyear</t>
        </is>
      </c>
      <c r="AG24" s="6" t="inlineStr">
        <is>
          <t>07/02/2026</t>
        </is>
      </c>
      <c r="AH24" s="6" t="inlineStr">
        <is>
          <t>DME</t>
        </is>
      </c>
      <c r="AI24" s="9" t="n"/>
      <c r="AJ24" s="5" t="n">
        <v>506</v>
      </c>
    </row>
    <row r="25">
      <c r="A25" s="2" t="n"/>
      <c r="B25" s="3" t="n"/>
      <c r="C25" s="4" t="n"/>
      <c r="D25" s="5" t="n">
        <v>564120985</v>
      </c>
      <c r="E25" s="6" t="inlineStr">
        <is>
          <t>HF331630717</t>
        </is>
      </c>
      <c r="F25" s="6" t="inlineStr">
        <is>
          <t>06/29/2026</t>
        </is>
      </c>
      <c r="G25" s="6" t="inlineStr">
        <is>
          <t>Blue Cross Blue Shield of Arizona (BCBS AZ)</t>
        </is>
      </c>
      <c r="H25" s="6" t="inlineStr">
        <is>
          <t>Blue Cross Blue Shield of Arizona (BCBS AZ)</t>
        </is>
      </c>
      <c r="I25" s="6" t="inlineStr">
        <is>
          <t>No Payer</t>
        </is>
      </c>
      <c r="J25" s="6" t="inlineStr">
        <is>
          <t>A6023</t>
        </is>
      </c>
      <c r="K25" s="4" t="n"/>
      <c r="L25" s="5">
        <f>IF($M25="","",$M25-TODAY())</f>
        <v/>
      </c>
      <c r="M25" s="7" t="n">
        <v>46292</v>
      </c>
      <c r="N25" s="6" t="inlineStr">
        <is>
          <t>90 days</t>
        </is>
      </c>
      <c r="O25" s="6" t="inlineStr">
        <is>
          <t>BCBS</t>
        </is>
      </c>
      <c r="P25" s="6" t="inlineStr">
        <is>
          <t>A2</t>
        </is>
      </c>
      <c r="Q25" s="6" t="n"/>
      <c r="R25" s="6" t="n"/>
      <c r="S25" s="5" t="n">
        <v>20</v>
      </c>
      <c r="T25" s="8" t="n">
        <v>36353.8</v>
      </c>
      <c r="U25" s="8" t="n">
        <v>0</v>
      </c>
      <c r="V25" s="8" t="n">
        <v>0</v>
      </c>
      <c r="W25" s="6" t="n"/>
      <c r="X25" s="8" t="n">
        <v>36353.8</v>
      </c>
      <c r="Y25" s="5" t="n">
        <v>40</v>
      </c>
      <c r="Z25" s="6" t="inlineStr">
        <is>
          <t>G894</t>
        </is>
      </c>
      <c r="AA25" s="6" t="n"/>
      <c r="AB25" s="6" t="n"/>
      <c r="AC25" s="6" t="n"/>
      <c r="AD25" s="5" t="n"/>
      <c r="AE25" s="6" t="inlineStr">
        <is>
          <t>TURLEY, TODD</t>
        </is>
      </c>
      <c r="AF25" s="6" t="inlineStr">
        <is>
          <t>ASAP - Biltmore</t>
        </is>
      </c>
      <c r="AG25" s="6" t="inlineStr">
        <is>
          <t>07/02/2026</t>
        </is>
      </c>
      <c r="AH25" s="6" t="inlineStr">
        <is>
          <t>DME</t>
        </is>
      </c>
      <c r="AI25" s="9" t="inlineStr">
        <is>
          <t>BCBS AZ dropped from 365 to 90 days on 01/01/2026. All dates of service here are 2026, so 90 days applies.</t>
        </is>
      </c>
      <c r="AJ25" s="5" t="n">
        <v>569</v>
      </c>
    </row>
    <row r="26">
      <c r="A26" s="2" t="n"/>
      <c r="B26" s="3" t="n"/>
      <c r="C26" s="4" t="n"/>
      <c r="D26" s="5" t="n">
        <v>565290727</v>
      </c>
      <c r="E26" s="6" t="inlineStr">
        <is>
          <t>HF496850534</t>
        </is>
      </c>
      <c r="F26" s="6" t="inlineStr">
        <is>
          <t>06/29/2026</t>
        </is>
      </c>
      <c r="G26" s="6" t="inlineStr">
        <is>
          <t>Surest (A United Healthcare Company - Formerly BIND)</t>
        </is>
      </c>
      <c r="H26" s="6" t="inlineStr">
        <is>
          <t>Surest (A United Healthcare Company - Formerly BIND)</t>
        </is>
      </c>
      <c r="I26" s="6" t="inlineStr">
        <is>
          <t>No Payer</t>
        </is>
      </c>
      <c r="J26" s="6" t="inlineStr">
        <is>
          <t>A6010</t>
        </is>
      </c>
      <c r="K26" s="4" t="n"/>
      <c r="L26" s="5">
        <f>IF($M26="","",$M26-TODAY())</f>
        <v/>
      </c>
      <c r="M26" s="7" t="n">
        <v>46292</v>
      </c>
      <c r="N26" s="6" t="inlineStr">
        <is>
          <t>90 days</t>
        </is>
      </c>
      <c r="O26" s="6" t="inlineStr">
        <is>
          <t>UHC COMMERCIAL</t>
        </is>
      </c>
      <c r="P26" s="6" t="inlineStr">
        <is>
          <t>A1</t>
        </is>
      </c>
      <c r="Q26" s="6" t="n"/>
      <c r="R26" s="6" t="n"/>
      <c r="S26" s="5" t="n">
        <v>20</v>
      </c>
      <c r="T26" s="8" t="n">
        <v>5916.4</v>
      </c>
      <c r="U26" s="8" t="n">
        <v>0</v>
      </c>
      <c r="V26" s="8" t="n">
        <v>0</v>
      </c>
      <c r="W26" s="6" t="n"/>
      <c r="X26" s="8" t="n">
        <v>5916.4</v>
      </c>
      <c r="Y26" s="5" t="n">
        <v>40</v>
      </c>
      <c r="Z26" s="6" t="inlineStr">
        <is>
          <t>G894</t>
        </is>
      </c>
      <c r="AA26" s="6" t="n"/>
      <c r="AB26" s="6" t="n"/>
      <c r="AC26" s="6" t="n"/>
      <c r="AD26" s="5" t="n"/>
      <c r="AE26" s="6" t="inlineStr">
        <is>
          <t>HOLLISTER, ALICIA</t>
        </is>
      </c>
      <c r="AF26" s="6" t="inlineStr">
        <is>
          <t>ASAP - DEER VALLEY</t>
        </is>
      </c>
      <c r="AG26" s="6" t="inlineStr">
        <is>
          <t>07/14/2026</t>
        </is>
      </c>
      <c r="AH26" s="6" t="inlineStr">
        <is>
          <t>DME</t>
        </is>
      </c>
      <c r="AI26" s="9" t="n"/>
      <c r="AJ26" s="5" t="n">
        <v>894</v>
      </c>
    </row>
    <row r="27">
      <c r="A27" s="2" t="n"/>
      <c r="B27" s="3" t="n"/>
      <c r="C27" s="4" t="n"/>
      <c r="D27" s="5" t="n">
        <v>567785138</v>
      </c>
      <c r="E27" s="6" t="inlineStr">
        <is>
          <t>HF528506830</t>
        </is>
      </c>
      <c r="F27" s="6" t="inlineStr">
        <is>
          <t>06/29/2026</t>
        </is>
      </c>
      <c r="G27" s="6" t="inlineStr">
        <is>
          <t>Optum Care Medical Network of Arizona, Utah, &amp; Washington (LifePrint)</t>
        </is>
      </c>
      <c r="H27" s="6" t="inlineStr">
        <is>
          <t>Optum Care Medical Network of Arizona, Utah, &amp; Washington (LifePrint)</t>
        </is>
      </c>
      <c r="I27" s="6" t="inlineStr">
        <is>
          <t>No Payer</t>
        </is>
      </c>
      <c r="J27" s="6" t="inlineStr">
        <is>
          <t>A6010</t>
        </is>
      </c>
      <c r="K27" s="4" t="n"/>
      <c r="L27" s="5">
        <f>IF($M27="","",$M27-TODAY())</f>
        <v/>
      </c>
      <c r="M27" s="7" t="n">
        <v>46292</v>
      </c>
      <c r="N27" s="6" t="inlineStr">
        <is>
          <t>90 days</t>
        </is>
      </c>
      <c r="O27" s="6" t="inlineStr">
        <is>
          <t>OPTUM</t>
        </is>
      </c>
      <c r="P27" s="6" t="inlineStr">
        <is>
          <t>A1</t>
        </is>
      </c>
      <c r="Q27" s="6" t="n"/>
      <c r="R27" s="6" t="n"/>
      <c r="S27" s="5" t="n">
        <v>20</v>
      </c>
      <c r="T27" s="8" t="n">
        <v>5916.4</v>
      </c>
      <c r="U27" s="8" t="n">
        <v>0</v>
      </c>
      <c r="V27" s="8" t="n">
        <v>0</v>
      </c>
      <c r="W27" s="6" t="n"/>
      <c r="X27" s="8" t="n">
        <v>5916.4</v>
      </c>
      <c r="Y27" s="5" t="n">
        <v>40</v>
      </c>
      <c r="Z27" s="6" t="inlineStr">
        <is>
          <t>G894</t>
        </is>
      </c>
      <c r="AA27" s="6" t="inlineStr">
        <is>
          <t>G5773</t>
        </is>
      </c>
      <c r="AB27" s="6" t="n"/>
      <c r="AC27" s="6" t="n"/>
      <c r="AD27" s="5" t="n"/>
      <c r="AE27" s="6" t="inlineStr">
        <is>
          <t>TERRILL, STEPHANIE</t>
        </is>
      </c>
      <c r="AF27" s="6" t="inlineStr">
        <is>
          <t>ASAP - Gilbert</t>
        </is>
      </c>
      <c r="AG27" s="6" t="inlineStr">
        <is>
          <t>07/02/2026</t>
        </is>
      </c>
      <c r="AH27" s="6" t="inlineStr">
        <is>
          <t>DME</t>
        </is>
      </c>
      <c r="AI27" s="9" t="n"/>
      <c r="AJ27" s="5" t="n">
        <v>1016</v>
      </c>
    </row>
    <row r="28">
      <c r="A28" s="2" t="inlineStr">
        <is>
          <t>Finalized</t>
        </is>
      </c>
      <c r="B28" s="3" t="n"/>
      <c r="C28" s="4" t="n"/>
      <c r="D28" s="5" t="n">
        <v>563158507</v>
      </c>
      <c r="E28" s="6" t="inlineStr">
        <is>
          <t>HF368912344</t>
        </is>
      </c>
      <c r="F28" s="6" t="inlineStr">
        <is>
          <t>06/19/2026</t>
        </is>
      </c>
      <c r="G28" s="6" t="inlineStr">
        <is>
          <t>CareGuard</t>
        </is>
      </c>
      <c r="H28" s="6" t="inlineStr">
        <is>
          <t>Aetna Medicare PPO</t>
        </is>
      </c>
      <c r="I28" s="6" t="inlineStr">
        <is>
          <t>CareGuard</t>
        </is>
      </c>
      <c r="J28" s="6" t="inlineStr">
        <is>
          <t>A6023</t>
        </is>
      </c>
      <c r="K28" s="4" t="n"/>
      <c r="L28" s="5">
        <f>IF($M28="","",$M28-TODAY())</f>
        <v/>
      </c>
      <c r="M28" s="7" t="n">
        <v>46312</v>
      </c>
      <c r="N28" s="6" t="inlineStr">
        <is>
          <t>120 days</t>
        </is>
      </c>
      <c r="O28" s="6" t="inlineStr">
        <is>
          <t>AETNA</t>
        </is>
      </c>
      <c r="P28" s="6" t="inlineStr">
        <is>
          <t>A1</t>
        </is>
      </c>
      <c r="Q28" s="6" t="n"/>
      <c r="R28" s="6" t="n"/>
      <c r="S28" s="5" t="n">
        <v>20</v>
      </c>
      <c r="T28" s="8" t="n">
        <v>5916.4</v>
      </c>
      <c r="U28" s="8" t="n">
        <v>945.04</v>
      </c>
      <c r="V28" s="8" t="n">
        <v>3960.92</v>
      </c>
      <c r="W28" s="6" t="inlineStr">
        <is>
          <t>07/01/2026</t>
        </is>
      </c>
      <c r="X28" s="8" t="n">
        <v>1010.44</v>
      </c>
      <c r="Y28" s="5" t="n">
        <v>50</v>
      </c>
      <c r="Z28" s="6" t="inlineStr">
        <is>
          <t>G894</t>
        </is>
      </c>
      <c r="AA28" s="6" t="n"/>
      <c r="AB28" s="6" t="n"/>
      <c r="AC28" s="6" t="n"/>
      <c r="AD28" s="5" t="n">
        <v>565293130</v>
      </c>
      <c r="AE28" s="6" t="inlineStr">
        <is>
          <t>KRAUSE, JEFFREY</t>
        </is>
      </c>
      <c r="AF28" s="6" t="inlineStr">
        <is>
          <t>ASAP - DEER VALLEY</t>
        </is>
      </c>
      <c r="AG28" s="6" t="inlineStr">
        <is>
          <t>06/23/2026</t>
        </is>
      </c>
      <c r="AH28" s="6" t="inlineStr">
        <is>
          <t>DME</t>
        </is>
      </c>
      <c r="AI28" s="9" t="inlineStr">
        <is>
          <t>120 days is per our contract rather than a published Aetna policy.</t>
        </is>
      </c>
      <c r="AJ28" s="5" t="n">
        <v>14</v>
      </c>
    </row>
    <row r="29">
      <c r="A29" s="2" t="n"/>
      <c r="B29" s="3" t="n"/>
      <c r="C29" s="4" t="n"/>
      <c r="D29" s="5" t="n">
        <v>565289827</v>
      </c>
      <c r="E29" s="6" t="inlineStr">
        <is>
          <t>HF495192860</t>
        </is>
      </c>
      <c r="F29" s="6" t="inlineStr">
        <is>
          <t>06/29/2026</t>
        </is>
      </c>
      <c r="G29" s="6" t="inlineStr">
        <is>
          <t>AMBETTER</t>
        </is>
      </c>
      <c r="H29" s="6" t="inlineStr">
        <is>
          <t>AMBETTER</t>
        </is>
      </c>
      <c r="I29" s="6" t="inlineStr">
        <is>
          <t>No Payer</t>
        </is>
      </c>
      <c r="J29" s="6" t="inlineStr">
        <is>
          <t>A6023</t>
        </is>
      </c>
      <c r="K29" s="4" t="n"/>
      <c r="L29" s="5">
        <f>IF($M29="","",$M29-TODAY())</f>
        <v/>
      </c>
      <c r="M29" s="7" t="n">
        <v>46322</v>
      </c>
      <c r="N29" s="6" t="inlineStr">
        <is>
          <t>120 days</t>
        </is>
      </c>
      <c r="O29" s="6" t="inlineStr">
        <is>
          <t>AMBETTER</t>
        </is>
      </c>
      <c r="P29" s="6" t="inlineStr">
        <is>
          <t>A1</t>
        </is>
      </c>
      <c r="Q29" s="6" t="n"/>
      <c r="R29" s="6" t="n"/>
      <c r="S29" s="5" t="n">
        <v>10</v>
      </c>
      <c r="T29" s="8" t="n">
        <v>18176.9</v>
      </c>
      <c r="U29" s="8" t="n">
        <v>0</v>
      </c>
      <c r="V29" s="8" t="n">
        <v>0</v>
      </c>
      <c r="W29" s="6" t="n"/>
      <c r="X29" s="8" t="n">
        <v>18176.9</v>
      </c>
      <c r="Y29" s="5" t="n">
        <v>40</v>
      </c>
      <c r="Z29" s="6" t="inlineStr">
        <is>
          <t>G894</t>
        </is>
      </c>
      <c r="AA29" s="6" t="n"/>
      <c r="AB29" s="6" t="n"/>
      <c r="AC29" s="6" t="n"/>
      <c r="AD29" s="5" t="n"/>
      <c r="AE29" s="6" t="inlineStr">
        <is>
          <t>HOLLISTER, ALICIA</t>
        </is>
      </c>
      <c r="AF29" s="6" t="inlineStr">
        <is>
          <t>ASAP - DEER VALLEY</t>
        </is>
      </c>
      <c r="AG29" s="6" t="inlineStr">
        <is>
          <t>07/14/2026</t>
        </is>
      </c>
      <c r="AH29" s="6" t="inlineStr">
        <is>
          <t>DME</t>
        </is>
      </c>
      <c r="AI29" s="9" t="n"/>
      <c r="AJ29" s="5" t="n">
        <v>864</v>
      </c>
    </row>
    <row r="30">
      <c r="A30" s="2" t="n"/>
      <c r="B30" s="3" t="n"/>
      <c r="C30" s="4" t="n"/>
      <c r="D30" s="5" t="n">
        <v>564103202</v>
      </c>
      <c r="E30" s="6" t="inlineStr">
        <is>
          <t>HF541974005</t>
        </is>
      </c>
      <c r="F30" s="6" t="inlineStr">
        <is>
          <t>06/23/2026</t>
        </is>
      </c>
      <c r="G30" s="6" t="inlineStr">
        <is>
          <t>Mercy Care Plan (AHCCCS) - Complete Care &amp; Long Term Care (LTC)</t>
        </is>
      </c>
      <c r="H30" s="6" t="inlineStr">
        <is>
          <t>Mercy Care Plan (AHCCCS) - Complete Care &amp; Long Term Care (LTC)</t>
        </is>
      </c>
      <c r="I30" s="6" t="inlineStr">
        <is>
          <t>No Payer</t>
        </is>
      </c>
      <c r="J30" s="6" t="inlineStr">
        <is>
          <t>A6010</t>
        </is>
      </c>
      <c r="K30" s="4" t="n"/>
      <c r="L30" s="5">
        <f>IF($M30="","",$M30-TODAY())</f>
        <v/>
      </c>
      <c r="M30" s="7" t="n">
        <v>46376</v>
      </c>
      <c r="N30" s="6" t="inlineStr">
        <is>
          <t>180 days</t>
        </is>
      </c>
      <c r="O30" s="6" t="inlineStr">
        <is>
          <t>MERCY CARE MEDICAID</t>
        </is>
      </c>
      <c r="P30" s="6" t="inlineStr">
        <is>
          <t>A2</t>
        </is>
      </c>
      <c r="Q30" s="6" t="n"/>
      <c r="R30" s="6" t="n"/>
      <c r="S30" s="5" t="n">
        <v>20</v>
      </c>
      <c r="T30" s="8" t="n">
        <v>5916.4</v>
      </c>
      <c r="U30" s="8" t="n">
        <v>0</v>
      </c>
      <c r="V30" s="8" t="n">
        <v>0</v>
      </c>
      <c r="W30" s="6" t="inlineStr">
        <is>
          <t>07/08/2026</t>
        </is>
      </c>
      <c r="X30" s="8" t="n">
        <v>5916.4</v>
      </c>
      <c r="Y30" s="5" t="n">
        <v>46</v>
      </c>
      <c r="Z30" s="6" t="inlineStr">
        <is>
          <t>G894</t>
        </is>
      </c>
      <c r="AA30" s="6" t="inlineStr">
        <is>
          <t>M4316</t>
        </is>
      </c>
      <c r="AB30" s="6" t="inlineStr">
        <is>
          <t>M4726</t>
        </is>
      </c>
      <c r="AC30" s="6" t="inlineStr">
        <is>
          <t>M48062</t>
        </is>
      </c>
      <c r="AD30" s="5" t="n"/>
      <c r="AE30" s="6" t="inlineStr">
        <is>
          <t>MCCUNNIFF, PETER</t>
        </is>
      </c>
      <c r="AF30" s="6" t="inlineStr">
        <is>
          <t>ASAP Peoria</t>
        </is>
      </c>
      <c r="AG30" s="6" t="inlineStr">
        <is>
          <t>07/02/2026</t>
        </is>
      </c>
      <c r="AH30" s="6" t="inlineStr">
        <is>
          <t>DME</t>
        </is>
      </c>
      <c r="AI30" s="9" t="n"/>
      <c r="AJ30" s="5" t="n">
        <v>829</v>
      </c>
    </row>
    <row r="31">
      <c r="A31" s="2" t="n"/>
      <c r="B31" s="3" t="n"/>
      <c r="C31" s="4" t="n"/>
      <c r="D31" s="5" t="n">
        <v>562134105</v>
      </c>
      <c r="E31" s="6" t="inlineStr">
        <is>
          <t>HF538936351</t>
        </is>
      </c>
      <c r="F31" s="6" t="inlineStr">
        <is>
          <t>06/02/2026</t>
        </is>
      </c>
      <c r="G31" s="6" t="inlineStr">
        <is>
          <t>Health Choice Arizona</t>
        </is>
      </c>
      <c r="H31" s="6" t="inlineStr">
        <is>
          <t>Health Choice Arizona</t>
        </is>
      </c>
      <c r="I31" s="6" t="inlineStr">
        <is>
          <t>No Payer</t>
        </is>
      </c>
      <c r="J31" s="6" t="inlineStr">
        <is>
          <t>L0457</t>
        </is>
      </c>
      <c r="K31" s="4" t="n"/>
      <c r="L31" s="5">
        <f>IF($M31="","",$M31-TODAY())</f>
        <v/>
      </c>
      <c r="M31" s="7" t="n">
        <v>46389</v>
      </c>
      <c r="N31" s="6" t="inlineStr">
        <is>
          <t>7 months</t>
        </is>
      </c>
      <c r="O31" s="6" t="inlineStr">
        <is>
          <t>HEALTH CHOICE MEDICAID</t>
        </is>
      </c>
      <c r="P31" s="6" t="inlineStr">
        <is>
          <t>KX</t>
        </is>
      </c>
      <c r="Q31" s="6" t="n"/>
      <c r="R31" s="6" t="n"/>
      <c r="S31" s="5" t="n">
        <v>1</v>
      </c>
      <c r="T31" s="8" t="n">
        <v>5320.49</v>
      </c>
      <c r="U31" s="8" t="n">
        <v>0</v>
      </c>
      <c r="V31" s="8" t="n">
        <v>0</v>
      </c>
      <c r="W31" s="6" t="inlineStr">
        <is>
          <t>06/19/2026</t>
        </is>
      </c>
      <c r="X31" s="8" t="n">
        <v>5320.49</v>
      </c>
      <c r="Y31" s="5" t="n">
        <v>67</v>
      </c>
      <c r="Z31" s="6" t="inlineStr">
        <is>
          <t>M47814</t>
        </is>
      </c>
      <c r="AA31" s="6" t="n"/>
      <c r="AB31" s="6" t="n"/>
      <c r="AC31" s="6" t="n"/>
      <c r="AD31" s="5" t="n"/>
      <c r="AE31" s="6" t="inlineStr">
        <is>
          <t>Arshad, Jawad</t>
        </is>
      </c>
      <c r="AF31" s="6" t="inlineStr">
        <is>
          <t>ASAP - Mesa</t>
        </is>
      </c>
      <c r="AG31" s="6" t="inlineStr">
        <is>
          <t>06/12/2026</t>
        </is>
      </c>
      <c r="AH31" s="6" t="inlineStr">
        <is>
          <t>DME</t>
        </is>
      </c>
      <c r="AI31" s="9" t="inlineStr">
        <is>
          <t>7 months because Health Choice is the primary payer here (6 months when it is not). Counted in calendar months.</t>
        </is>
      </c>
      <c r="AJ31" s="5" t="n">
        <v>397</v>
      </c>
    </row>
    <row r="32">
      <c r="A32" s="2" t="inlineStr">
        <is>
          <t>Finalized</t>
        </is>
      </c>
      <c r="B32" s="3" t="n"/>
      <c r="C32" s="4" t="n"/>
      <c r="D32" s="5" t="n">
        <v>564663754</v>
      </c>
      <c r="E32" s="6" t="inlineStr">
        <is>
          <t>HF555347656</t>
        </is>
      </c>
      <c r="F32" s="6" t="inlineStr">
        <is>
          <t>06/01/2026</t>
        </is>
      </c>
      <c r="G32" s="6" t="inlineStr">
        <is>
          <t>United Healthcare</t>
        </is>
      </c>
      <c r="H32" s="6" t="inlineStr">
        <is>
          <t>DME Region D</t>
        </is>
      </c>
      <c r="I32" s="6" t="inlineStr">
        <is>
          <t>United Healthcare</t>
        </is>
      </c>
      <c r="J32" s="6" t="inlineStr">
        <is>
          <t>A6023</t>
        </is>
      </c>
      <c r="K32" s="4" t="n"/>
      <c r="L32" s="5">
        <f>IF($M32="","",$M32-TODAY())</f>
        <v/>
      </c>
      <c r="M32" s="7" t="n">
        <v>46539</v>
      </c>
      <c r="N32" s="6" t="inlineStr">
        <is>
          <t>365 days</t>
        </is>
      </c>
      <c r="O32" s="6" t="inlineStr">
        <is>
          <t>MEDICARE</t>
        </is>
      </c>
      <c r="P32" s="6" t="inlineStr">
        <is>
          <t>A2</t>
        </is>
      </c>
      <c r="Q32" s="6" t="n"/>
      <c r="R32" s="6" t="n"/>
      <c r="S32" s="5" t="n">
        <v>40</v>
      </c>
      <c r="T32" s="8" t="n">
        <v>72707.60000000001</v>
      </c>
      <c r="U32" s="8" t="n">
        <v>62032.38</v>
      </c>
      <c r="V32" s="8" t="n">
        <v>8505.459999999999</v>
      </c>
      <c r="W32" s="6" t="inlineStr">
        <is>
          <t>07/21/2026</t>
        </is>
      </c>
      <c r="X32" s="8" t="n">
        <v>2169.76</v>
      </c>
      <c r="Y32" s="5" t="n">
        <v>68</v>
      </c>
      <c r="Z32" s="6" t="inlineStr">
        <is>
          <t>G894</t>
        </is>
      </c>
      <c r="AA32" s="6" t="n"/>
      <c r="AB32" s="6" t="n"/>
      <c r="AC32" s="6" t="n"/>
      <c r="AD32" s="5" t="n">
        <v>567791216</v>
      </c>
      <c r="AE32" s="6" t="inlineStr">
        <is>
          <t>Advanced Spine and Pain LLC DME GIL</t>
        </is>
      </c>
      <c r="AF32" s="6" t="inlineStr">
        <is>
          <t>Advanced Spine and Pain LLC DME - Gilbert</t>
        </is>
      </c>
      <c r="AG32" s="6" t="inlineStr">
        <is>
          <t>07/08/2026</t>
        </is>
      </c>
      <c r="AH32" s="6" t="inlineStr">
        <is>
          <t>DME</t>
        </is>
      </c>
      <c r="AI32" s="9" t="n"/>
      <c r="AJ32" s="5" t="n">
        <v>84</v>
      </c>
    </row>
    <row r="33">
      <c r="A33" s="2" t="n"/>
      <c r="B33" s="3" t="n"/>
      <c r="C33" s="4" t="n"/>
      <c r="D33" s="5" t="n">
        <v>562148651</v>
      </c>
      <c r="E33" s="6" t="inlineStr">
        <is>
          <t>HF545128862</t>
        </is>
      </c>
      <c r="F33" s="6" t="inlineStr">
        <is>
          <t>06/04/2026</t>
        </is>
      </c>
      <c r="G33" s="6" t="inlineStr">
        <is>
          <t>DME Region D</t>
        </is>
      </c>
      <c r="H33" s="6" t="inlineStr">
        <is>
          <t>DME Region D</t>
        </is>
      </c>
      <c r="I33" s="6" t="inlineStr">
        <is>
          <t>CSI Life Medicare Supplement</t>
        </is>
      </c>
      <c r="J33" s="6" t="inlineStr">
        <is>
          <t>L3916</t>
        </is>
      </c>
      <c r="K33" s="4" t="n"/>
      <c r="L33" s="5">
        <f>IF($M33="","",$M33-TODAY())</f>
        <v/>
      </c>
      <c r="M33" s="7" t="n">
        <v>46542</v>
      </c>
      <c r="N33" s="6" t="inlineStr">
        <is>
          <t>365 days</t>
        </is>
      </c>
      <c r="O33" s="6" t="inlineStr">
        <is>
          <t>MEDICARE</t>
        </is>
      </c>
      <c r="P33" s="6" t="inlineStr">
        <is>
          <t>KX</t>
        </is>
      </c>
      <c r="Q33" s="6" t="inlineStr">
        <is>
          <t>RT</t>
        </is>
      </c>
      <c r="R33" s="6" t="n"/>
      <c r="S33" s="5" t="n">
        <v>1</v>
      </c>
      <c r="T33" s="8" t="n">
        <v>3790.43</v>
      </c>
      <c r="U33" s="8" t="n">
        <v>0</v>
      </c>
      <c r="V33" s="8" t="n">
        <v>0</v>
      </c>
      <c r="W33" s="6" t="inlineStr">
        <is>
          <t>06/15/2026</t>
        </is>
      </c>
      <c r="X33" s="8" t="n">
        <v>3790.43</v>
      </c>
      <c r="Y33" s="5" t="n">
        <v>65</v>
      </c>
      <c r="Z33" s="6" t="inlineStr">
        <is>
          <t>G5601</t>
        </is>
      </c>
      <c r="AA33" s="6" t="n"/>
      <c r="AB33" s="6" t="n"/>
      <c r="AC33" s="6" t="n"/>
      <c r="AD33" s="5" t="n"/>
      <c r="AE33" s="6" t="inlineStr">
        <is>
          <t>Advanced Spine and Pain LLC DME GWY</t>
        </is>
      </c>
      <c r="AF33" s="6" t="inlineStr">
        <is>
          <t>Advanced Spine and Pain LLC DME - Greenway</t>
        </is>
      </c>
      <c r="AG33" s="6" t="inlineStr">
        <is>
          <t>06/12/2026</t>
        </is>
      </c>
      <c r="AH33" s="6" t="inlineStr">
        <is>
          <t>DME</t>
        </is>
      </c>
      <c r="AI33" s="9" t="n"/>
      <c r="AJ33" s="5" t="n">
        <v>398</v>
      </c>
    </row>
    <row r="34">
      <c r="A34" s="2" t="n"/>
      <c r="B34" s="3" t="n"/>
      <c r="C34" s="4" t="n"/>
      <c r="D34" s="5" t="n">
        <v>562696935</v>
      </c>
      <c r="E34" s="6" t="inlineStr">
        <is>
          <t>HF428858741</t>
        </is>
      </c>
      <c r="F34" s="6" t="inlineStr">
        <is>
          <t>06/04/2026</t>
        </is>
      </c>
      <c r="G34" s="6" t="inlineStr">
        <is>
          <t>DME Region D</t>
        </is>
      </c>
      <c r="H34" s="6" t="inlineStr">
        <is>
          <t>DME Region D</t>
        </is>
      </c>
      <c r="I34" s="6" t="inlineStr">
        <is>
          <t>Tricare for Life (All Regions)</t>
        </is>
      </c>
      <c r="J34" s="6" t="inlineStr">
        <is>
          <t>L1851</t>
        </is>
      </c>
      <c r="K34" s="4" t="n"/>
      <c r="L34" s="5">
        <f>IF($M34="","",$M34-TODAY())</f>
        <v/>
      </c>
      <c r="M34" s="7" t="n">
        <v>46542</v>
      </c>
      <c r="N34" s="6" t="inlineStr">
        <is>
          <t>365 days</t>
        </is>
      </c>
      <c r="O34" s="6" t="inlineStr">
        <is>
          <t>MEDICARE</t>
        </is>
      </c>
      <c r="P34" s="6" t="inlineStr">
        <is>
          <t>KX</t>
        </is>
      </c>
      <c r="Q34" s="6" t="inlineStr">
        <is>
          <t>LT</t>
        </is>
      </c>
      <c r="R34" s="6" t="n"/>
      <c r="S34" s="5" t="n">
        <v>1</v>
      </c>
      <c r="T34" s="8" t="n">
        <v>4520.11</v>
      </c>
      <c r="U34" s="8" t="n">
        <v>0</v>
      </c>
      <c r="V34" s="8" t="n">
        <v>0</v>
      </c>
      <c r="W34" s="6" t="inlineStr">
        <is>
          <t>06/22/2026</t>
        </is>
      </c>
      <c r="X34" s="8" t="n">
        <v>4520.11</v>
      </c>
      <c r="Y34" s="5" t="n">
        <v>65</v>
      </c>
      <c r="Z34" s="6" t="inlineStr">
        <is>
          <t>M1712</t>
        </is>
      </c>
      <c r="AA34" s="6" t="n"/>
      <c r="AB34" s="6" t="n"/>
      <c r="AC34" s="6" t="n"/>
      <c r="AD34" s="5" t="n"/>
      <c r="AE34" s="6" t="inlineStr">
        <is>
          <t>Advanced Spine and Pain LLC DME GWY</t>
        </is>
      </c>
      <c r="AF34" s="6" t="inlineStr">
        <is>
          <t>Advanced Spine and Pain LLC DME - Greenway</t>
        </is>
      </c>
      <c r="AG34" s="6" t="inlineStr">
        <is>
          <t>06/18/2026</t>
        </is>
      </c>
      <c r="AH34" s="6" t="inlineStr">
        <is>
          <t>DME</t>
        </is>
      </c>
      <c r="AI34" s="9" t="n"/>
      <c r="AJ34" s="5" t="n">
        <v>739</v>
      </c>
    </row>
    <row r="35">
      <c r="A35" s="2" t="n"/>
      <c r="B35" s="3" t="n"/>
      <c r="C35" s="4" t="n"/>
      <c r="D35" s="5" t="n">
        <v>562696935</v>
      </c>
      <c r="E35" s="6" t="inlineStr">
        <is>
          <t>HF428858741</t>
        </is>
      </c>
      <c r="F35" s="6" t="inlineStr">
        <is>
          <t>06/04/2026</t>
        </is>
      </c>
      <c r="G35" s="6" t="inlineStr">
        <is>
          <t>DME Region D</t>
        </is>
      </c>
      <c r="H35" s="6" t="inlineStr">
        <is>
          <t>DME Region D</t>
        </is>
      </c>
      <c r="I35" s="6" t="inlineStr">
        <is>
          <t>Tricare for Life (All Regions)</t>
        </is>
      </c>
      <c r="J35" s="6" t="inlineStr">
        <is>
          <t>L1851</t>
        </is>
      </c>
      <c r="K35" s="4" t="n"/>
      <c r="L35" s="5">
        <f>IF($M35="","",$M35-TODAY())</f>
        <v/>
      </c>
      <c r="M35" s="7" t="n">
        <v>46542</v>
      </c>
      <c r="N35" s="6" t="inlineStr">
        <is>
          <t>365 days</t>
        </is>
      </c>
      <c r="O35" s="6" t="inlineStr">
        <is>
          <t>MEDICARE</t>
        </is>
      </c>
      <c r="P35" s="6" t="inlineStr">
        <is>
          <t>KX</t>
        </is>
      </c>
      <c r="Q35" s="6" t="inlineStr">
        <is>
          <t>RT</t>
        </is>
      </c>
      <c r="R35" s="6" t="n"/>
      <c r="S35" s="5" t="n">
        <v>1</v>
      </c>
      <c r="T35" s="8" t="n">
        <v>4520.11</v>
      </c>
      <c r="U35" s="8" t="n">
        <v>0</v>
      </c>
      <c r="V35" s="8" t="n">
        <v>0</v>
      </c>
      <c r="W35" s="6" t="inlineStr">
        <is>
          <t>06/22/2026</t>
        </is>
      </c>
      <c r="X35" s="8" t="n">
        <v>4520.11</v>
      </c>
      <c r="Y35" s="5" t="n">
        <v>65</v>
      </c>
      <c r="Z35" s="6" t="inlineStr">
        <is>
          <t>M1711</t>
        </is>
      </c>
      <c r="AA35" s="6" t="n"/>
      <c r="AB35" s="6" t="n"/>
      <c r="AC35" s="6" t="n"/>
      <c r="AD35" s="5" t="n"/>
      <c r="AE35" s="6" t="inlineStr">
        <is>
          <t>Advanced Spine and Pain LLC DME GWY</t>
        </is>
      </c>
      <c r="AF35" s="6" t="inlineStr">
        <is>
          <t>Advanced Spine and Pain LLC DME - Greenway</t>
        </is>
      </c>
      <c r="AG35" s="6" t="inlineStr">
        <is>
          <t>06/18/2026</t>
        </is>
      </c>
      <c r="AH35" s="6" t="inlineStr">
        <is>
          <t>DME</t>
        </is>
      </c>
      <c r="AI35" s="9" t="n"/>
      <c r="AJ35" s="5" t="n">
        <v>740</v>
      </c>
    </row>
    <row r="36">
      <c r="A36" s="2" t="inlineStr">
        <is>
          <t>Finalized</t>
        </is>
      </c>
      <c r="B36" s="3" t="n"/>
      <c r="C36" s="4" t="n"/>
      <c r="D36" s="5" t="n">
        <v>562140958</v>
      </c>
      <c r="E36" s="6" t="inlineStr">
        <is>
          <t>HF340120024</t>
        </is>
      </c>
      <c r="F36" s="6" t="inlineStr">
        <is>
          <t>06/05/2026</t>
        </is>
      </c>
      <c r="G36" s="6" t="inlineStr">
        <is>
          <t>Blue Cross Blue Shield of Arizona (BCBS AZ)</t>
        </is>
      </c>
      <c r="H36" s="6" t="inlineStr">
        <is>
          <t>DME Region D</t>
        </is>
      </c>
      <c r="I36" s="6" t="inlineStr">
        <is>
          <t>Blue Cross Blue Shield of Arizona (BCBS AZ)</t>
        </is>
      </c>
      <c r="J36" s="6" t="inlineStr">
        <is>
          <t>A6023</t>
        </is>
      </c>
      <c r="K36" s="4" t="n"/>
      <c r="L36" s="5">
        <f>IF($M36="","",$M36-TODAY())</f>
        <v/>
      </c>
      <c r="M36" s="7" t="n">
        <v>46543</v>
      </c>
      <c r="N36" s="6" t="inlineStr">
        <is>
          <t>365 days</t>
        </is>
      </c>
      <c r="O36" s="6" t="inlineStr">
        <is>
          <t>MEDICARE</t>
        </is>
      </c>
      <c r="P36" s="6" t="inlineStr">
        <is>
          <t>A2</t>
        </is>
      </c>
      <c r="Q36" s="6" t="n"/>
      <c r="R36" s="6" t="n"/>
      <c r="S36" s="5" t="n">
        <v>20</v>
      </c>
      <c r="T36" s="8" t="n">
        <v>36353.8</v>
      </c>
      <c r="U36" s="8" t="n">
        <v>31016.19</v>
      </c>
      <c r="V36" s="8" t="n">
        <v>4252.73</v>
      </c>
      <c r="W36" s="6" t="inlineStr">
        <is>
          <t>07/14/2026</t>
        </is>
      </c>
      <c r="X36" s="8" t="n">
        <v>1084.88</v>
      </c>
      <c r="Y36" s="5" t="n">
        <v>64</v>
      </c>
      <c r="Z36" s="6" t="inlineStr">
        <is>
          <t>G894</t>
        </is>
      </c>
      <c r="AA36" s="6" t="n"/>
      <c r="AB36" s="6" t="n"/>
      <c r="AC36" s="6" t="n"/>
      <c r="AD36" s="5" t="n">
        <v>564721141</v>
      </c>
      <c r="AE36" s="6" t="inlineStr">
        <is>
          <t>Advanced Spine and Pain LLC DME GYR</t>
        </is>
      </c>
      <c r="AF36" s="6" t="inlineStr">
        <is>
          <t>Advanced Spine and Pain LLC DME - Goodyear</t>
        </is>
      </c>
      <c r="AG36" s="6" t="inlineStr">
        <is>
          <t>06/12/2026</t>
        </is>
      </c>
      <c r="AH36" s="6" t="inlineStr">
        <is>
          <t>DME</t>
        </is>
      </c>
      <c r="AI36" s="9" t="n"/>
      <c r="AJ36" s="5" t="n">
        <v>73</v>
      </c>
    </row>
    <row r="37">
      <c r="A37" s="2" t="inlineStr">
        <is>
          <t>Finalized</t>
        </is>
      </c>
      <c r="B37" s="3" t="n"/>
      <c r="C37" s="4" t="n"/>
      <c r="D37" s="5" t="n">
        <v>564632097</v>
      </c>
      <c r="E37" s="6" t="inlineStr">
        <is>
          <t>HF446078490</t>
        </is>
      </c>
      <c r="F37" s="6" t="inlineStr">
        <is>
          <t>06/08/2026</t>
        </is>
      </c>
      <c r="G37" s="6" t="inlineStr">
        <is>
          <t>Aetna Life &amp; Casualty Company</t>
        </is>
      </c>
      <c r="H37" s="6" t="inlineStr">
        <is>
          <t>DME Region D</t>
        </is>
      </c>
      <c r="I37" s="6" t="inlineStr">
        <is>
          <t>Aetna Life &amp; Casualty Company</t>
        </is>
      </c>
      <c r="J37" s="6" t="inlineStr">
        <is>
          <t>A6010</t>
        </is>
      </c>
      <c r="K37" s="4" t="n"/>
      <c r="L37" s="5">
        <f>IF($M37="","",$M37-TODAY())</f>
        <v/>
      </c>
      <c r="M37" s="7" t="n">
        <v>46546</v>
      </c>
      <c r="N37" s="6" t="inlineStr">
        <is>
          <t>365 days</t>
        </is>
      </c>
      <c r="O37" s="6" t="inlineStr">
        <is>
          <t>MEDICARE</t>
        </is>
      </c>
      <c r="P37" s="6" t="inlineStr">
        <is>
          <t>A1</t>
        </is>
      </c>
      <c r="Q37" s="6" t="n"/>
      <c r="R37" s="6" t="n"/>
      <c r="S37" s="5" t="n">
        <v>20</v>
      </c>
      <c r="T37" s="8" t="n">
        <v>5916.4</v>
      </c>
      <c r="U37" s="8" t="n">
        <v>5047.72</v>
      </c>
      <c r="V37" s="8" t="n">
        <v>692.12</v>
      </c>
      <c r="W37" s="6" t="inlineStr">
        <is>
          <t>07/21/2026</t>
        </is>
      </c>
      <c r="X37" s="8" t="n">
        <v>176.56</v>
      </c>
      <c r="Y37" s="5" t="n">
        <v>61</v>
      </c>
      <c r="Z37" s="6" t="inlineStr">
        <is>
          <t>G894</t>
        </is>
      </c>
      <c r="AA37" s="6" t="n"/>
      <c r="AB37" s="6" t="n"/>
      <c r="AC37" s="6" t="n"/>
      <c r="AD37" s="5" t="n">
        <v>567791220</v>
      </c>
      <c r="AE37" s="6" t="inlineStr">
        <is>
          <t>Advanced Spine and Pain LLC DME GIL</t>
        </is>
      </c>
      <c r="AF37" s="6" t="inlineStr">
        <is>
          <t>Advanced Spine and Pain LLC DME - Gilbert</t>
        </is>
      </c>
      <c r="AG37" s="6" t="inlineStr">
        <is>
          <t>07/08/2026</t>
        </is>
      </c>
      <c r="AH37" s="6" t="inlineStr">
        <is>
          <t>DME</t>
        </is>
      </c>
      <c r="AI37" s="9" t="n"/>
      <c r="AJ37" s="5" t="n">
        <v>322</v>
      </c>
    </row>
    <row r="38">
      <c r="A38" s="2" t="n"/>
      <c r="B38" s="3" t="n"/>
      <c r="C38" s="4" t="n"/>
      <c r="D38" s="5" t="n">
        <v>564672683</v>
      </c>
      <c r="E38" s="6" t="inlineStr">
        <is>
          <t>HF561443798</t>
        </is>
      </c>
      <c r="F38" s="6" t="inlineStr">
        <is>
          <t>06/08/2026</t>
        </is>
      </c>
      <c r="G38" s="6" t="inlineStr">
        <is>
          <t>DME Region D</t>
        </is>
      </c>
      <c r="H38" s="6" t="inlineStr">
        <is>
          <t>DME Region D</t>
        </is>
      </c>
      <c r="I38" s="6" t="inlineStr">
        <is>
          <t>Tricare for Life (All Regions)</t>
        </is>
      </c>
      <c r="J38" s="6" t="inlineStr">
        <is>
          <t>A6023</t>
        </is>
      </c>
      <c r="K38" s="4" t="n"/>
      <c r="L38" s="5">
        <f>IF($M38="","",$M38-TODAY())</f>
        <v/>
      </c>
      <c r="M38" s="7" t="n">
        <v>46546</v>
      </c>
      <c r="N38" s="6" t="inlineStr">
        <is>
          <t>365 days</t>
        </is>
      </c>
      <c r="O38" s="6" t="inlineStr">
        <is>
          <t>MEDICARE</t>
        </is>
      </c>
      <c r="P38" s="6" t="inlineStr">
        <is>
          <t>A1</t>
        </is>
      </c>
      <c r="Q38" s="6" t="n"/>
      <c r="R38" s="6" t="n"/>
      <c r="S38" s="5" t="n">
        <v>10</v>
      </c>
      <c r="T38" s="8" t="n">
        <v>18176.9</v>
      </c>
      <c r="U38" s="8" t="n">
        <v>0</v>
      </c>
      <c r="V38" s="8" t="n">
        <v>0</v>
      </c>
      <c r="W38" s="6" t="n"/>
      <c r="X38" s="8" t="n">
        <v>18176.9</v>
      </c>
      <c r="Y38" s="5" t="n">
        <v>61</v>
      </c>
      <c r="Z38" s="6" t="inlineStr">
        <is>
          <t>G894</t>
        </is>
      </c>
      <c r="AA38" s="6" t="n"/>
      <c r="AB38" s="6" t="n"/>
      <c r="AC38" s="6" t="n"/>
      <c r="AD38" s="5" t="n"/>
      <c r="AE38" s="6" t="inlineStr">
        <is>
          <t>Advanced Spine and Pain LLC DME SUR</t>
        </is>
      </c>
      <c r="AF38" s="6" t="inlineStr">
        <is>
          <t>Advanced Spine and Pain LLC DME - Surprise Reems</t>
        </is>
      </c>
      <c r="AG38" s="6" t="inlineStr">
        <is>
          <t>07/08/2026</t>
        </is>
      </c>
      <c r="AH38" s="6" t="inlineStr">
        <is>
          <t>DME</t>
        </is>
      </c>
      <c r="AI38" s="9" t="n"/>
      <c r="AJ38" s="5" t="n">
        <v>840</v>
      </c>
    </row>
    <row r="39">
      <c r="A39" s="2" t="n"/>
      <c r="B39" s="3" t="n"/>
      <c r="C39" s="4" t="n"/>
      <c r="D39" s="5" t="n">
        <v>562699568</v>
      </c>
      <c r="E39" s="6" t="inlineStr">
        <is>
          <t>HF548675546</t>
        </is>
      </c>
      <c r="F39" s="6" t="inlineStr">
        <is>
          <t>06/09/2026</t>
        </is>
      </c>
      <c r="G39" s="6" t="inlineStr">
        <is>
          <t>DME Region D</t>
        </is>
      </c>
      <c r="H39" s="6" t="inlineStr">
        <is>
          <t>DME Region D</t>
        </is>
      </c>
      <c r="I39" s="6" t="inlineStr">
        <is>
          <t>AARP United Healthcare</t>
        </is>
      </c>
      <c r="J39" s="6" t="inlineStr">
        <is>
          <t>L0648</t>
        </is>
      </c>
      <c r="K39" s="4" t="n"/>
      <c r="L39" s="5">
        <f>IF($M39="","",$M39-TODAY())</f>
        <v/>
      </c>
      <c r="M39" s="7" t="n">
        <v>46547</v>
      </c>
      <c r="N39" s="6" t="inlineStr">
        <is>
          <t>365 days</t>
        </is>
      </c>
      <c r="O39" s="6" t="inlineStr">
        <is>
          <t>MEDICARE</t>
        </is>
      </c>
      <c r="P39" s="6" t="inlineStr">
        <is>
          <t>KX</t>
        </is>
      </c>
      <c r="Q39" s="6" t="n"/>
      <c r="R39" s="6" t="n"/>
      <c r="S39" s="5" t="n">
        <v>1</v>
      </c>
      <c r="T39" s="8" t="n">
        <v>5492.55</v>
      </c>
      <c r="U39" s="8" t="n">
        <v>0</v>
      </c>
      <c r="V39" s="8" t="n">
        <v>0</v>
      </c>
      <c r="W39" s="6" t="n"/>
      <c r="X39" s="8" t="n">
        <v>5492.55</v>
      </c>
      <c r="Y39" s="5" t="n">
        <v>60</v>
      </c>
      <c r="Z39" s="6" t="inlineStr">
        <is>
          <t>M533</t>
        </is>
      </c>
      <c r="AA39" s="6" t="n"/>
      <c r="AB39" s="6" t="n"/>
      <c r="AC39" s="6" t="n"/>
      <c r="AD39" s="5" t="n"/>
      <c r="AE39" s="6" t="inlineStr">
        <is>
          <t>Advanced Spine and Pain LLC DME GIL</t>
        </is>
      </c>
      <c r="AF39" s="6" t="inlineStr">
        <is>
          <t>Advanced Spine and Pain LLC DME - Gilbert</t>
        </is>
      </c>
      <c r="AG39" s="6" t="inlineStr">
        <is>
          <t>06/18/2026</t>
        </is>
      </c>
      <c r="AH39" s="6" t="inlineStr">
        <is>
          <t>DME</t>
        </is>
      </c>
      <c r="AI39" s="9" t="n"/>
      <c r="AJ39" s="5" t="n">
        <v>951</v>
      </c>
    </row>
    <row r="40">
      <c r="A40" s="2" t="inlineStr">
        <is>
          <t>Finalized</t>
        </is>
      </c>
      <c r="B40" s="3" t="n"/>
      <c r="C40" s="4" t="n"/>
      <c r="D40" s="5" t="n">
        <v>562552530</v>
      </c>
      <c r="E40" s="6" t="inlineStr">
        <is>
          <t>HF489743294</t>
        </is>
      </c>
      <c r="F40" s="6" t="inlineStr">
        <is>
          <t>06/12/2026</t>
        </is>
      </c>
      <c r="G40" s="6" t="inlineStr">
        <is>
          <t>AARP United Healthcare</t>
        </is>
      </c>
      <c r="H40" s="6" t="inlineStr">
        <is>
          <t>DME Region D</t>
        </is>
      </c>
      <c r="I40" s="6" t="inlineStr">
        <is>
          <t>AARP United Healthcare</t>
        </is>
      </c>
      <c r="J40" s="6" t="inlineStr">
        <is>
          <t>A6010</t>
        </is>
      </c>
      <c r="K40" s="4" t="n"/>
      <c r="L40" s="5">
        <f>IF($M40="","",$M40-TODAY())</f>
        <v/>
      </c>
      <c r="M40" s="7" t="n">
        <v>46550</v>
      </c>
      <c r="N40" s="6" t="inlineStr">
        <is>
          <t>365 days</t>
        </is>
      </c>
      <c r="O40" s="6" t="inlineStr">
        <is>
          <t>MEDICARE</t>
        </is>
      </c>
      <c r="P40" s="6" t="inlineStr">
        <is>
          <t>A1</t>
        </is>
      </c>
      <c r="Q40" s="6" t="n"/>
      <c r="R40" s="6" t="n"/>
      <c r="S40" s="5" t="n">
        <v>10</v>
      </c>
      <c r="T40" s="8" t="n">
        <v>2958.2</v>
      </c>
      <c r="U40" s="8" t="n">
        <v>2523.86</v>
      </c>
      <c r="V40" s="8" t="n">
        <v>346.06</v>
      </c>
      <c r="W40" s="6" t="inlineStr">
        <is>
          <t>07/01/2026</t>
        </is>
      </c>
      <c r="X40" s="8" t="n">
        <v>88.28</v>
      </c>
      <c r="Y40" s="5" t="n">
        <v>57</v>
      </c>
      <c r="Z40" s="6" t="inlineStr">
        <is>
          <t>G894</t>
        </is>
      </c>
      <c r="AA40" s="6" t="n"/>
      <c r="AB40" s="6" t="n"/>
      <c r="AC40" s="6" t="n"/>
      <c r="AD40" s="5" t="n">
        <v>565293120</v>
      </c>
      <c r="AE40" s="6" t="inlineStr">
        <is>
          <t>Advanced Spine and Pain LLC DME GWY</t>
        </is>
      </c>
      <c r="AF40" s="6" t="inlineStr">
        <is>
          <t>Advanced Spine and Pain LLC DME - Greenway</t>
        </is>
      </c>
      <c r="AG40" s="6" t="inlineStr">
        <is>
          <t>06/17/2026</t>
        </is>
      </c>
      <c r="AH40" s="6" t="inlineStr">
        <is>
          <t>DME</t>
        </is>
      </c>
      <c r="AI40" s="9" t="n"/>
      <c r="AJ40" s="5" t="n">
        <v>159</v>
      </c>
    </row>
    <row r="41">
      <c r="A41" s="2" t="n"/>
      <c r="B41" s="3" t="n"/>
      <c r="C41" s="4" t="n"/>
      <c r="D41" s="5" t="n">
        <v>562575728</v>
      </c>
      <c r="E41" s="6" t="inlineStr">
        <is>
          <t>HF521220935</t>
        </is>
      </c>
      <c r="F41" s="6" t="inlineStr">
        <is>
          <t>06/12/2026</t>
        </is>
      </c>
      <c r="G41" s="6" t="inlineStr">
        <is>
          <t>DME Region D</t>
        </is>
      </c>
      <c r="H41" s="6" t="inlineStr">
        <is>
          <t>DME Region D</t>
        </is>
      </c>
      <c r="I41" s="6" t="inlineStr">
        <is>
          <t>No Payer</t>
        </is>
      </c>
      <c r="J41" s="6" t="inlineStr">
        <is>
          <t>A6023</t>
        </is>
      </c>
      <c r="K41" s="4" t="n"/>
      <c r="L41" s="5">
        <f>IF($M41="","",$M41-TODAY())</f>
        <v/>
      </c>
      <c r="M41" s="7" t="n">
        <v>46550</v>
      </c>
      <c r="N41" s="6" t="inlineStr">
        <is>
          <t>365 days</t>
        </is>
      </c>
      <c r="O41" s="6" t="inlineStr">
        <is>
          <t>MEDICARE</t>
        </is>
      </c>
      <c r="P41" s="6" t="inlineStr">
        <is>
          <t>A1</t>
        </is>
      </c>
      <c r="Q41" s="6" t="n"/>
      <c r="R41" s="6" t="n"/>
      <c r="S41" s="5" t="n">
        <v>10</v>
      </c>
      <c r="T41" s="8" t="n">
        <v>18176.9</v>
      </c>
      <c r="U41" s="8" t="n">
        <v>0</v>
      </c>
      <c r="V41" s="8" t="n">
        <v>542.4400000000001</v>
      </c>
      <c r="W41" s="6" t="inlineStr">
        <is>
          <t>07/15/2026</t>
        </is>
      </c>
      <c r="X41" s="8" t="n">
        <v>17634.46</v>
      </c>
      <c r="Y41" s="5" t="n">
        <v>57</v>
      </c>
      <c r="Z41" s="6" t="inlineStr">
        <is>
          <t>G894</t>
        </is>
      </c>
      <c r="AA41" s="6" t="inlineStr">
        <is>
          <t>M48062</t>
        </is>
      </c>
      <c r="AB41" s="6" t="n"/>
      <c r="AC41" s="6" t="n"/>
      <c r="AD41" s="5" t="n"/>
      <c r="AE41" s="6" t="inlineStr">
        <is>
          <t>Advanced Spine and Pain LLC DME SUR</t>
        </is>
      </c>
      <c r="AF41" s="6" t="inlineStr">
        <is>
          <t>Advanced Spine and Pain LLC DME - Surprise Reems</t>
        </is>
      </c>
      <c r="AG41" s="6" t="inlineStr">
        <is>
          <t>06/17/2026</t>
        </is>
      </c>
      <c r="AH41" s="6" t="inlineStr">
        <is>
          <t>DME</t>
        </is>
      </c>
      <c r="AI41" s="9" t="n"/>
      <c r="AJ41" s="5" t="n">
        <v>727</v>
      </c>
    </row>
    <row r="42">
      <c r="A42" s="2" t="inlineStr">
        <is>
          <t>Finalized</t>
        </is>
      </c>
      <c r="B42" s="3" t="n"/>
      <c r="C42" s="4" t="n"/>
      <c r="D42" s="5" t="n">
        <v>563141909</v>
      </c>
      <c r="E42" s="6" t="inlineStr">
        <is>
          <t>HF543820901</t>
        </is>
      </c>
      <c r="F42" s="6" t="inlineStr">
        <is>
          <t>06/15/2026</t>
        </is>
      </c>
      <c r="G42" s="6" t="inlineStr">
        <is>
          <t>AARP United Healthcare</t>
        </is>
      </c>
      <c r="H42" s="6" t="inlineStr">
        <is>
          <t>DME Region D</t>
        </is>
      </c>
      <c r="I42" s="6" t="inlineStr">
        <is>
          <t>AARP United Healthcare</t>
        </is>
      </c>
      <c r="J42" s="6" t="inlineStr">
        <is>
          <t>A6023</t>
        </is>
      </c>
      <c r="K42" s="4" t="n"/>
      <c r="L42" s="5">
        <f>IF($M42="","",$M42-TODAY())</f>
        <v/>
      </c>
      <c r="M42" s="7" t="n">
        <v>46553</v>
      </c>
      <c r="N42" s="6" t="inlineStr">
        <is>
          <t>365 days</t>
        </is>
      </c>
      <c r="O42" s="6" t="inlineStr">
        <is>
          <t>MEDICARE</t>
        </is>
      </c>
      <c r="P42" s="6" t="inlineStr">
        <is>
          <t>A1</t>
        </is>
      </c>
      <c r="Q42" s="6" t="n"/>
      <c r="R42" s="6" t="n"/>
      <c r="S42" s="5" t="n">
        <v>20</v>
      </c>
      <c r="T42" s="8" t="n">
        <v>36353.8</v>
      </c>
      <c r="U42" s="8" t="n">
        <v>31016.19</v>
      </c>
      <c r="V42" s="8" t="n">
        <v>4252.73</v>
      </c>
      <c r="W42" s="6" t="inlineStr">
        <is>
          <t>07/07/2026</t>
        </is>
      </c>
      <c r="X42" s="8" t="n">
        <v>1084.88</v>
      </c>
      <c r="Y42" s="5" t="n">
        <v>54</v>
      </c>
      <c r="Z42" s="6" t="inlineStr">
        <is>
          <t>G894</t>
        </is>
      </c>
      <c r="AA42" s="6" t="inlineStr">
        <is>
          <t>M48062</t>
        </is>
      </c>
      <c r="AB42" s="6" t="n"/>
      <c r="AC42" s="6" t="n"/>
      <c r="AD42" s="5" t="n">
        <v>566075635</v>
      </c>
      <c r="AE42" s="6" t="inlineStr">
        <is>
          <t>Advanced Spine and Pain LLC DME GIL</t>
        </is>
      </c>
      <c r="AF42" s="6" t="inlineStr">
        <is>
          <t>Advanced Spine and Pain LLC DME - Gilbert</t>
        </is>
      </c>
      <c r="AG42" s="6" t="inlineStr">
        <is>
          <t>06/23/2026</t>
        </is>
      </c>
      <c r="AH42" s="6" t="inlineStr">
        <is>
          <t>DME</t>
        </is>
      </c>
      <c r="AI42" s="9" t="n"/>
      <c r="AJ42" s="5" t="n">
        <v>271</v>
      </c>
    </row>
    <row r="43">
      <c r="A43" s="2" t="inlineStr">
        <is>
          <t>Finalized</t>
        </is>
      </c>
      <c r="B43" s="3" t="n"/>
      <c r="C43" s="4" t="n"/>
      <c r="D43" s="5" t="n">
        <v>563154769</v>
      </c>
      <c r="E43" s="6" t="inlineStr">
        <is>
          <t>HF514519994</t>
        </is>
      </c>
      <c r="F43" s="6" t="inlineStr">
        <is>
          <t>06/15/2026</t>
        </is>
      </c>
      <c r="G43" s="6" t="inlineStr">
        <is>
          <t>AARP United Healthcare</t>
        </is>
      </c>
      <c r="H43" s="6" t="inlineStr">
        <is>
          <t>DME Region D</t>
        </is>
      </c>
      <c r="I43" s="6" t="inlineStr">
        <is>
          <t>AARP United Healthcare</t>
        </is>
      </c>
      <c r="J43" s="6" t="inlineStr">
        <is>
          <t>A6010</t>
        </is>
      </c>
      <c r="K43" s="4" t="n"/>
      <c r="L43" s="5">
        <f>IF($M43="","",$M43-TODAY())</f>
        <v/>
      </c>
      <c r="M43" s="7" t="n">
        <v>46553</v>
      </c>
      <c r="N43" s="6" t="inlineStr">
        <is>
          <t>365 days</t>
        </is>
      </c>
      <c r="O43" s="6" t="inlineStr">
        <is>
          <t>MEDICARE</t>
        </is>
      </c>
      <c r="P43" s="6" t="inlineStr">
        <is>
          <t>A1</t>
        </is>
      </c>
      <c r="Q43" s="6" t="n"/>
      <c r="R43" s="6" t="n"/>
      <c r="S43" s="5" t="n">
        <v>20</v>
      </c>
      <c r="T43" s="8" t="n">
        <v>5916.4</v>
      </c>
      <c r="U43" s="8" t="n">
        <v>5047.72</v>
      </c>
      <c r="V43" s="8" t="n">
        <v>692.12</v>
      </c>
      <c r="W43" s="6" t="inlineStr">
        <is>
          <t>07/08/2026</t>
        </is>
      </c>
      <c r="X43" s="8" t="n">
        <v>176.56</v>
      </c>
      <c r="Y43" s="5" t="n">
        <v>54</v>
      </c>
      <c r="Z43" s="6" t="inlineStr">
        <is>
          <t>G894</t>
        </is>
      </c>
      <c r="AA43" s="6" t="inlineStr">
        <is>
          <t>M48062</t>
        </is>
      </c>
      <c r="AB43" s="6" t="n"/>
      <c r="AC43" s="6" t="n"/>
      <c r="AD43" s="5" t="n">
        <v>566075644</v>
      </c>
      <c r="AE43" s="6" t="inlineStr">
        <is>
          <t>Advanced Spine and Pain LLC DME GIL</t>
        </is>
      </c>
      <c r="AF43" s="6" t="inlineStr">
        <is>
          <t>Advanced Spine and Pain LLC DME - Gilbert</t>
        </is>
      </c>
      <c r="AG43" s="6" t="inlineStr">
        <is>
          <t>06/23/2026</t>
        </is>
      </c>
      <c r="AH43" s="6" t="inlineStr">
        <is>
          <t>DME</t>
        </is>
      </c>
      <c r="AI43" s="9" t="n"/>
      <c r="AJ43" s="5" t="n">
        <v>321</v>
      </c>
    </row>
    <row r="44">
      <c r="A44" s="2" t="inlineStr">
        <is>
          <t>Finalized</t>
        </is>
      </c>
      <c r="B44" s="3" t="n"/>
      <c r="C44" s="4" t="n"/>
      <c r="D44" s="5" t="n">
        <v>563164453</v>
      </c>
      <c r="E44" s="6" t="inlineStr">
        <is>
          <t>HF540923124</t>
        </is>
      </c>
      <c r="F44" s="6" t="inlineStr">
        <is>
          <t>06/22/2026</t>
        </is>
      </c>
      <c r="G44" s="6" t="inlineStr">
        <is>
          <t>AARP United Healthcare</t>
        </is>
      </c>
      <c r="H44" s="6" t="inlineStr">
        <is>
          <t>DME Region D</t>
        </is>
      </c>
      <c r="I44" s="6" t="inlineStr">
        <is>
          <t>AARP United Healthcare</t>
        </is>
      </c>
      <c r="J44" s="6" t="inlineStr">
        <is>
          <t>A6023</t>
        </is>
      </c>
      <c r="K44" s="4" t="n"/>
      <c r="L44" s="5">
        <f>IF($M44="","",$M44-TODAY())</f>
        <v/>
      </c>
      <c r="M44" s="7" t="n">
        <v>46560</v>
      </c>
      <c r="N44" s="6" t="inlineStr">
        <is>
          <t>365 days</t>
        </is>
      </c>
      <c r="O44" s="6" t="inlineStr">
        <is>
          <t>MEDICARE</t>
        </is>
      </c>
      <c r="P44" s="6" t="inlineStr">
        <is>
          <t>A2</t>
        </is>
      </c>
      <c r="Q44" s="6" t="n"/>
      <c r="R44" s="6" t="n"/>
      <c r="S44" s="5" t="n">
        <v>20</v>
      </c>
      <c r="T44" s="8" t="n">
        <v>36353.8</v>
      </c>
      <c r="U44" s="8" t="n">
        <v>31016.19</v>
      </c>
      <c r="V44" s="8" t="n">
        <v>4252.73</v>
      </c>
      <c r="W44" s="6" t="inlineStr">
        <is>
          <t>07/08/2026</t>
        </is>
      </c>
      <c r="X44" s="8" t="n">
        <v>1084.88</v>
      </c>
      <c r="Y44" s="5" t="n">
        <v>47</v>
      </c>
      <c r="Z44" s="6" t="inlineStr">
        <is>
          <t>G894</t>
        </is>
      </c>
      <c r="AA44" s="6" t="inlineStr">
        <is>
          <t>G90523</t>
        </is>
      </c>
      <c r="AB44" s="6" t="inlineStr">
        <is>
          <t>M5417</t>
        </is>
      </c>
      <c r="AC44" s="6" t="n"/>
      <c r="AD44" s="5" t="n">
        <v>566076337</v>
      </c>
      <c r="AE44" s="6" t="inlineStr">
        <is>
          <t>Advanced Spine and Pain LLC DME GWY</t>
        </is>
      </c>
      <c r="AF44" s="6" t="inlineStr">
        <is>
          <t>Advanced Spine and Pain LLC DME - Greenway</t>
        </is>
      </c>
      <c r="AG44" s="6" t="inlineStr">
        <is>
          <t>06/23/2026</t>
        </is>
      </c>
      <c r="AH44" s="6" t="inlineStr">
        <is>
          <t>DME</t>
        </is>
      </c>
      <c r="AI44" s="9" t="n"/>
      <c r="AJ44" s="5" t="n">
        <v>323</v>
      </c>
    </row>
    <row r="45">
      <c r="A45" s="2" t="n"/>
      <c r="B45" s="3" t="n"/>
      <c r="C45" s="4" t="n"/>
      <c r="D45" s="5" t="n">
        <v>563203416</v>
      </c>
      <c r="E45" s="6" t="inlineStr">
        <is>
          <t>HF411712712</t>
        </is>
      </c>
      <c r="F45" s="6" t="inlineStr">
        <is>
          <t>06/22/2026</t>
        </is>
      </c>
      <c r="G45" s="6" t="inlineStr">
        <is>
          <t>DME Region D</t>
        </is>
      </c>
      <c r="H45" s="6" t="inlineStr">
        <is>
          <t>DME Region D</t>
        </is>
      </c>
      <c r="I45" s="6" t="inlineStr">
        <is>
          <t>Bankers Life Colonial Penn Life</t>
        </is>
      </c>
      <c r="J45" s="6" t="inlineStr">
        <is>
          <t>L0650</t>
        </is>
      </c>
      <c r="K45" s="4" t="n"/>
      <c r="L45" s="5">
        <f>IF($M45="","",$M45-TODAY())</f>
        <v/>
      </c>
      <c r="M45" s="7" t="n">
        <v>46560</v>
      </c>
      <c r="N45" s="6" t="inlineStr">
        <is>
          <t>365 days</t>
        </is>
      </c>
      <c r="O45" s="6" t="inlineStr">
        <is>
          <t>MEDICARE</t>
        </is>
      </c>
      <c r="P45" s="6" t="inlineStr">
        <is>
          <t>KX</t>
        </is>
      </c>
      <c r="Q45" s="6" t="n"/>
      <c r="R45" s="6" t="n"/>
      <c r="S45" s="5" t="n">
        <v>1</v>
      </c>
      <c r="T45" s="8" t="n">
        <v>6392.96</v>
      </c>
      <c r="U45" s="8" t="n">
        <v>0</v>
      </c>
      <c r="V45" s="8" t="n">
        <v>0</v>
      </c>
      <c r="W45" s="6" t="n"/>
      <c r="X45" s="8" t="n">
        <v>6392.96</v>
      </c>
      <c r="Y45" s="5" t="n">
        <v>47</v>
      </c>
      <c r="Z45" s="6" t="inlineStr">
        <is>
          <t>M48062</t>
        </is>
      </c>
      <c r="AA45" s="6" t="n"/>
      <c r="AB45" s="6" t="n"/>
      <c r="AC45" s="6" t="n"/>
      <c r="AD45" s="5" t="n"/>
      <c r="AE45" s="6" t="inlineStr">
        <is>
          <t>Advanced Spine and Pain LLC DME SUR</t>
        </is>
      </c>
      <c r="AF45" s="6" t="inlineStr">
        <is>
          <t>Advanced Spine and Pain LLC DME - Surprise Reems</t>
        </is>
      </c>
      <c r="AG45" s="6" t="inlineStr">
        <is>
          <t>06/23/2026</t>
        </is>
      </c>
      <c r="AH45" s="6" t="inlineStr">
        <is>
          <t>DME</t>
        </is>
      </c>
      <c r="AI45" s="9" t="n"/>
      <c r="AJ45" s="5" t="n">
        <v>990</v>
      </c>
    </row>
    <row r="46">
      <c r="A46" s="2" t="n"/>
      <c r="B46" s="3" t="n"/>
      <c r="C46" s="4" t="n"/>
      <c r="D46" s="5" t="n">
        <v>564042566</v>
      </c>
      <c r="E46" s="6" t="inlineStr">
        <is>
          <t>HF559203629</t>
        </is>
      </c>
      <c r="F46" s="6" t="inlineStr">
        <is>
          <t>06/24/2026</t>
        </is>
      </c>
      <c r="G46" s="6" t="inlineStr">
        <is>
          <t>DME Region D</t>
        </is>
      </c>
      <c r="H46" s="6" t="inlineStr">
        <is>
          <t>DME Region D</t>
        </is>
      </c>
      <c r="I46" s="6" t="inlineStr">
        <is>
          <t>No Payer</t>
        </is>
      </c>
      <c r="J46" s="6" t="inlineStr">
        <is>
          <t>L0456</t>
        </is>
      </c>
      <c r="K46" s="4" t="n"/>
      <c r="L46" s="5">
        <f>IF($M46="","",$M46-TODAY())</f>
        <v/>
      </c>
      <c r="M46" s="7" t="n">
        <v>46562</v>
      </c>
      <c r="N46" s="6" t="inlineStr">
        <is>
          <t>365 days</t>
        </is>
      </c>
      <c r="O46" s="6" t="inlineStr">
        <is>
          <t>MEDICARE</t>
        </is>
      </c>
      <c r="P46" s="6" t="inlineStr">
        <is>
          <t>KX</t>
        </is>
      </c>
      <c r="Q46" s="6" t="n"/>
      <c r="R46" s="6" t="n"/>
      <c r="S46" s="5" t="n">
        <v>1</v>
      </c>
      <c r="T46" s="8" t="n">
        <v>7792.75</v>
      </c>
      <c r="U46" s="8" t="n">
        <v>0</v>
      </c>
      <c r="V46" s="8" t="n">
        <v>0</v>
      </c>
      <c r="W46" s="6" t="inlineStr">
        <is>
          <t>07/06/2026</t>
        </is>
      </c>
      <c r="X46" s="8" t="n">
        <v>7792.75</v>
      </c>
      <c r="Y46" s="5" t="n">
        <v>45</v>
      </c>
      <c r="Z46" s="6" t="inlineStr">
        <is>
          <t>M8008XA</t>
        </is>
      </c>
      <c r="AA46" s="6" t="inlineStr">
        <is>
          <t>M48061</t>
        </is>
      </c>
      <c r="AB46" s="6" t="n"/>
      <c r="AC46" s="6" t="n"/>
      <c r="AD46" s="5" t="n"/>
      <c r="AE46" s="6" t="inlineStr">
        <is>
          <t>Advanced Spine and Pain LLC DME GYR</t>
        </is>
      </c>
      <c r="AF46" s="6" t="inlineStr">
        <is>
          <t>Advanced Spine and Pain LLC DME - Goodyear</t>
        </is>
      </c>
      <c r="AG46" s="6" t="inlineStr">
        <is>
          <t>07/01/2026</t>
        </is>
      </c>
      <c r="AH46" s="6" t="inlineStr">
        <is>
          <t>DME</t>
        </is>
      </c>
      <c r="AI46" s="9" t="n"/>
      <c r="AJ46" s="5" t="n">
        <v>593</v>
      </c>
    </row>
    <row r="47">
      <c r="A47" s="2" t="n"/>
      <c r="B47" s="3" t="n"/>
      <c r="C47" s="4" t="n"/>
      <c r="D47" s="5" t="n">
        <v>564112414</v>
      </c>
      <c r="E47" s="6" t="inlineStr">
        <is>
          <t>HF511435057</t>
        </is>
      </c>
      <c r="F47" s="6" t="inlineStr">
        <is>
          <t>06/26/2026</t>
        </is>
      </c>
      <c r="G47" s="6" t="inlineStr">
        <is>
          <t>DME Region D</t>
        </is>
      </c>
      <c r="H47" s="6" t="inlineStr">
        <is>
          <t>DME Region D</t>
        </is>
      </c>
      <c r="I47" s="6" t="inlineStr">
        <is>
          <t>Tricare for Life (All Regions)</t>
        </is>
      </c>
      <c r="J47" s="6" t="inlineStr">
        <is>
          <t>A6010</t>
        </is>
      </c>
      <c r="K47" s="4" t="n"/>
      <c r="L47" s="5">
        <f>IF($M47="","",$M47-TODAY())</f>
        <v/>
      </c>
      <c r="M47" s="7" t="n">
        <v>46564</v>
      </c>
      <c r="N47" s="6" t="inlineStr">
        <is>
          <t>365 days</t>
        </is>
      </c>
      <c r="O47" s="6" t="inlineStr">
        <is>
          <t>MEDICARE</t>
        </is>
      </c>
      <c r="P47" s="6" t="inlineStr">
        <is>
          <t>A1</t>
        </is>
      </c>
      <c r="Q47" s="6" t="n"/>
      <c r="R47" s="6" t="n"/>
      <c r="S47" s="5" t="n">
        <v>10</v>
      </c>
      <c r="T47" s="8" t="n">
        <v>2958.2</v>
      </c>
      <c r="U47" s="8" t="n">
        <v>0</v>
      </c>
      <c r="V47" s="8" t="n">
        <v>0</v>
      </c>
      <c r="W47" s="6" t="n"/>
      <c r="X47" s="8" t="n">
        <v>2958.2</v>
      </c>
      <c r="Y47" s="5" t="n">
        <v>43</v>
      </c>
      <c r="Z47" s="6" t="inlineStr">
        <is>
          <t>G894</t>
        </is>
      </c>
      <c r="AA47" s="6" t="inlineStr">
        <is>
          <t>M5412</t>
        </is>
      </c>
      <c r="AB47" s="6" t="n"/>
      <c r="AC47" s="6" t="n"/>
      <c r="AD47" s="5" t="n"/>
      <c r="AE47" s="6" t="inlineStr">
        <is>
          <t>Advanced Spine and Pain LLC DME SUR</t>
        </is>
      </c>
      <c r="AF47" s="6" t="inlineStr">
        <is>
          <t>Advanced Spine and Pain LLC DME - Surprise Reems</t>
        </is>
      </c>
      <c r="AG47" s="6" t="inlineStr">
        <is>
          <t>07/02/2026</t>
        </is>
      </c>
      <c r="AH47" s="6" t="inlineStr">
        <is>
          <t>DME</t>
        </is>
      </c>
      <c r="AI47" s="9" t="n"/>
      <c r="AJ47" s="5" t="n">
        <v>976</v>
      </c>
    </row>
    <row r="48">
      <c r="A48" s="2" t="inlineStr">
        <is>
          <t>Finalized</t>
        </is>
      </c>
      <c r="B48" s="3" t="n"/>
      <c r="C48" s="4" t="n"/>
      <c r="D48" s="5" t="n">
        <v>564117213</v>
      </c>
      <c r="E48" s="6" t="inlineStr">
        <is>
          <t>HF469070076</t>
        </is>
      </c>
      <c r="F48" s="6" t="inlineStr">
        <is>
          <t>06/29/2026</t>
        </is>
      </c>
      <c r="G48" s="6" t="inlineStr">
        <is>
          <t>Arizona Complete Health (Centene)</t>
        </is>
      </c>
      <c r="H48" s="6" t="inlineStr">
        <is>
          <t>DME Region D</t>
        </is>
      </c>
      <c r="I48" s="6" t="inlineStr">
        <is>
          <t>Arizona Complete Health (Centene)</t>
        </is>
      </c>
      <c r="J48" s="6" t="inlineStr">
        <is>
          <t>A6010</t>
        </is>
      </c>
      <c r="K48" s="4" t="n"/>
      <c r="L48" s="5">
        <f>IF($M48="","",$M48-TODAY())</f>
        <v/>
      </c>
      <c r="M48" s="7" t="n">
        <v>46567</v>
      </c>
      <c r="N48" s="6" t="inlineStr">
        <is>
          <t>365 days</t>
        </is>
      </c>
      <c r="O48" s="6" t="inlineStr">
        <is>
          <t>MEDICARE</t>
        </is>
      </c>
      <c r="P48" s="6" t="inlineStr">
        <is>
          <t>A2</t>
        </is>
      </c>
      <c r="Q48" s="6" t="n"/>
      <c r="R48" s="6" t="n"/>
      <c r="S48" s="5" t="n">
        <v>40</v>
      </c>
      <c r="T48" s="8" t="n">
        <v>11832.8</v>
      </c>
      <c r="U48" s="8" t="n">
        <v>10095.45</v>
      </c>
      <c r="V48" s="8" t="n">
        <v>1384.23</v>
      </c>
      <c r="W48" s="6" t="inlineStr">
        <is>
          <t>07/16/2026</t>
        </is>
      </c>
      <c r="X48" s="8" t="n">
        <v>353.12</v>
      </c>
      <c r="Y48" s="5" t="n">
        <v>40</v>
      </c>
      <c r="Z48" s="6" t="inlineStr">
        <is>
          <t>G894</t>
        </is>
      </c>
      <c r="AA48" s="6" t="n"/>
      <c r="AB48" s="6" t="n"/>
      <c r="AC48" s="6" t="n"/>
      <c r="AD48" s="5" t="n">
        <v>567247169</v>
      </c>
      <c r="AE48" s="6" t="inlineStr">
        <is>
          <t>Advanced Spine and Pain LLC DME GIL</t>
        </is>
      </c>
      <c r="AF48" s="6" t="inlineStr">
        <is>
          <t>Advanced Spine and Pain LLC DME - Gilbert</t>
        </is>
      </c>
      <c r="AG48" s="6" t="inlineStr">
        <is>
          <t>07/02/2026</t>
        </is>
      </c>
      <c r="AH48" s="6" t="inlineStr">
        <is>
          <t>DME</t>
        </is>
      </c>
      <c r="AI48" s="9" t="n"/>
      <c r="AJ48" s="5" t="n">
        <v>68</v>
      </c>
    </row>
    <row r="49">
      <c r="A49" s="2" t="n"/>
      <c r="B49" s="3" t="n"/>
      <c r="C49" s="4" t="n"/>
      <c r="D49" s="5" t="n">
        <v>565309736</v>
      </c>
      <c r="E49" s="6" t="inlineStr">
        <is>
          <t>HF460794896</t>
        </is>
      </c>
      <c r="F49" s="6" t="inlineStr">
        <is>
          <t>06/29/2026</t>
        </is>
      </c>
      <c r="G49" s="6" t="inlineStr">
        <is>
          <t>DME Region D</t>
        </is>
      </c>
      <c r="H49" s="6" t="inlineStr">
        <is>
          <t>DME Region D</t>
        </is>
      </c>
      <c r="I49" s="6" t="inlineStr">
        <is>
          <t>Aetna Senior Supplemental (AESSI) - Secondary Only 62118</t>
        </is>
      </c>
      <c r="J49" s="6" t="inlineStr">
        <is>
          <t>L0650</t>
        </is>
      </c>
      <c r="K49" s="4" t="n"/>
      <c r="L49" s="5">
        <f>IF($M49="","",$M49-TODAY())</f>
        <v/>
      </c>
      <c r="M49" s="7" t="n">
        <v>46567</v>
      </c>
      <c r="N49" s="6" t="inlineStr">
        <is>
          <t>365 days</t>
        </is>
      </c>
      <c r="O49" s="6" t="inlineStr">
        <is>
          <t>MEDICARE</t>
        </is>
      </c>
      <c r="P49" s="6" t="inlineStr">
        <is>
          <t>KX</t>
        </is>
      </c>
      <c r="Q49" s="6" t="n"/>
      <c r="R49" s="6" t="n"/>
      <c r="S49" s="5" t="n">
        <v>1</v>
      </c>
      <c r="T49" s="8" t="n">
        <v>6392.96</v>
      </c>
      <c r="U49" s="8" t="n">
        <v>0</v>
      </c>
      <c r="V49" s="8" t="n">
        <v>0</v>
      </c>
      <c r="W49" s="6" t="inlineStr">
        <is>
          <t>07/21/2026</t>
        </is>
      </c>
      <c r="X49" s="8" t="n">
        <v>6392.96</v>
      </c>
      <c r="Y49" s="5" t="n">
        <v>40</v>
      </c>
      <c r="Z49" s="6" t="inlineStr">
        <is>
          <t>M5416</t>
        </is>
      </c>
      <c r="AA49" s="6" t="n"/>
      <c r="AB49" s="6" t="n"/>
      <c r="AC49" s="6" t="n"/>
      <c r="AD49" s="5" t="n"/>
      <c r="AE49" s="6" t="inlineStr">
        <is>
          <t>Advanced Spine and Pain LLC DME GWY</t>
        </is>
      </c>
      <c r="AF49" s="6" t="inlineStr">
        <is>
          <t>Advanced Spine and Pain LLC DME - Greenway</t>
        </is>
      </c>
      <c r="AG49" s="6" t="inlineStr">
        <is>
          <t>07/01/2026</t>
        </is>
      </c>
      <c r="AH49" s="6" t="inlineStr">
        <is>
          <t>DME</t>
        </is>
      </c>
      <c r="AI49" s="9" t="n"/>
      <c r="AJ49" s="5" t="n">
        <v>616</v>
      </c>
    </row>
    <row r="50">
      <c r="A50" s="2" t="n"/>
      <c r="B50" s="3" t="n"/>
      <c r="C50" s="4" t="n"/>
      <c r="D50" s="5" t="n">
        <v>565425183</v>
      </c>
      <c r="E50" s="6" t="inlineStr">
        <is>
          <t>HF329393326</t>
        </is>
      </c>
      <c r="F50" s="6" t="inlineStr">
        <is>
          <t>06/29/2026</t>
        </is>
      </c>
      <c r="G50" s="6" t="inlineStr">
        <is>
          <t>DME Region D</t>
        </is>
      </c>
      <c r="H50" s="6" t="inlineStr">
        <is>
          <t>DME Region D</t>
        </is>
      </c>
      <c r="I50" s="6" t="inlineStr">
        <is>
          <t>Amerigroup - All States</t>
        </is>
      </c>
      <c r="J50" s="6" t="inlineStr">
        <is>
          <t>A6010</t>
        </is>
      </c>
      <c r="K50" s="4" t="n"/>
      <c r="L50" s="5">
        <f>IF($M50="","",$M50-TODAY())</f>
        <v/>
      </c>
      <c r="M50" s="7" t="n">
        <v>46567</v>
      </c>
      <c r="N50" s="6" t="inlineStr">
        <is>
          <t>365 days</t>
        </is>
      </c>
      <c r="O50" s="6" t="inlineStr">
        <is>
          <t>MEDICARE</t>
        </is>
      </c>
      <c r="P50" s="6" t="inlineStr">
        <is>
          <t>A1</t>
        </is>
      </c>
      <c r="Q50" s="6" t="n"/>
      <c r="R50" s="6" t="n"/>
      <c r="S50" s="5" t="n">
        <v>10</v>
      </c>
      <c r="T50" s="8" t="n">
        <v>2958.2</v>
      </c>
      <c r="U50" s="8" t="n">
        <v>0</v>
      </c>
      <c r="V50" s="8" t="n">
        <v>0</v>
      </c>
      <c r="W50" s="6" t="n"/>
      <c r="X50" s="8" t="n">
        <v>2958.2</v>
      </c>
      <c r="Y50" s="5" t="n">
        <v>40</v>
      </c>
      <c r="Z50" s="6" t="inlineStr">
        <is>
          <t>G894</t>
        </is>
      </c>
      <c r="AA50" s="6" t="inlineStr">
        <is>
          <t>M461</t>
        </is>
      </c>
      <c r="AB50" s="6" t="inlineStr">
        <is>
          <t>M5450</t>
        </is>
      </c>
      <c r="AC50" s="6" t="n"/>
      <c r="AD50" s="5" t="n"/>
      <c r="AE50" s="6" t="inlineStr">
        <is>
          <t>Advanced Spine and Pain LLC DME GWY</t>
        </is>
      </c>
      <c r="AF50" s="6" t="inlineStr">
        <is>
          <t>Advanced Spine and Pain LLC DME - Greenway</t>
        </is>
      </c>
      <c r="AG50" s="6" t="inlineStr">
        <is>
          <t>07/15/2026</t>
        </is>
      </c>
      <c r="AH50" s="6" t="inlineStr">
        <is>
          <t>DME</t>
        </is>
      </c>
      <c r="AI50" s="9" t="n"/>
      <c r="AJ50" s="5" t="n">
        <v>977</v>
      </c>
    </row>
    <row r="51">
      <c r="A51" s="2" t="n"/>
      <c r="B51" s="3" t="n"/>
      <c r="C51" s="4" t="n"/>
      <c r="D51" s="5" t="n">
        <v>562142694</v>
      </c>
      <c r="E51" s="6" t="inlineStr">
        <is>
          <t>HF493646829</t>
        </is>
      </c>
      <c r="F51" s="6" t="inlineStr">
        <is>
          <t>06/04/2026</t>
        </is>
      </c>
      <c r="G51" s="6" t="inlineStr">
        <is>
          <t>Gold Kidney Health Plan</t>
        </is>
      </c>
      <c r="H51" s="6" t="inlineStr">
        <is>
          <t>Gold Kidney Health Plan</t>
        </is>
      </c>
      <c r="I51" s="6" t="inlineStr">
        <is>
          <t>No Payer</t>
        </is>
      </c>
      <c r="J51" s="6" t="inlineStr">
        <is>
          <t>L0637</t>
        </is>
      </c>
      <c r="K51" s="4" t="n"/>
      <c r="L51" s="5">
        <f>IF($M51="","",$M51-TODAY())</f>
        <v/>
      </c>
      <c r="M51" s="7" t="n"/>
      <c r="N51" s="6" t="n"/>
      <c r="O51" s="6" t="inlineStr">
        <is>
          <t>Not on reference list</t>
        </is>
      </c>
      <c r="P51" s="6" t="inlineStr">
        <is>
          <t>KX</t>
        </is>
      </c>
      <c r="Q51" s="6" t="n"/>
      <c r="R51" s="6" t="n"/>
      <c r="S51" s="5" t="n">
        <v>1</v>
      </c>
      <c r="T51" s="8" t="n">
        <v>9479.4</v>
      </c>
      <c r="U51" s="8" t="n">
        <v>0</v>
      </c>
      <c r="V51" s="8" t="n">
        <v>0</v>
      </c>
      <c r="W51" s="6" t="n"/>
      <c r="X51" s="8" t="n">
        <v>9479.4</v>
      </c>
      <c r="Y51" s="5" t="n">
        <v>65</v>
      </c>
      <c r="Z51" s="6" t="inlineStr">
        <is>
          <t>M48062</t>
        </is>
      </c>
      <c r="AA51" s="6" t="inlineStr">
        <is>
          <t>M4727</t>
        </is>
      </c>
      <c r="AB51" s="6" t="inlineStr">
        <is>
          <t>M51369</t>
        </is>
      </c>
      <c r="AC51" s="6" t="n"/>
      <c r="AD51" s="5" t="n"/>
      <c r="AE51" s="6" t="inlineStr">
        <is>
          <t>BARCOME, MARYBETH</t>
        </is>
      </c>
      <c r="AF51" s="6" t="inlineStr">
        <is>
          <t>ASAP - Surprise - Reems</t>
        </is>
      </c>
      <c r="AG51" s="6" t="inlineStr">
        <is>
          <t>06/12/2026</t>
        </is>
      </c>
      <c r="AH51" s="6" t="inlineStr">
        <is>
          <t>DME</t>
        </is>
      </c>
      <c r="AI51" s="9" t="inlineStr">
        <is>
          <t>No timely filing limit on file for this payer - confirm the limit from the contract or provider manual before working this claim.</t>
        </is>
      </c>
      <c r="AJ51" s="5" t="n">
        <v>1005</v>
      </c>
    </row>
    <row r="52">
      <c r="A52" s="2" t="n"/>
      <c r="B52" s="3" t="n"/>
      <c r="C52" s="4" t="n"/>
      <c r="D52" s="5" t="n">
        <v>564104168</v>
      </c>
      <c r="E52" s="6" t="inlineStr">
        <is>
          <t>HF450733071</t>
        </is>
      </c>
      <c r="F52" s="6" t="inlineStr">
        <is>
          <t>06/23/2026</t>
        </is>
      </c>
      <c r="G52" s="6" t="inlineStr">
        <is>
          <t>AARP MedicareComplete (SecureHorizons &amp; Oxford Network)</t>
        </is>
      </c>
      <c r="H52" s="6" t="inlineStr">
        <is>
          <t>AARP MedicareComplete (SecureHorizons &amp; Oxford Network)</t>
        </is>
      </c>
      <c r="I52" s="6" t="inlineStr">
        <is>
          <t>No Payer</t>
        </is>
      </c>
      <c r="J52" s="6" t="inlineStr">
        <is>
          <t>A6010</t>
        </is>
      </c>
      <c r="K52" s="4" t="n"/>
      <c r="L52" s="5">
        <f>IF($M52="","",$M52-TODAY())</f>
        <v/>
      </c>
      <c r="M52" s="7" t="n"/>
      <c r="N52" s="6" t="n"/>
      <c r="O52" s="6" t="inlineStr">
        <is>
          <t>AARP MA CHOICE / MEDICARE COMPLETE</t>
        </is>
      </c>
      <c r="P52" s="6" t="inlineStr">
        <is>
          <t>A1</t>
        </is>
      </c>
      <c r="Q52" s="6" t="n"/>
      <c r="R52" s="6" t="n"/>
      <c r="S52" s="5" t="n">
        <v>20</v>
      </c>
      <c r="T52" s="8" t="n">
        <v>5916.4</v>
      </c>
      <c r="U52" s="8" t="n">
        <v>0</v>
      </c>
      <c r="V52" s="8" t="n">
        <v>0</v>
      </c>
      <c r="W52" s="6" t="n"/>
      <c r="X52" s="8" t="n">
        <v>5916.4</v>
      </c>
      <c r="Y52" s="5" t="n">
        <v>46</v>
      </c>
      <c r="Z52" s="6" t="inlineStr">
        <is>
          <t>G894</t>
        </is>
      </c>
      <c r="AA52" s="6" t="inlineStr">
        <is>
          <t>M48062</t>
        </is>
      </c>
      <c r="AB52" s="6" t="inlineStr">
        <is>
          <t>M5416</t>
        </is>
      </c>
      <c r="AC52" s="6" t="inlineStr">
        <is>
          <t>S32000A</t>
        </is>
      </c>
      <c r="AD52" s="5" t="n"/>
      <c r="AE52" s="6" t="inlineStr">
        <is>
          <t>BARCOME, MARYBETH</t>
        </is>
      </c>
      <c r="AF52" s="6" t="inlineStr">
        <is>
          <t>ASAP Peoria</t>
        </is>
      </c>
      <c r="AG52" s="6" t="inlineStr">
        <is>
          <t>07/02/2026</t>
        </is>
      </c>
      <c r="AH52" s="6" t="inlineStr">
        <is>
          <t>DME</t>
        </is>
      </c>
      <c r="AI52" s="9" t="n"/>
      <c r="AJ52" s="5" t="n">
        <v>916</v>
      </c>
    </row>
    <row r="53">
      <c r="A53" s="2" t="n"/>
      <c r="B53" s="3" t="n"/>
      <c r="C53" s="4" t="n"/>
      <c r="D53" s="5" t="n">
        <v>564106191</v>
      </c>
      <c r="E53" s="6" t="inlineStr">
        <is>
          <t>HF493646829</t>
        </is>
      </c>
      <c r="F53" s="6" t="inlineStr">
        <is>
          <t>06/24/2026</t>
        </is>
      </c>
      <c r="G53" s="6" t="inlineStr">
        <is>
          <t>Gold Kidney Health Plan</t>
        </is>
      </c>
      <c r="H53" s="6" t="inlineStr">
        <is>
          <t>Gold Kidney Health Plan</t>
        </is>
      </c>
      <c r="I53" s="6" t="inlineStr">
        <is>
          <t>No Payer</t>
        </is>
      </c>
      <c r="J53" s="6" t="inlineStr">
        <is>
          <t>A6010</t>
        </is>
      </c>
      <c r="K53" s="4" t="n"/>
      <c r="L53" s="5">
        <f>IF($M53="","",$M53-TODAY())</f>
        <v/>
      </c>
      <c r="M53" s="7" t="n"/>
      <c r="N53" s="6" t="n"/>
      <c r="O53" s="6" t="inlineStr">
        <is>
          <t>Not on reference list</t>
        </is>
      </c>
      <c r="P53" s="6" t="inlineStr">
        <is>
          <t>A1</t>
        </is>
      </c>
      <c r="Q53" s="6" t="n"/>
      <c r="R53" s="6" t="n"/>
      <c r="S53" s="5" t="n">
        <v>10</v>
      </c>
      <c r="T53" s="8" t="n">
        <v>2958.2</v>
      </c>
      <c r="U53" s="8" t="n">
        <v>0</v>
      </c>
      <c r="V53" s="8" t="n">
        <v>0</v>
      </c>
      <c r="W53" s="6" t="n"/>
      <c r="X53" s="8" t="n">
        <v>2958.2</v>
      </c>
      <c r="Y53" s="5" t="n">
        <v>45</v>
      </c>
      <c r="Z53" s="6" t="inlineStr">
        <is>
          <t>G894</t>
        </is>
      </c>
      <c r="AA53" s="6" t="inlineStr">
        <is>
          <t>M48062</t>
        </is>
      </c>
      <c r="AB53" s="6" t="n"/>
      <c r="AC53" s="6" t="n"/>
      <c r="AD53" s="5" t="n"/>
      <c r="AE53" s="6" t="inlineStr">
        <is>
          <t>MCMURDIE, TODD</t>
        </is>
      </c>
      <c r="AF53" s="6" t="inlineStr">
        <is>
          <t>ASAP - Surprise - Reems</t>
        </is>
      </c>
      <c r="AG53" s="6" t="inlineStr">
        <is>
          <t>07/02/2026</t>
        </is>
      </c>
      <c r="AH53" s="6" t="inlineStr">
        <is>
          <t>DME</t>
        </is>
      </c>
      <c r="AI53" s="9" t="inlineStr">
        <is>
          <t>No timely filing limit on file for this payer - confirm the limit from the contract or provider manual before working this claim.</t>
        </is>
      </c>
      <c r="AJ53" s="5" t="n">
        <v>1065</v>
      </c>
    </row>
  </sheetData>
  <autoFilter ref="A1:AJ53"/>
  <conditionalFormatting sqref="L2:O5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562932517</v>
      </c>
      <c r="E2" s="6" t="inlineStr">
        <is>
          <t>HF492807840</t>
        </is>
      </c>
      <c r="F2" s="6" t="inlineStr">
        <is>
          <t>06/01/2026</t>
        </is>
      </c>
      <c r="G2" s="6" t="inlineStr">
        <is>
          <t>Blue Cross Blue Shield of Arizona (BCBS AZ)</t>
        </is>
      </c>
      <c r="H2" s="6" t="inlineStr">
        <is>
          <t>Blue Cross Blue Shield of Arizona (BCBS AZ)</t>
        </is>
      </c>
      <c r="I2" s="6" t="inlineStr">
        <is>
          <t>No Payer</t>
        </is>
      </c>
      <c r="J2" s="6" t="inlineStr">
        <is>
          <t>36248</t>
        </is>
      </c>
      <c r="K2" s="4" t="n"/>
      <c r="L2" s="5">
        <f>IF($M2="","",$M2-TODAY())</f>
        <v/>
      </c>
      <c r="M2" s="7" t="n">
        <v>46264</v>
      </c>
      <c r="N2" s="6" t="inlineStr">
        <is>
          <t>90 days</t>
        </is>
      </c>
      <c r="O2" s="6" t="inlineStr">
        <is>
          <t>BCBS</t>
        </is>
      </c>
      <c r="P2" s="6" t="inlineStr">
        <is>
          <t>59</t>
        </is>
      </c>
      <c r="Q2" s="6" t="n"/>
      <c r="R2" s="6" t="n"/>
      <c r="S2" s="5" t="n">
        <v>3</v>
      </c>
      <c r="T2" s="8" t="n">
        <v>2422.77</v>
      </c>
      <c r="U2" s="8" t="n">
        <v>0</v>
      </c>
      <c r="V2" s="8" t="n">
        <v>0</v>
      </c>
      <c r="W2" s="6" t="n"/>
      <c r="X2" s="8" t="n">
        <v>2422.77</v>
      </c>
      <c r="Y2" s="5" t="n">
        <v>68</v>
      </c>
      <c r="Z2" s="6" t="inlineStr">
        <is>
          <t>M1711</t>
        </is>
      </c>
      <c r="AA2" s="6" t="inlineStr">
        <is>
          <t>I798</t>
        </is>
      </c>
      <c r="AB2" s="6" t="inlineStr">
        <is>
          <t>M25561</t>
        </is>
      </c>
      <c r="AC2" s="6" t="n"/>
      <c r="AD2" s="5" t="n"/>
      <c r="AE2" s="6" t="inlineStr">
        <is>
          <t>HUNTER, DREW</t>
        </is>
      </c>
      <c r="AF2" s="6" t="inlineStr">
        <is>
          <t>Premier Endoscopy Center, LLC</t>
        </is>
      </c>
      <c r="AG2" s="6" t="inlineStr">
        <is>
          <t>06/20/2026</t>
        </is>
      </c>
      <c r="AH2" s="6" t="inlineStr">
        <is>
          <t>GAE</t>
        </is>
      </c>
      <c r="AI2" s="9" t="inlineStr">
        <is>
          <t>BCBS AZ dropped from 365 to 90 days on 01/01/2026. All dates of service here are 2026, so 90 days applies.</t>
        </is>
      </c>
      <c r="AJ2" s="5" t="n">
        <v>928</v>
      </c>
    </row>
    <row r="3">
      <c r="A3" s="2" t="n"/>
      <c r="B3" s="3" t="n"/>
      <c r="C3" s="4" t="n"/>
      <c r="D3" s="5" t="n">
        <v>562932517</v>
      </c>
      <c r="E3" s="6" t="inlineStr">
        <is>
          <t>HF492807840</t>
        </is>
      </c>
      <c r="F3" s="6" t="inlineStr">
        <is>
          <t>06/01/2026</t>
        </is>
      </c>
      <c r="G3" s="6" t="inlineStr">
        <is>
          <t>Blue Cross Blue Shield of Arizona (BCBS AZ)</t>
        </is>
      </c>
      <c r="H3" s="6" t="inlineStr">
        <is>
          <t>Blue Cross Blue Shield of Arizona (BCBS AZ)</t>
        </is>
      </c>
      <c r="I3" s="6" t="inlineStr">
        <is>
          <t>No Payer</t>
        </is>
      </c>
      <c r="J3" s="6" t="inlineStr">
        <is>
          <t>75774</t>
        </is>
      </c>
      <c r="K3" s="4" t="n"/>
      <c r="L3" s="5">
        <f>IF($M3="","",$M3-TODAY())</f>
        <v/>
      </c>
      <c r="M3" s="7" t="n">
        <v>46264</v>
      </c>
      <c r="N3" s="6" t="inlineStr">
        <is>
          <t>90 days</t>
        </is>
      </c>
      <c r="O3" s="6" t="inlineStr">
        <is>
          <t>BCBS</t>
        </is>
      </c>
      <c r="P3" s="6" t="inlineStr">
        <is>
          <t>26</t>
        </is>
      </c>
      <c r="Q3" s="6" t="inlineStr">
        <is>
          <t>XU</t>
        </is>
      </c>
      <c r="R3" s="6" t="n"/>
      <c r="S3" s="5" t="n">
        <v>5</v>
      </c>
      <c r="T3" s="8" t="n">
        <v>3356.5</v>
      </c>
      <c r="U3" s="8" t="n">
        <v>0</v>
      </c>
      <c r="V3" s="8" t="n">
        <v>0</v>
      </c>
      <c r="W3" s="6" t="n"/>
      <c r="X3" s="8" t="n">
        <v>3356.5</v>
      </c>
      <c r="Y3" s="5" t="n">
        <v>68</v>
      </c>
      <c r="Z3" s="6" t="inlineStr">
        <is>
          <t>M1711</t>
        </is>
      </c>
      <c r="AA3" s="6" t="inlineStr">
        <is>
          <t>I798</t>
        </is>
      </c>
      <c r="AB3" s="6" t="inlineStr">
        <is>
          <t>M25561</t>
        </is>
      </c>
      <c r="AC3" s="6" t="n"/>
      <c r="AD3" s="5" t="n"/>
      <c r="AE3" s="6" t="inlineStr">
        <is>
          <t>HUNTER, DREW</t>
        </is>
      </c>
      <c r="AF3" s="6" t="inlineStr">
        <is>
          <t>Premier Endoscopy Center, LLC</t>
        </is>
      </c>
      <c r="AG3" s="6" t="inlineStr">
        <is>
          <t>06/20/2026</t>
        </is>
      </c>
      <c r="AH3" s="6" t="inlineStr">
        <is>
          <t>GAE</t>
        </is>
      </c>
      <c r="AI3" s="9" t="inlineStr">
        <is>
          <t>BCBS AZ dropped from 365 to 90 days on 01/01/2026. All dates of service here are 2026, so 90 days applies.</t>
        </is>
      </c>
      <c r="AJ3" s="5" t="n">
        <v>929</v>
      </c>
    </row>
    <row r="4">
      <c r="A4" s="2" t="n"/>
      <c r="B4" s="3" t="n"/>
      <c r="C4" s="4" t="n"/>
      <c r="D4" s="5" t="n">
        <v>562932517</v>
      </c>
      <c r="E4" s="6" t="inlineStr">
        <is>
          <t>HF492807840</t>
        </is>
      </c>
      <c r="F4" s="6" t="inlineStr">
        <is>
          <t>06/01/2026</t>
        </is>
      </c>
      <c r="G4" s="6" t="inlineStr">
        <is>
          <t>Blue Cross Blue Shield of Arizona (BCBS AZ)</t>
        </is>
      </c>
      <c r="H4" s="6" t="inlineStr">
        <is>
          <t>Blue Cross Blue Shield of Arizona (BCBS AZ)</t>
        </is>
      </c>
      <c r="I4" s="6" t="inlineStr">
        <is>
          <t>No Payer</t>
        </is>
      </c>
      <c r="J4" s="6" t="inlineStr">
        <is>
          <t>36245</t>
        </is>
      </c>
      <c r="K4" s="4" t="n"/>
      <c r="L4" s="5">
        <f>IF($M4="","",$M4-TODAY())</f>
        <v/>
      </c>
      <c r="M4" s="7" t="n">
        <v>46264</v>
      </c>
      <c r="N4" s="6" t="inlineStr">
        <is>
          <t>90 days</t>
        </is>
      </c>
      <c r="O4" s="6" t="inlineStr">
        <is>
          <t>BCBS</t>
        </is>
      </c>
      <c r="P4" s="6" t="inlineStr">
        <is>
          <t>59</t>
        </is>
      </c>
      <c r="Q4" s="6" t="n"/>
      <c r="R4" s="6" t="n"/>
      <c r="S4" s="5" t="n">
        <v>1</v>
      </c>
      <c r="T4" s="8" t="n">
        <v>8566.040000000001</v>
      </c>
      <c r="U4" s="8" t="n">
        <v>0</v>
      </c>
      <c r="V4" s="8" t="n">
        <v>0</v>
      </c>
      <c r="W4" s="6" t="n"/>
      <c r="X4" s="8" t="n">
        <v>8566.040000000001</v>
      </c>
      <c r="Y4" s="5" t="n">
        <v>68</v>
      </c>
      <c r="Z4" s="6" t="inlineStr">
        <is>
          <t>M1711</t>
        </is>
      </c>
      <c r="AA4" s="6" t="inlineStr">
        <is>
          <t>I798</t>
        </is>
      </c>
      <c r="AB4" s="6" t="inlineStr">
        <is>
          <t>M25561</t>
        </is>
      </c>
      <c r="AC4" s="6" t="n"/>
      <c r="AD4" s="5" t="n"/>
      <c r="AE4" s="6" t="inlineStr">
        <is>
          <t>HUNTER, DREW</t>
        </is>
      </c>
      <c r="AF4" s="6" t="inlineStr">
        <is>
          <t>Premier Endoscopy Center, LLC</t>
        </is>
      </c>
      <c r="AG4" s="6" t="inlineStr">
        <is>
          <t>06/20/2026</t>
        </is>
      </c>
      <c r="AH4" s="6" t="inlineStr">
        <is>
          <t>GAE</t>
        </is>
      </c>
      <c r="AI4" s="9" t="inlineStr">
        <is>
          <t>BCBS AZ dropped from 365 to 90 days on 01/01/2026. All dates of service here are 2026, so 90 days applies.</t>
        </is>
      </c>
      <c r="AJ4" s="5" t="n">
        <v>930</v>
      </c>
    </row>
    <row r="5">
      <c r="A5" s="2" t="n"/>
      <c r="B5" s="3" t="n"/>
      <c r="C5" s="4" t="n"/>
      <c r="D5" s="5" t="n">
        <v>562932517</v>
      </c>
      <c r="E5" s="6" t="inlineStr">
        <is>
          <t>HF492807840</t>
        </is>
      </c>
      <c r="F5" s="6" t="inlineStr">
        <is>
          <t>06/01/2026</t>
        </is>
      </c>
      <c r="G5" s="6" t="inlineStr">
        <is>
          <t>Blue Cross Blue Shield of Arizona (BCBS AZ)</t>
        </is>
      </c>
      <c r="H5" s="6" t="inlineStr">
        <is>
          <t>Blue Cross Blue Shield of Arizona (BCBS AZ)</t>
        </is>
      </c>
      <c r="I5" s="6" t="inlineStr">
        <is>
          <t>No Payer</t>
        </is>
      </c>
      <c r="J5" s="6" t="inlineStr">
        <is>
          <t>37242</t>
        </is>
      </c>
      <c r="K5" s="4" t="n"/>
      <c r="L5" s="5">
        <f>IF($M5="","",$M5-TODAY())</f>
        <v/>
      </c>
      <c r="M5" s="7" t="n">
        <v>46264</v>
      </c>
      <c r="N5" s="6" t="inlineStr">
        <is>
          <t>90 days</t>
        </is>
      </c>
      <c r="O5" s="6" t="inlineStr">
        <is>
          <t>BCBS</t>
        </is>
      </c>
      <c r="P5" s="6" t="n"/>
      <c r="Q5" s="6" t="n"/>
      <c r="R5" s="6" t="n"/>
      <c r="S5" s="5" t="n">
        <v>1</v>
      </c>
      <c r="T5" s="8" t="n">
        <v>49162.82</v>
      </c>
      <c r="U5" s="8" t="n">
        <v>0</v>
      </c>
      <c r="V5" s="8" t="n">
        <v>0</v>
      </c>
      <c r="W5" s="6" t="n"/>
      <c r="X5" s="8" t="n">
        <v>49162.82</v>
      </c>
      <c r="Y5" s="5" t="n">
        <v>68</v>
      </c>
      <c r="Z5" s="6" t="inlineStr">
        <is>
          <t>M1711</t>
        </is>
      </c>
      <c r="AA5" s="6" t="inlineStr">
        <is>
          <t>I798</t>
        </is>
      </c>
      <c r="AB5" s="6" t="inlineStr">
        <is>
          <t>M25561</t>
        </is>
      </c>
      <c r="AC5" s="6" t="n"/>
      <c r="AD5" s="5" t="n"/>
      <c r="AE5" s="6" t="inlineStr">
        <is>
          <t>HUNTER, DREW</t>
        </is>
      </c>
      <c r="AF5" s="6" t="inlineStr">
        <is>
          <t>Premier Endoscopy Center, LLC</t>
        </is>
      </c>
      <c r="AG5" s="6" t="inlineStr">
        <is>
          <t>06/20/2026</t>
        </is>
      </c>
      <c r="AH5" s="6" t="inlineStr">
        <is>
          <t>GAE</t>
        </is>
      </c>
      <c r="AI5" s="9" t="inlineStr">
        <is>
          <t>BCBS AZ dropped from 365 to 90 days on 01/01/2026. All dates of service here are 2026, so 90 days applies.</t>
        </is>
      </c>
      <c r="AJ5" s="5" t="n">
        <v>931</v>
      </c>
    </row>
    <row r="6">
      <c r="A6" s="2" t="n"/>
      <c r="B6" s="3" t="n"/>
      <c r="C6" s="4" t="n"/>
      <c r="D6" s="5" t="n">
        <v>562932517</v>
      </c>
      <c r="E6" s="6" t="inlineStr">
        <is>
          <t>HF492807840</t>
        </is>
      </c>
      <c r="F6" s="6" t="inlineStr">
        <is>
          <t>06/01/2026</t>
        </is>
      </c>
      <c r="G6" s="6" t="inlineStr">
        <is>
          <t>Blue Cross Blue Shield of Arizona (BCBS AZ)</t>
        </is>
      </c>
      <c r="H6" s="6" t="inlineStr">
        <is>
          <t>Blue Cross Blue Shield of Arizona (BCBS AZ)</t>
        </is>
      </c>
      <c r="I6" s="6" t="inlineStr">
        <is>
          <t>No Payer</t>
        </is>
      </c>
      <c r="J6" s="6" t="inlineStr">
        <is>
          <t>75710</t>
        </is>
      </c>
      <c r="K6" s="4" t="n"/>
      <c r="L6" s="5">
        <f>IF($M6="","",$M6-TODAY())</f>
        <v/>
      </c>
      <c r="M6" s="7" t="n">
        <v>46264</v>
      </c>
      <c r="N6" s="6" t="inlineStr">
        <is>
          <t>90 days</t>
        </is>
      </c>
      <c r="O6" s="6" t="inlineStr">
        <is>
          <t>BCBS</t>
        </is>
      </c>
      <c r="P6" s="6" t="inlineStr">
        <is>
          <t>26</t>
        </is>
      </c>
      <c r="Q6" s="6" t="inlineStr">
        <is>
          <t>XU</t>
        </is>
      </c>
      <c r="R6" s="6" t="inlineStr">
        <is>
          <t>RT</t>
        </is>
      </c>
      <c r="S6" s="5" t="n">
        <v>1</v>
      </c>
      <c r="T6" s="8" t="n">
        <v>1037.19</v>
      </c>
      <c r="U6" s="8" t="n">
        <v>0</v>
      </c>
      <c r="V6" s="8" t="n">
        <v>0</v>
      </c>
      <c r="W6" s="6" t="n"/>
      <c r="X6" s="8" t="n">
        <v>1037.19</v>
      </c>
      <c r="Y6" s="5" t="n">
        <v>68</v>
      </c>
      <c r="Z6" s="6" t="inlineStr">
        <is>
          <t>M1711</t>
        </is>
      </c>
      <c r="AA6" s="6" t="inlineStr">
        <is>
          <t>I798</t>
        </is>
      </c>
      <c r="AB6" s="6" t="inlineStr">
        <is>
          <t>M25561</t>
        </is>
      </c>
      <c r="AC6" s="6" t="n"/>
      <c r="AD6" s="5" t="n"/>
      <c r="AE6" s="6" t="inlineStr">
        <is>
          <t>HUNTER, DREW</t>
        </is>
      </c>
      <c r="AF6" s="6" t="inlineStr">
        <is>
          <t>Premier Endoscopy Center, LLC</t>
        </is>
      </c>
      <c r="AG6" s="6" t="inlineStr">
        <is>
          <t>06/20/2026</t>
        </is>
      </c>
      <c r="AH6" s="6" t="inlineStr">
        <is>
          <t>GAE</t>
        </is>
      </c>
      <c r="AI6" s="9" t="inlineStr">
        <is>
          <t>BCBS AZ dropped from 365 to 90 days on 01/01/2026. All dates of service here are 2026, so 90 days applies.</t>
        </is>
      </c>
      <c r="AJ6" s="5" t="n">
        <v>933</v>
      </c>
    </row>
    <row r="7">
      <c r="A7" s="2" t="n"/>
      <c r="B7" s="3" t="n"/>
      <c r="C7" s="4" t="n"/>
      <c r="D7" s="5" t="n">
        <v>562932517</v>
      </c>
      <c r="E7" s="6" t="inlineStr">
        <is>
          <t>HF492807840</t>
        </is>
      </c>
      <c r="F7" s="6" t="inlineStr">
        <is>
          <t>06/01/2026</t>
        </is>
      </c>
      <c r="G7" s="6" t="inlineStr">
        <is>
          <t>Blue Cross Blue Shield of Arizona (BCBS AZ)</t>
        </is>
      </c>
      <c r="H7" s="6" t="inlineStr">
        <is>
          <t>Blue Cross Blue Shield of Arizona (BCBS AZ)</t>
        </is>
      </c>
      <c r="I7" s="6" t="inlineStr">
        <is>
          <t>No Payer</t>
        </is>
      </c>
      <c r="J7" s="6" t="inlineStr">
        <is>
          <t>76937</t>
        </is>
      </c>
      <c r="K7" s="4" t="n"/>
      <c r="L7" s="5">
        <f>IF($M7="","",$M7-TODAY())</f>
        <v/>
      </c>
      <c r="M7" s="7" t="n">
        <v>46264</v>
      </c>
      <c r="N7" s="6" t="inlineStr">
        <is>
          <t>90 days</t>
        </is>
      </c>
      <c r="O7" s="6" t="inlineStr">
        <is>
          <t>BCBS</t>
        </is>
      </c>
      <c r="P7" s="6" t="inlineStr">
        <is>
          <t>26</t>
        </is>
      </c>
      <c r="Q7" s="6" t="n"/>
      <c r="R7" s="6" t="n"/>
      <c r="S7" s="5" t="n">
        <v>1</v>
      </c>
      <c r="T7" s="8" t="n">
        <v>271.18</v>
      </c>
      <c r="U7" s="8" t="n">
        <v>0</v>
      </c>
      <c r="V7" s="8" t="n">
        <v>0</v>
      </c>
      <c r="W7" s="6" t="n"/>
      <c r="X7" s="8" t="n">
        <v>271.18</v>
      </c>
      <c r="Y7" s="5" t="n">
        <v>68</v>
      </c>
      <c r="Z7" s="6" t="inlineStr">
        <is>
          <t>M1711</t>
        </is>
      </c>
      <c r="AA7" s="6" t="inlineStr">
        <is>
          <t>I798</t>
        </is>
      </c>
      <c r="AB7" s="6" t="inlineStr">
        <is>
          <t>M25561</t>
        </is>
      </c>
      <c r="AC7" s="6" t="n"/>
      <c r="AD7" s="5" t="n"/>
      <c r="AE7" s="6" t="inlineStr">
        <is>
          <t>HUNTER, DREW</t>
        </is>
      </c>
      <c r="AF7" s="6" t="inlineStr">
        <is>
          <t>Premier Endoscopy Center, LLC</t>
        </is>
      </c>
      <c r="AG7" s="6" t="inlineStr">
        <is>
          <t>06/20/2026</t>
        </is>
      </c>
      <c r="AH7" s="6" t="inlineStr">
        <is>
          <t>GAE</t>
        </is>
      </c>
      <c r="AI7" s="9" t="inlineStr">
        <is>
          <t>BCBS AZ dropped from 365 to 90 days on 01/01/2026. All dates of service here are 2026, so 90 days applies.</t>
        </is>
      </c>
      <c r="AJ7" s="5" t="n">
        <v>934</v>
      </c>
    </row>
    <row r="8">
      <c r="A8" s="2" t="n"/>
      <c r="B8" s="3" t="n"/>
      <c r="C8" s="4" t="n"/>
      <c r="D8" s="5" t="n">
        <v>562932517</v>
      </c>
      <c r="E8" s="6" t="inlineStr">
        <is>
          <t>HF492807840</t>
        </is>
      </c>
      <c r="F8" s="6" t="inlineStr">
        <is>
          <t>06/01/2026</t>
        </is>
      </c>
      <c r="G8" s="6" t="inlineStr">
        <is>
          <t>Blue Cross Blue Shield of Arizona (BCBS AZ)</t>
        </is>
      </c>
      <c r="H8" s="6" t="inlineStr">
        <is>
          <t>Blue Cross Blue Shield of Arizona (BCBS AZ)</t>
        </is>
      </c>
      <c r="I8" s="6" t="inlineStr">
        <is>
          <t>No Payer</t>
        </is>
      </c>
      <c r="J8" s="6" t="inlineStr">
        <is>
          <t>36246</t>
        </is>
      </c>
      <c r="K8" s="4" t="n"/>
      <c r="L8" s="5">
        <f>IF($M8="","",$M8-TODAY())</f>
        <v/>
      </c>
      <c r="M8" s="7" t="n">
        <v>46264</v>
      </c>
      <c r="N8" s="6" t="inlineStr">
        <is>
          <t>90 days</t>
        </is>
      </c>
      <c r="O8" s="6" t="inlineStr">
        <is>
          <t>BCBS</t>
        </is>
      </c>
      <c r="P8" s="6" t="inlineStr">
        <is>
          <t>59</t>
        </is>
      </c>
      <c r="Q8" s="6" t="inlineStr">
        <is>
          <t>RT</t>
        </is>
      </c>
      <c r="R8" s="6" t="n"/>
      <c r="S8" s="5" t="n">
        <v>1</v>
      </c>
      <c r="T8" s="8" t="n">
        <v>5741.19</v>
      </c>
      <c r="U8" s="8" t="n">
        <v>0</v>
      </c>
      <c r="V8" s="8" t="n">
        <v>0</v>
      </c>
      <c r="W8" s="6" t="n"/>
      <c r="X8" s="8" t="n">
        <v>5741.19</v>
      </c>
      <c r="Y8" s="5" t="n">
        <v>68</v>
      </c>
      <c r="Z8" s="6" t="inlineStr">
        <is>
          <t>M1711</t>
        </is>
      </c>
      <c r="AA8" s="6" t="inlineStr">
        <is>
          <t>I798</t>
        </is>
      </c>
      <c r="AB8" s="6" t="inlineStr">
        <is>
          <t>M25561</t>
        </is>
      </c>
      <c r="AC8" s="6" t="n"/>
      <c r="AD8" s="5" t="n"/>
      <c r="AE8" s="6" t="inlineStr">
        <is>
          <t>HUNTER, DREW</t>
        </is>
      </c>
      <c r="AF8" s="6" t="inlineStr">
        <is>
          <t>Premier Endoscopy Center, LLC</t>
        </is>
      </c>
      <c r="AG8" s="6" t="inlineStr">
        <is>
          <t>06/20/2026</t>
        </is>
      </c>
      <c r="AH8" s="6" t="inlineStr">
        <is>
          <t>GAE</t>
        </is>
      </c>
      <c r="AI8" s="9" t="inlineStr">
        <is>
          <t>BCBS AZ dropped from 365 to 90 days on 01/01/2026. All dates of service here are 2026, so 90 days applies.</t>
        </is>
      </c>
      <c r="AJ8" s="5" t="n">
        <v>935</v>
      </c>
    </row>
    <row r="9">
      <c r="A9" s="2" t="n"/>
      <c r="B9" s="3" t="n"/>
      <c r="C9" s="4" t="n"/>
      <c r="D9" s="5" t="n">
        <v>565100484</v>
      </c>
      <c r="E9" s="6" t="inlineStr">
        <is>
          <t>HF552622415</t>
        </is>
      </c>
      <c r="F9" s="6" t="inlineStr">
        <is>
          <t>06/01/2026</t>
        </is>
      </c>
      <c r="G9" s="6" t="inlineStr">
        <is>
          <t>UHC Group Medicare Advantage</t>
        </is>
      </c>
      <c r="H9" s="6" t="inlineStr">
        <is>
          <t>UHC Group Medicare Advantage</t>
        </is>
      </c>
      <c r="I9" s="6" t="inlineStr">
        <is>
          <t>No Payer</t>
        </is>
      </c>
      <c r="J9" s="6" t="inlineStr">
        <is>
          <t>75774</t>
        </is>
      </c>
      <c r="K9" s="4" t="n"/>
      <c r="L9" s="5">
        <f>IF($M9="","",$M9-TODAY())</f>
        <v/>
      </c>
      <c r="M9" s="7" t="n">
        <v>46264</v>
      </c>
      <c r="N9" s="6" t="inlineStr">
        <is>
          <t>90 days</t>
        </is>
      </c>
      <c r="O9" s="6" t="inlineStr">
        <is>
          <t>UHC MA</t>
        </is>
      </c>
      <c r="P9" s="6" t="inlineStr">
        <is>
          <t>26</t>
        </is>
      </c>
      <c r="Q9" s="6" t="inlineStr">
        <is>
          <t>XU</t>
        </is>
      </c>
      <c r="R9" s="6" t="n"/>
      <c r="S9" s="5" t="n">
        <v>4</v>
      </c>
      <c r="T9" s="8" t="n">
        <v>2685.2</v>
      </c>
      <c r="U9" s="8" t="n">
        <v>0</v>
      </c>
      <c r="V9" s="8" t="n">
        <v>0</v>
      </c>
      <c r="W9" s="6" t="n"/>
      <c r="X9" s="8" t="n">
        <v>2685.2</v>
      </c>
      <c r="Y9" s="5" t="n">
        <v>68</v>
      </c>
      <c r="Z9" s="6" t="inlineStr">
        <is>
          <t>M1711</t>
        </is>
      </c>
      <c r="AA9" s="6" t="inlineStr">
        <is>
          <t>I798</t>
        </is>
      </c>
      <c r="AB9" s="6" t="inlineStr">
        <is>
          <t>M25561</t>
        </is>
      </c>
      <c r="AC9" s="6" t="n"/>
      <c r="AD9" s="5" t="n"/>
      <c r="AE9" s="6" t="inlineStr">
        <is>
          <t>HUNTER, DREW</t>
        </is>
      </c>
      <c r="AF9" s="6" t="inlineStr">
        <is>
          <t>Premier Endoscopy Center, LLC</t>
        </is>
      </c>
      <c r="AG9" s="6" t="inlineStr">
        <is>
          <t>07/13/2026</t>
        </is>
      </c>
      <c r="AH9" s="6" t="inlineStr">
        <is>
          <t>GAE</t>
        </is>
      </c>
      <c r="AI9" s="9" t="n"/>
      <c r="AJ9" s="5" t="n">
        <v>330</v>
      </c>
    </row>
    <row r="10">
      <c r="A10" s="2" t="n"/>
      <c r="B10" s="3" t="n"/>
      <c r="C10" s="4" t="n"/>
      <c r="D10" s="5" t="n">
        <v>565100484</v>
      </c>
      <c r="E10" s="6" t="inlineStr">
        <is>
          <t>HF552622415</t>
        </is>
      </c>
      <c r="F10" s="6" t="inlineStr">
        <is>
          <t>06/01/2026</t>
        </is>
      </c>
      <c r="G10" s="6" t="inlineStr">
        <is>
          <t>UHC Group Medicare Advantage</t>
        </is>
      </c>
      <c r="H10" s="6" t="inlineStr">
        <is>
          <t>UHC Group Medicare Advantage</t>
        </is>
      </c>
      <c r="I10" s="6" t="inlineStr">
        <is>
          <t>No Payer</t>
        </is>
      </c>
      <c r="J10" s="6" t="inlineStr">
        <is>
          <t>36245</t>
        </is>
      </c>
      <c r="K10" s="4" t="n"/>
      <c r="L10" s="5">
        <f>IF($M10="","",$M10-TODAY())</f>
        <v/>
      </c>
      <c r="M10" s="7" t="n">
        <v>46264</v>
      </c>
      <c r="N10" s="6" t="inlineStr">
        <is>
          <t>90 days</t>
        </is>
      </c>
      <c r="O10" s="6" t="inlineStr">
        <is>
          <t>UHC MA</t>
        </is>
      </c>
      <c r="P10" s="6" t="inlineStr">
        <is>
          <t>59</t>
        </is>
      </c>
      <c r="Q10" s="6" t="n"/>
      <c r="R10" s="6" t="n"/>
      <c r="S10" s="5" t="n">
        <v>1</v>
      </c>
      <c r="T10" s="8" t="n">
        <v>8566.040000000001</v>
      </c>
      <c r="U10" s="8" t="n">
        <v>0</v>
      </c>
      <c r="V10" s="8" t="n">
        <v>0</v>
      </c>
      <c r="W10" s="6" t="n"/>
      <c r="X10" s="8" t="n">
        <v>8566.040000000001</v>
      </c>
      <c r="Y10" s="5" t="n">
        <v>68</v>
      </c>
      <c r="Z10" s="6" t="inlineStr">
        <is>
          <t>M1711</t>
        </is>
      </c>
      <c r="AA10" s="6" t="inlineStr">
        <is>
          <t>I798</t>
        </is>
      </c>
      <c r="AB10" s="6" t="inlineStr">
        <is>
          <t>M25561</t>
        </is>
      </c>
      <c r="AC10" s="6" t="n"/>
      <c r="AD10" s="5" t="n"/>
      <c r="AE10" s="6" t="inlineStr">
        <is>
          <t>HUNTER, DREW</t>
        </is>
      </c>
      <c r="AF10" s="6" t="inlineStr">
        <is>
          <t>Premier Endoscopy Center, LLC</t>
        </is>
      </c>
      <c r="AG10" s="6" t="inlineStr">
        <is>
          <t>07/13/2026</t>
        </is>
      </c>
      <c r="AH10" s="6" t="inlineStr">
        <is>
          <t>GAE</t>
        </is>
      </c>
      <c r="AI10" s="9" t="n"/>
      <c r="AJ10" s="5" t="n">
        <v>331</v>
      </c>
    </row>
    <row r="11">
      <c r="A11" s="2" t="n"/>
      <c r="B11" s="3" t="n"/>
      <c r="C11" s="4" t="n"/>
      <c r="D11" s="5" t="n">
        <v>565100484</v>
      </c>
      <c r="E11" s="6" t="inlineStr">
        <is>
          <t>HF552622415</t>
        </is>
      </c>
      <c r="F11" s="6" t="inlineStr">
        <is>
          <t>06/01/2026</t>
        </is>
      </c>
      <c r="G11" s="6" t="inlineStr">
        <is>
          <t>UHC Group Medicare Advantage</t>
        </is>
      </c>
      <c r="H11" s="6" t="inlineStr">
        <is>
          <t>UHC Group Medicare Advantage</t>
        </is>
      </c>
      <c r="I11" s="6" t="inlineStr">
        <is>
          <t>No Payer</t>
        </is>
      </c>
      <c r="J11" s="6" t="inlineStr">
        <is>
          <t>36248</t>
        </is>
      </c>
      <c r="K11" s="4" t="n"/>
      <c r="L11" s="5">
        <f>IF($M11="","",$M11-TODAY())</f>
        <v/>
      </c>
      <c r="M11" s="7" t="n">
        <v>46264</v>
      </c>
      <c r="N11" s="6" t="inlineStr">
        <is>
          <t>90 days</t>
        </is>
      </c>
      <c r="O11" s="6" t="inlineStr">
        <is>
          <t>UHC MA</t>
        </is>
      </c>
      <c r="P11" s="6" t="inlineStr">
        <is>
          <t>59</t>
        </is>
      </c>
      <c r="Q11" s="6" t="n"/>
      <c r="R11" s="6" t="n"/>
      <c r="S11" s="5" t="n">
        <v>2</v>
      </c>
      <c r="T11" s="8" t="n">
        <v>1615.18</v>
      </c>
      <c r="U11" s="8" t="n">
        <v>0</v>
      </c>
      <c r="V11" s="8" t="n">
        <v>0</v>
      </c>
      <c r="W11" s="6" t="n"/>
      <c r="X11" s="8" t="n">
        <v>1615.18</v>
      </c>
      <c r="Y11" s="5" t="n">
        <v>68</v>
      </c>
      <c r="Z11" s="6" t="inlineStr">
        <is>
          <t>M1711</t>
        </is>
      </c>
      <c r="AA11" s="6" t="inlineStr">
        <is>
          <t>I798</t>
        </is>
      </c>
      <c r="AB11" s="6" t="inlineStr">
        <is>
          <t>M25561</t>
        </is>
      </c>
      <c r="AC11" s="6" t="n"/>
      <c r="AD11" s="5" t="n"/>
      <c r="AE11" s="6" t="inlineStr">
        <is>
          <t>HUNTER, DREW</t>
        </is>
      </c>
      <c r="AF11" s="6" t="inlineStr">
        <is>
          <t>Premier Endoscopy Center, LLC</t>
        </is>
      </c>
      <c r="AG11" s="6" t="inlineStr">
        <is>
          <t>07/13/2026</t>
        </is>
      </c>
      <c r="AH11" s="6" t="inlineStr">
        <is>
          <t>GAE</t>
        </is>
      </c>
      <c r="AI11" s="9" t="n"/>
      <c r="AJ11" s="5" t="n">
        <v>332</v>
      </c>
    </row>
    <row r="12">
      <c r="A12" s="2" t="n"/>
      <c r="B12" s="3" t="n"/>
      <c r="C12" s="4" t="n"/>
      <c r="D12" s="5" t="n">
        <v>565100484</v>
      </c>
      <c r="E12" s="6" t="inlineStr">
        <is>
          <t>HF552622415</t>
        </is>
      </c>
      <c r="F12" s="6" t="inlineStr">
        <is>
          <t>06/01/2026</t>
        </is>
      </c>
      <c r="G12" s="6" t="inlineStr">
        <is>
          <t>UHC Group Medicare Advantage</t>
        </is>
      </c>
      <c r="H12" s="6" t="inlineStr">
        <is>
          <t>UHC Group Medicare Advantage</t>
        </is>
      </c>
      <c r="I12" s="6" t="inlineStr">
        <is>
          <t>No Payer</t>
        </is>
      </c>
      <c r="J12" s="6" t="inlineStr">
        <is>
          <t>76937</t>
        </is>
      </c>
      <c r="K12" s="4" t="n"/>
      <c r="L12" s="5">
        <f>IF($M12="","",$M12-TODAY())</f>
        <v/>
      </c>
      <c r="M12" s="7" t="n">
        <v>46264</v>
      </c>
      <c r="N12" s="6" t="inlineStr">
        <is>
          <t>90 days</t>
        </is>
      </c>
      <c r="O12" s="6" t="inlineStr">
        <is>
          <t>UHC MA</t>
        </is>
      </c>
      <c r="P12" s="6" t="inlineStr">
        <is>
          <t>26</t>
        </is>
      </c>
      <c r="Q12" s="6" t="n"/>
      <c r="R12" s="6" t="n"/>
      <c r="S12" s="5" t="n">
        <v>1</v>
      </c>
      <c r="T12" s="8" t="n">
        <v>271.18</v>
      </c>
      <c r="U12" s="8" t="n">
        <v>0</v>
      </c>
      <c r="V12" s="8" t="n">
        <v>0</v>
      </c>
      <c r="W12" s="6" t="n"/>
      <c r="X12" s="8" t="n">
        <v>271.18</v>
      </c>
      <c r="Y12" s="5" t="n">
        <v>68</v>
      </c>
      <c r="Z12" s="6" t="inlineStr">
        <is>
          <t>M1711</t>
        </is>
      </c>
      <c r="AA12" s="6" t="inlineStr">
        <is>
          <t>I798</t>
        </is>
      </c>
      <c r="AB12" s="6" t="inlineStr">
        <is>
          <t>M25561</t>
        </is>
      </c>
      <c r="AC12" s="6" t="n"/>
      <c r="AD12" s="5" t="n"/>
      <c r="AE12" s="6" t="inlineStr">
        <is>
          <t>HUNTER, DREW</t>
        </is>
      </c>
      <c r="AF12" s="6" t="inlineStr">
        <is>
          <t>Premier Endoscopy Center, LLC</t>
        </is>
      </c>
      <c r="AG12" s="6" t="inlineStr">
        <is>
          <t>07/13/2026</t>
        </is>
      </c>
      <c r="AH12" s="6" t="inlineStr">
        <is>
          <t>GAE</t>
        </is>
      </c>
      <c r="AI12" s="9" t="n"/>
      <c r="AJ12" s="5" t="n">
        <v>333</v>
      </c>
    </row>
    <row r="13">
      <c r="A13" s="2" t="n"/>
      <c r="B13" s="3" t="n"/>
      <c r="C13" s="4" t="n"/>
      <c r="D13" s="5" t="n">
        <v>565100484</v>
      </c>
      <c r="E13" s="6" t="inlineStr">
        <is>
          <t>HF552622415</t>
        </is>
      </c>
      <c r="F13" s="6" t="inlineStr">
        <is>
          <t>06/01/2026</t>
        </is>
      </c>
      <c r="G13" s="6" t="inlineStr">
        <is>
          <t>UHC Group Medicare Advantage</t>
        </is>
      </c>
      <c r="H13" s="6" t="inlineStr">
        <is>
          <t>UHC Group Medicare Advantage</t>
        </is>
      </c>
      <c r="I13" s="6" t="inlineStr">
        <is>
          <t>No Payer</t>
        </is>
      </c>
      <c r="J13" s="6" t="inlineStr">
        <is>
          <t>75710</t>
        </is>
      </c>
      <c r="K13" s="4" t="n"/>
      <c r="L13" s="5">
        <f>IF($M13="","",$M13-TODAY())</f>
        <v/>
      </c>
      <c r="M13" s="7" t="n">
        <v>46264</v>
      </c>
      <c r="N13" s="6" t="inlineStr">
        <is>
          <t>90 days</t>
        </is>
      </c>
      <c r="O13" s="6" t="inlineStr">
        <is>
          <t>UHC MA</t>
        </is>
      </c>
      <c r="P13" s="6" t="inlineStr">
        <is>
          <t>26</t>
        </is>
      </c>
      <c r="Q13" s="6" t="inlineStr">
        <is>
          <t>XU</t>
        </is>
      </c>
      <c r="R13" s="6" t="inlineStr">
        <is>
          <t>RT</t>
        </is>
      </c>
      <c r="S13" s="5" t="n">
        <v>1</v>
      </c>
      <c r="T13" s="8" t="n">
        <v>1037.19</v>
      </c>
      <c r="U13" s="8" t="n">
        <v>0</v>
      </c>
      <c r="V13" s="8" t="n">
        <v>0</v>
      </c>
      <c r="W13" s="6" t="n"/>
      <c r="X13" s="8" t="n">
        <v>1037.19</v>
      </c>
      <c r="Y13" s="5" t="n">
        <v>68</v>
      </c>
      <c r="Z13" s="6" t="inlineStr">
        <is>
          <t>M1711</t>
        </is>
      </c>
      <c r="AA13" s="6" t="inlineStr">
        <is>
          <t>I798</t>
        </is>
      </c>
      <c r="AB13" s="6" t="inlineStr">
        <is>
          <t>M25561</t>
        </is>
      </c>
      <c r="AC13" s="6" t="n"/>
      <c r="AD13" s="5" t="n"/>
      <c r="AE13" s="6" t="inlineStr">
        <is>
          <t>HUNTER, DREW</t>
        </is>
      </c>
      <c r="AF13" s="6" t="inlineStr">
        <is>
          <t>Premier Endoscopy Center, LLC</t>
        </is>
      </c>
      <c r="AG13" s="6" t="inlineStr">
        <is>
          <t>07/13/2026</t>
        </is>
      </c>
      <c r="AH13" s="6" t="inlineStr">
        <is>
          <t>GAE</t>
        </is>
      </c>
      <c r="AI13" s="9" t="n"/>
      <c r="AJ13" s="5" t="n">
        <v>334</v>
      </c>
    </row>
    <row r="14">
      <c r="A14" s="2" t="n"/>
      <c r="B14" s="3" t="n"/>
      <c r="C14" s="4" t="n"/>
      <c r="D14" s="5" t="n">
        <v>565100484</v>
      </c>
      <c r="E14" s="6" t="inlineStr">
        <is>
          <t>HF552622415</t>
        </is>
      </c>
      <c r="F14" s="6" t="inlineStr">
        <is>
          <t>06/01/2026</t>
        </is>
      </c>
      <c r="G14" s="6" t="inlineStr">
        <is>
          <t>UHC Group Medicare Advantage</t>
        </is>
      </c>
      <c r="H14" s="6" t="inlineStr">
        <is>
          <t>UHC Group Medicare Advantage</t>
        </is>
      </c>
      <c r="I14" s="6" t="inlineStr">
        <is>
          <t>No Payer</t>
        </is>
      </c>
      <c r="J14" s="6" t="inlineStr">
        <is>
          <t>37242</t>
        </is>
      </c>
      <c r="K14" s="4" t="n"/>
      <c r="L14" s="5">
        <f>IF($M14="","",$M14-TODAY())</f>
        <v/>
      </c>
      <c r="M14" s="7" t="n">
        <v>46264</v>
      </c>
      <c r="N14" s="6" t="inlineStr">
        <is>
          <t>90 days</t>
        </is>
      </c>
      <c r="O14" s="6" t="inlineStr">
        <is>
          <t>UHC MA</t>
        </is>
      </c>
      <c r="P14" s="6" t="n"/>
      <c r="Q14" s="6" t="n"/>
      <c r="R14" s="6" t="n"/>
      <c r="S14" s="5" t="n">
        <v>1</v>
      </c>
      <c r="T14" s="8" t="n">
        <v>49162.82</v>
      </c>
      <c r="U14" s="8" t="n">
        <v>0</v>
      </c>
      <c r="V14" s="8" t="n">
        <v>0</v>
      </c>
      <c r="W14" s="6" t="n"/>
      <c r="X14" s="8" t="n">
        <v>49162.82</v>
      </c>
      <c r="Y14" s="5" t="n">
        <v>68</v>
      </c>
      <c r="Z14" s="6" t="inlineStr">
        <is>
          <t>M1711</t>
        </is>
      </c>
      <c r="AA14" s="6" t="inlineStr">
        <is>
          <t>I798</t>
        </is>
      </c>
      <c r="AB14" s="6" t="inlineStr">
        <is>
          <t>M25561</t>
        </is>
      </c>
      <c r="AC14" s="6" t="n"/>
      <c r="AD14" s="5" t="n"/>
      <c r="AE14" s="6" t="inlineStr">
        <is>
          <t>HUNTER, DREW</t>
        </is>
      </c>
      <c r="AF14" s="6" t="inlineStr">
        <is>
          <t>Premier Endoscopy Center, LLC</t>
        </is>
      </c>
      <c r="AG14" s="6" t="inlineStr">
        <is>
          <t>07/13/2026</t>
        </is>
      </c>
      <c r="AH14" s="6" t="inlineStr">
        <is>
          <t>GAE</t>
        </is>
      </c>
      <c r="AI14" s="9" t="n"/>
      <c r="AJ14" s="5" t="n">
        <v>335</v>
      </c>
    </row>
    <row r="15">
      <c r="A15" s="2" t="n"/>
      <c r="B15" s="3" t="n"/>
      <c r="C15" s="4" t="n"/>
      <c r="D15" s="5" t="n">
        <v>565100484</v>
      </c>
      <c r="E15" s="6" t="inlineStr">
        <is>
          <t>HF552622415</t>
        </is>
      </c>
      <c r="F15" s="6" t="inlineStr">
        <is>
          <t>06/01/2026</t>
        </is>
      </c>
      <c r="G15" s="6" t="inlineStr">
        <is>
          <t>UHC Group Medicare Advantage</t>
        </is>
      </c>
      <c r="H15" s="6" t="inlineStr">
        <is>
          <t>UHC Group Medicare Advantage</t>
        </is>
      </c>
      <c r="I15" s="6" t="inlineStr">
        <is>
          <t>No Payer</t>
        </is>
      </c>
      <c r="J15" s="6" t="inlineStr">
        <is>
          <t>36246</t>
        </is>
      </c>
      <c r="K15" s="4" t="n"/>
      <c r="L15" s="5">
        <f>IF($M15="","",$M15-TODAY())</f>
        <v/>
      </c>
      <c r="M15" s="7" t="n">
        <v>46264</v>
      </c>
      <c r="N15" s="6" t="inlineStr">
        <is>
          <t>90 days</t>
        </is>
      </c>
      <c r="O15" s="6" t="inlineStr">
        <is>
          <t>UHC MA</t>
        </is>
      </c>
      <c r="P15" s="6" t="inlineStr">
        <is>
          <t>59</t>
        </is>
      </c>
      <c r="Q15" s="6" t="inlineStr">
        <is>
          <t>RT</t>
        </is>
      </c>
      <c r="R15" s="6" t="n"/>
      <c r="S15" s="5" t="n">
        <v>1</v>
      </c>
      <c r="T15" s="8" t="n">
        <v>5741.19</v>
      </c>
      <c r="U15" s="8" t="n">
        <v>0</v>
      </c>
      <c r="V15" s="8" t="n">
        <v>0</v>
      </c>
      <c r="W15" s="6" t="n"/>
      <c r="X15" s="8" t="n">
        <v>5741.19</v>
      </c>
      <c r="Y15" s="5" t="n">
        <v>68</v>
      </c>
      <c r="Z15" s="6" t="inlineStr">
        <is>
          <t>M1711</t>
        </is>
      </c>
      <c r="AA15" s="6" t="inlineStr">
        <is>
          <t>I798</t>
        </is>
      </c>
      <c r="AB15" s="6" t="inlineStr">
        <is>
          <t>M25561</t>
        </is>
      </c>
      <c r="AC15" s="6" t="n"/>
      <c r="AD15" s="5" t="n"/>
      <c r="AE15" s="6" t="inlineStr">
        <is>
          <t>HUNTER, DREW</t>
        </is>
      </c>
      <c r="AF15" s="6" t="inlineStr">
        <is>
          <t>Premier Endoscopy Center, LLC</t>
        </is>
      </c>
      <c r="AG15" s="6" t="inlineStr">
        <is>
          <t>07/13/2026</t>
        </is>
      </c>
      <c r="AH15" s="6" t="inlineStr">
        <is>
          <t>GAE</t>
        </is>
      </c>
      <c r="AI15" s="9" t="n"/>
      <c r="AJ15" s="5" t="n">
        <v>336</v>
      </c>
    </row>
    <row r="16">
      <c r="A16" s="2" t="n"/>
      <c r="B16" s="3" t="n"/>
      <c r="C16" s="4" t="n"/>
      <c r="D16" s="5" t="n">
        <v>565101780</v>
      </c>
      <c r="E16" s="6" t="inlineStr">
        <is>
          <t>HF525787835</t>
        </is>
      </c>
      <c r="F16" s="6" t="inlineStr">
        <is>
          <t>06/08/2026</t>
        </is>
      </c>
      <c r="G16" s="6" t="inlineStr">
        <is>
          <t>UHC Group Medicare Advantage</t>
        </is>
      </c>
      <c r="H16" s="6" t="inlineStr">
        <is>
          <t>UHC Group Medicare Advantage</t>
        </is>
      </c>
      <c r="I16" s="6" t="inlineStr">
        <is>
          <t>No Payer</t>
        </is>
      </c>
      <c r="J16" s="6" t="inlineStr">
        <is>
          <t>36245</t>
        </is>
      </c>
      <c r="K16" s="4" t="n"/>
      <c r="L16" s="5">
        <f>IF($M16="","",$M16-TODAY())</f>
        <v/>
      </c>
      <c r="M16" s="7" t="n">
        <v>46271</v>
      </c>
      <c r="N16" s="6" t="inlineStr">
        <is>
          <t>90 days</t>
        </is>
      </c>
      <c r="O16" s="6" t="inlineStr">
        <is>
          <t>UHC MA</t>
        </is>
      </c>
      <c r="P16" s="6" t="inlineStr">
        <is>
          <t>59</t>
        </is>
      </c>
      <c r="Q16" s="6" t="n"/>
      <c r="R16" s="6" t="n"/>
      <c r="S16" s="5" t="n">
        <v>1</v>
      </c>
      <c r="T16" s="8" t="n">
        <v>8566.040000000001</v>
      </c>
      <c r="U16" s="8" t="n">
        <v>0</v>
      </c>
      <c r="V16" s="8" t="n">
        <v>0</v>
      </c>
      <c r="W16" s="6" t="n"/>
      <c r="X16" s="8" t="n">
        <v>8566.040000000001</v>
      </c>
      <c r="Y16" s="5" t="n">
        <v>61</v>
      </c>
      <c r="Z16" s="6" t="inlineStr">
        <is>
          <t>M1712</t>
        </is>
      </c>
      <c r="AA16" s="6" t="inlineStr">
        <is>
          <t>I798</t>
        </is>
      </c>
      <c r="AB16" s="6" t="inlineStr">
        <is>
          <t>M25562</t>
        </is>
      </c>
      <c r="AC16" s="6" t="n"/>
      <c r="AD16" s="5" t="n"/>
      <c r="AE16" s="6" t="inlineStr">
        <is>
          <t>HUNTER, DREW</t>
        </is>
      </c>
      <c r="AF16" s="6" t="inlineStr">
        <is>
          <t>ASAP Surgery Centers North Valley LLC</t>
        </is>
      </c>
      <c r="AG16" s="6" t="inlineStr">
        <is>
          <t>07/13/2026</t>
        </is>
      </c>
      <c r="AH16" s="6" t="inlineStr">
        <is>
          <t>GAE</t>
        </is>
      </c>
      <c r="AI16" s="9" t="n"/>
      <c r="AJ16" s="5" t="n">
        <v>988</v>
      </c>
    </row>
    <row r="17">
      <c r="A17" s="2" t="n"/>
      <c r="B17" s="3" t="n"/>
      <c r="C17" s="4" t="n"/>
      <c r="D17" s="5" t="n">
        <v>565101780</v>
      </c>
      <c r="E17" s="6" t="inlineStr">
        <is>
          <t>HF525787835</t>
        </is>
      </c>
      <c r="F17" s="6" t="inlineStr">
        <is>
          <t>06/08/2026</t>
        </is>
      </c>
      <c r="G17" s="6" t="inlineStr">
        <is>
          <t>UHC Group Medicare Advantage</t>
        </is>
      </c>
      <c r="H17" s="6" t="inlineStr">
        <is>
          <t>UHC Group Medicare Advantage</t>
        </is>
      </c>
      <c r="I17" s="6" t="inlineStr">
        <is>
          <t>No Payer</t>
        </is>
      </c>
      <c r="J17" s="6" t="inlineStr">
        <is>
          <t>75774</t>
        </is>
      </c>
      <c r="K17" s="4" t="n"/>
      <c r="L17" s="5">
        <f>IF($M17="","",$M17-TODAY())</f>
        <v/>
      </c>
      <c r="M17" s="7" t="n">
        <v>46271</v>
      </c>
      <c r="N17" s="6" t="inlineStr">
        <is>
          <t>90 days</t>
        </is>
      </c>
      <c r="O17" s="6" t="inlineStr">
        <is>
          <t>UHC MA</t>
        </is>
      </c>
      <c r="P17" s="6" t="inlineStr">
        <is>
          <t>26</t>
        </is>
      </c>
      <c r="Q17" s="6" t="inlineStr">
        <is>
          <t>XU</t>
        </is>
      </c>
      <c r="R17" s="6" t="n"/>
      <c r="S17" s="5" t="n">
        <v>4</v>
      </c>
      <c r="T17" s="8" t="n">
        <v>2685.2</v>
      </c>
      <c r="U17" s="8" t="n">
        <v>0</v>
      </c>
      <c r="V17" s="8" t="n">
        <v>0</v>
      </c>
      <c r="W17" s="6" t="n"/>
      <c r="X17" s="8" t="n">
        <v>2685.2</v>
      </c>
      <c r="Y17" s="5" t="n">
        <v>61</v>
      </c>
      <c r="Z17" s="6" t="inlineStr">
        <is>
          <t>M1712</t>
        </is>
      </c>
      <c r="AA17" s="6" t="inlineStr">
        <is>
          <t>I798</t>
        </is>
      </c>
      <c r="AB17" s="6" t="inlineStr">
        <is>
          <t>M25562</t>
        </is>
      </c>
      <c r="AC17" s="6" t="n"/>
      <c r="AD17" s="5" t="n"/>
      <c r="AE17" s="6" t="inlineStr">
        <is>
          <t>HUNTER, DREW</t>
        </is>
      </c>
      <c r="AF17" s="6" t="inlineStr">
        <is>
          <t>ASAP Surgery Centers North Valley LLC</t>
        </is>
      </c>
      <c r="AG17" s="6" t="inlineStr">
        <is>
          <t>07/13/2026</t>
        </is>
      </c>
      <c r="AH17" s="6" t="inlineStr">
        <is>
          <t>GAE</t>
        </is>
      </c>
      <c r="AI17" s="9" t="n"/>
      <c r="AJ17" s="5" t="n">
        <v>989</v>
      </c>
    </row>
    <row r="18">
      <c r="A18" s="2" t="n"/>
      <c r="B18" s="3" t="n"/>
      <c r="C18" s="4" t="n"/>
      <c r="D18" s="5" t="n">
        <v>565101780</v>
      </c>
      <c r="E18" s="6" t="inlineStr">
        <is>
          <t>HF525787835</t>
        </is>
      </c>
      <c r="F18" s="6" t="inlineStr">
        <is>
          <t>06/08/2026</t>
        </is>
      </c>
      <c r="G18" s="6" t="inlineStr">
        <is>
          <t>UHC Group Medicare Advantage</t>
        </is>
      </c>
      <c r="H18" s="6" t="inlineStr">
        <is>
          <t>UHC Group Medicare Advantage</t>
        </is>
      </c>
      <c r="I18" s="6" t="inlineStr">
        <is>
          <t>No Payer</t>
        </is>
      </c>
      <c r="J18" s="6" t="inlineStr">
        <is>
          <t>75710</t>
        </is>
      </c>
      <c r="K18" s="4" t="n"/>
      <c r="L18" s="5">
        <f>IF($M18="","",$M18-TODAY())</f>
        <v/>
      </c>
      <c r="M18" s="7" t="n">
        <v>46271</v>
      </c>
      <c r="N18" s="6" t="inlineStr">
        <is>
          <t>90 days</t>
        </is>
      </c>
      <c r="O18" s="6" t="inlineStr">
        <is>
          <t>UHC MA</t>
        </is>
      </c>
      <c r="P18" s="6" t="inlineStr">
        <is>
          <t>26</t>
        </is>
      </c>
      <c r="Q18" s="6" t="inlineStr">
        <is>
          <t>XU</t>
        </is>
      </c>
      <c r="R18" s="6" t="inlineStr">
        <is>
          <t>LT</t>
        </is>
      </c>
      <c r="S18" s="5" t="n">
        <v>1</v>
      </c>
      <c r="T18" s="8" t="n">
        <v>1037.19</v>
      </c>
      <c r="U18" s="8" t="n">
        <v>0</v>
      </c>
      <c r="V18" s="8" t="n">
        <v>0</v>
      </c>
      <c r="W18" s="6" t="n"/>
      <c r="X18" s="8" t="n">
        <v>1037.19</v>
      </c>
      <c r="Y18" s="5" t="n">
        <v>61</v>
      </c>
      <c r="Z18" s="6" t="inlineStr">
        <is>
          <t>M1712</t>
        </is>
      </c>
      <c r="AA18" s="6" t="inlineStr">
        <is>
          <t>I798</t>
        </is>
      </c>
      <c r="AB18" s="6" t="inlineStr">
        <is>
          <t>M25562</t>
        </is>
      </c>
      <c r="AC18" s="6" t="n"/>
      <c r="AD18" s="5" t="n"/>
      <c r="AE18" s="6" t="inlineStr">
        <is>
          <t>HUNTER, DREW</t>
        </is>
      </c>
      <c r="AF18" s="6" t="inlineStr">
        <is>
          <t>ASAP Surgery Centers North Valley LLC</t>
        </is>
      </c>
      <c r="AG18" s="6" t="inlineStr">
        <is>
          <t>07/13/2026</t>
        </is>
      </c>
      <c r="AH18" s="6" t="inlineStr">
        <is>
          <t>GAE</t>
        </is>
      </c>
      <c r="AI18" s="9" t="n"/>
      <c r="AJ18" s="5" t="n">
        <v>991</v>
      </c>
    </row>
    <row r="19">
      <c r="A19" s="2" t="n"/>
      <c r="B19" s="3" t="n"/>
      <c r="C19" s="4" t="n"/>
      <c r="D19" s="5" t="n">
        <v>565101780</v>
      </c>
      <c r="E19" s="6" t="inlineStr">
        <is>
          <t>HF525787835</t>
        </is>
      </c>
      <c r="F19" s="6" t="inlineStr">
        <is>
          <t>06/08/2026</t>
        </is>
      </c>
      <c r="G19" s="6" t="inlineStr">
        <is>
          <t>UHC Group Medicare Advantage</t>
        </is>
      </c>
      <c r="H19" s="6" t="inlineStr">
        <is>
          <t>UHC Group Medicare Advantage</t>
        </is>
      </c>
      <c r="I19" s="6" t="inlineStr">
        <is>
          <t>No Payer</t>
        </is>
      </c>
      <c r="J19" s="6" t="inlineStr">
        <is>
          <t>37242</t>
        </is>
      </c>
      <c r="K19" s="4" t="n"/>
      <c r="L19" s="5">
        <f>IF($M19="","",$M19-TODAY())</f>
        <v/>
      </c>
      <c r="M19" s="7" t="n">
        <v>46271</v>
      </c>
      <c r="N19" s="6" t="inlineStr">
        <is>
          <t>90 days</t>
        </is>
      </c>
      <c r="O19" s="6" t="inlineStr">
        <is>
          <t>UHC MA</t>
        </is>
      </c>
      <c r="P19" s="6" t="n"/>
      <c r="Q19" s="6" t="n"/>
      <c r="R19" s="6" t="n"/>
      <c r="S19" s="5" t="n">
        <v>1</v>
      </c>
      <c r="T19" s="8" t="n">
        <v>49162.82</v>
      </c>
      <c r="U19" s="8" t="n">
        <v>0</v>
      </c>
      <c r="V19" s="8" t="n">
        <v>0</v>
      </c>
      <c r="W19" s="6" t="n"/>
      <c r="X19" s="8" t="n">
        <v>49162.82</v>
      </c>
      <c r="Y19" s="5" t="n">
        <v>61</v>
      </c>
      <c r="Z19" s="6" t="inlineStr">
        <is>
          <t>M1712</t>
        </is>
      </c>
      <c r="AA19" s="6" t="inlineStr">
        <is>
          <t>I798</t>
        </is>
      </c>
      <c r="AB19" s="6" t="inlineStr">
        <is>
          <t>M25562</t>
        </is>
      </c>
      <c r="AC19" s="6" t="n"/>
      <c r="AD19" s="5" t="n"/>
      <c r="AE19" s="6" t="inlineStr">
        <is>
          <t>HUNTER, DREW</t>
        </is>
      </c>
      <c r="AF19" s="6" t="inlineStr">
        <is>
          <t>ASAP Surgery Centers North Valley LLC</t>
        </is>
      </c>
      <c r="AG19" s="6" t="inlineStr">
        <is>
          <t>07/13/2026</t>
        </is>
      </c>
      <c r="AH19" s="6" t="inlineStr">
        <is>
          <t>GAE</t>
        </is>
      </c>
      <c r="AI19" s="9" t="n"/>
      <c r="AJ19" s="5" t="n">
        <v>992</v>
      </c>
    </row>
    <row r="20">
      <c r="A20" s="2" t="n"/>
      <c r="B20" s="3" t="n"/>
      <c r="C20" s="4" t="n"/>
      <c r="D20" s="5" t="n">
        <v>565101780</v>
      </c>
      <c r="E20" s="6" t="inlineStr">
        <is>
          <t>HF525787835</t>
        </is>
      </c>
      <c r="F20" s="6" t="inlineStr">
        <is>
          <t>06/08/2026</t>
        </is>
      </c>
      <c r="G20" s="6" t="inlineStr">
        <is>
          <t>UHC Group Medicare Advantage</t>
        </is>
      </c>
      <c r="H20" s="6" t="inlineStr">
        <is>
          <t>UHC Group Medicare Advantage</t>
        </is>
      </c>
      <c r="I20" s="6" t="inlineStr">
        <is>
          <t>No Payer</t>
        </is>
      </c>
      <c r="J20" s="6" t="inlineStr">
        <is>
          <t>36246</t>
        </is>
      </c>
      <c r="K20" s="4" t="n"/>
      <c r="L20" s="5">
        <f>IF($M20="","",$M20-TODAY())</f>
        <v/>
      </c>
      <c r="M20" s="7" t="n">
        <v>46271</v>
      </c>
      <c r="N20" s="6" t="inlineStr">
        <is>
          <t>90 days</t>
        </is>
      </c>
      <c r="O20" s="6" t="inlineStr">
        <is>
          <t>UHC MA</t>
        </is>
      </c>
      <c r="P20" s="6" t="inlineStr">
        <is>
          <t>59</t>
        </is>
      </c>
      <c r="Q20" s="6" t="n"/>
      <c r="R20" s="6" t="n"/>
      <c r="S20" s="5" t="n">
        <v>1</v>
      </c>
      <c r="T20" s="8" t="n">
        <v>5741.19</v>
      </c>
      <c r="U20" s="8" t="n">
        <v>0</v>
      </c>
      <c r="V20" s="8" t="n">
        <v>0</v>
      </c>
      <c r="W20" s="6" t="n"/>
      <c r="X20" s="8" t="n">
        <v>5741.19</v>
      </c>
      <c r="Y20" s="5" t="n">
        <v>61</v>
      </c>
      <c r="Z20" s="6" t="inlineStr">
        <is>
          <t>M1712</t>
        </is>
      </c>
      <c r="AA20" s="6" t="inlineStr">
        <is>
          <t>I798</t>
        </is>
      </c>
      <c r="AB20" s="6" t="inlineStr">
        <is>
          <t>M25562</t>
        </is>
      </c>
      <c r="AC20" s="6" t="n"/>
      <c r="AD20" s="5" t="n"/>
      <c r="AE20" s="6" t="inlineStr">
        <is>
          <t>HUNTER, DREW</t>
        </is>
      </c>
      <c r="AF20" s="6" t="inlineStr">
        <is>
          <t>ASAP Surgery Centers North Valley LLC</t>
        </is>
      </c>
      <c r="AG20" s="6" t="inlineStr">
        <is>
          <t>07/13/2026</t>
        </is>
      </c>
      <c r="AH20" s="6" t="inlineStr">
        <is>
          <t>GAE</t>
        </is>
      </c>
      <c r="AI20" s="9" t="n"/>
      <c r="AJ20" s="5" t="n">
        <v>993</v>
      </c>
    </row>
    <row r="21">
      <c r="A21" s="2" t="n"/>
      <c r="B21" s="3" t="n"/>
      <c r="C21" s="4" t="n"/>
      <c r="D21" s="5" t="n">
        <v>565101780</v>
      </c>
      <c r="E21" s="6" t="inlineStr">
        <is>
          <t>HF525787835</t>
        </is>
      </c>
      <c r="F21" s="6" t="inlineStr">
        <is>
          <t>06/08/2026</t>
        </is>
      </c>
      <c r="G21" s="6" t="inlineStr">
        <is>
          <t>UHC Group Medicare Advantage</t>
        </is>
      </c>
      <c r="H21" s="6" t="inlineStr">
        <is>
          <t>UHC Group Medicare Advantage</t>
        </is>
      </c>
      <c r="I21" s="6" t="inlineStr">
        <is>
          <t>No Payer</t>
        </is>
      </c>
      <c r="J21" s="6" t="inlineStr">
        <is>
          <t>76937</t>
        </is>
      </c>
      <c r="K21" s="4" t="n"/>
      <c r="L21" s="5">
        <f>IF($M21="","",$M21-TODAY())</f>
        <v/>
      </c>
      <c r="M21" s="7" t="n">
        <v>46271</v>
      </c>
      <c r="N21" s="6" t="inlineStr">
        <is>
          <t>90 days</t>
        </is>
      </c>
      <c r="O21" s="6" t="inlineStr">
        <is>
          <t>UHC MA</t>
        </is>
      </c>
      <c r="P21" s="6" t="inlineStr">
        <is>
          <t>26</t>
        </is>
      </c>
      <c r="Q21" s="6" t="n"/>
      <c r="R21" s="6" t="n"/>
      <c r="S21" s="5" t="n">
        <v>1</v>
      </c>
      <c r="T21" s="8" t="n">
        <v>271.18</v>
      </c>
      <c r="U21" s="8" t="n">
        <v>0</v>
      </c>
      <c r="V21" s="8" t="n">
        <v>0</v>
      </c>
      <c r="W21" s="6" t="n"/>
      <c r="X21" s="8" t="n">
        <v>271.18</v>
      </c>
      <c r="Y21" s="5" t="n">
        <v>61</v>
      </c>
      <c r="Z21" s="6" t="inlineStr">
        <is>
          <t>M1712</t>
        </is>
      </c>
      <c r="AA21" s="6" t="inlineStr">
        <is>
          <t>I798</t>
        </is>
      </c>
      <c r="AB21" s="6" t="inlineStr">
        <is>
          <t>M25562</t>
        </is>
      </c>
      <c r="AC21" s="6" t="n"/>
      <c r="AD21" s="5" t="n"/>
      <c r="AE21" s="6" t="inlineStr">
        <is>
          <t>HUNTER, DREW</t>
        </is>
      </c>
      <c r="AF21" s="6" t="inlineStr">
        <is>
          <t>ASAP Surgery Centers North Valley LLC</t>
        </is>
      </c>
      <c r="AG21" s="6" t="inlineStr">
        <is>
          <t>07/13/2026</t>
        </is>
      </c>
      <c r="AH21" s="6" t="inlineStr">
        <is>
          <t>GAE</t>
        </is>
      </c>
      <c r="AI21" s="9" t="n"/>
      <c r="AJ21" s="5" t="n">
        <v>994</v>
      </c>
    </row>
    <row r="22">
      <c r="A22" s="2" t="n"/>
      <c r="B22" s="3" t="n"/>
      <c r="C22" s="4" t="n"/>
      <c r="D22" s="5" t="n">
        <v>565101780</v>
      </c>
      <c r="E22" s="6" t="inlineStr">
        <is>
          <t>HF525787835</t>
        </is>
      </c>
      <c r="F22" s="6" t="inlineStr">
        <is>
          <t>06/08/2026</t>
        </is>
      </c>
      <c r="G22" s="6" t="inlineStr">
        <is>
          <t>UHC Group Medicare Advantage</t>
        </is>
      </c>
      <c r="H22" s="6" t="inlineStr">
        <is>
          <t>UHC Group Medicare Advantage</t>
        </is>
      </c>
      <c r="I22" s="6" t="inlineStr">
        <is>
          <t>No Payer</t>
        </is>
      </c>
      <c r="J22" s="6" t="inlineStr">
        <is>
          <t>36246</t>
        </is>
      </c>
      <c r="K22" s="4" t="n"/>
      <c r="L22" s="5">
        <f>IF($M22="","",$M22-TODAY())</f>
        <v/>
      </c>
      <c r="M22" s="7" t="n">
        <v>46271</v>
      </c>
      <c r="N22" s="6" t="inlineStr">
        <is>
          <t>90 days</t>
        </is>
      </c>
      <c r="O22" s="6" t="inlineStr">
        <is>
          <t>UHC MA</t>
        </is>
      </c>
      <c r="P22" s="6" t="inlineStr">
        <is>
          <t>59</t>
        </is>
      </c>
      <c r="Q22" s="6" t="inlineStr">
        <is>
          <t>LT</t>
        </is>
      </c>
      <c r="R22" s="6" t="n"/>
      <c r="S22" s="5" t="n">
        <v>1</v>
      </c>
      <c r="T22" s="8" t="n">
        <v>5741.19</v>
      </c>
      <c r="U22" s="8" t="n">
        <v>0</v>
      </c>
      <c r="V22" s="8" t="n">
        <v>0</v>
      </c>
      <c r="W22" s="6" t="n"/>
      <c r="X22" s="8" t="n">
        <v>5741.19</v>
      </c>
      <c r="Y22" s="5" t="n">
        <v>61</v>
      </c>
      <c r="Z22" s="6" t="inlineStr">
        <is>
          <t>M1712</t>
        </is>
      </c>
      <c r="AA22" s="6" t="inlineStr">
        <is>
          <t>I798</t>
        </is>
      </c>
      <c r="AB22" s="6" t="inlineStr">
        <is>
          <t>M25562</t>
        </is>
      </c>
      <c r="AC22" s="6" t="n"/>
      <c r="AD22" s="5" t="n"/>
      <c r="AE22" s="6" t="inlineStr">
        <is>
          <t>HUNTER, DREW</t>
        </is>
      </c>
      <c r="AF22" s="6" t="inlineStr">
        <is>
          <t>ASAP Surgery Centers North Valley LLC</t>
        </is>
      </c>
      <c r="AG22" s="6" t="inlineStr">
        <is>
          <t>07/13/2026</t>
        </is>
      </c>
      <c r="AH22" s="6" t="inlineStr">
        <is>
          <t>GAE</t>
        </is>
      </c>
      <c r="AI22" s="9" t="n"/>
      <c r="AJ22" s="5" t="n">
        <v>995</v>
      </c>
    </row>
    <row r="23">
      <c r="A23" s="2" t="n"/>
      <c r="B23" s="3" t="n"/>
      <c r="C23" s="4" t="n"/>
      <c r="D23" s="5" t="n">
        <v>565104372</v>
      </c>
      <c r="E23" s="6" t="inlineStr">
        <is>
          <t>HF330028627</t>
        </is>
      </c>
      <c r="F23" s="6" t="inlineStr">
        <is>
          <t>06/08/2026</t>
        </is>
      </c>
      <c r="G23" s="6" t="inlineStr">
        <is>
          <t>HealthSpring Medicare Advantage</t>
        </is>
      </c>
      <c r="H23" s="6" t="inlineStr">
        <is>
          <t>HealthSpring Medicare Advantage</t>
        </is>
      </c>
      <c r="I23" s="6" t="inlineStr">
        <is>
          <t>No Payer</t>
        </is>
      </c>
      <c r="J23" s="6" t="inlineStr">
        <is>
          <t>36248</t>
        </is>
      </c>
      <c r="K23" s="4" t="n"/>
      <c r="L23" s="5">
        <f>IF($M23="","",$M23-TODAY())</f>
        <v/>
      </c>
      <c r="M23" s="7" t="n">
        <v>46271</v>
      </c>
      <c r="N23" s="6" t="inlineStr">
        <is>
          <t>90 days</t>
        </is>
      </c>
      <c r="O23" s="6" t="inlineStr">
        <is>
          <t>CIGNA / CIGNA MEDICARE</t>
        </is>
      </c>
      <c r="P23" s="6" t="inlineStr">
        <is>
          <t>59</t>
        </is>
      </c>
      <c r="Q23" s="6" t="n"/>
      <c r="R23" s="6" t="n"/>
      <c r="S23" s="5" t="n">
        <v>3</v>
      </c>
      <c r="T23" s="8" t="n">
        <v>2422.77</v>
      </c>
      <c r="U23" s="8" t="n">
        <v>0</v>
      </c>
      <c r="V23" s="8" t="n">
        <v>0</v>
      </c>
      <c r="W23" s="6" t="inlineStr">
        <is>
          <t>07/22/2026</t>
        </is>
      </c>
      <c r="X23" s="8" t="n">
        <v>2422.77</v>
      </c>
      <c r="Y23" s="5" t="n">
        <v>61</v>
      </c>
      <c r="Z23" s="6" t="inlineStr">
        <is>
          <t>M1711</t>
        </is>
      </c>
      <c r="AA23" s="6" t="inlineStr">
        <is>
          <t>I798</t>
        </is>
      </c>
      <c r="AB23" s="6" t="inlineStr">
        <is>
          <t>M25561</t>
        </is>
      </c>
      <c r="AC23" s="6" t="n"/>
      <c r="AD23" s="5" t="n"/>
      <c r="AE23" s="6" t="inlineStr">
        <is>
          <t>HUNTER, DREW</t>
        </is>
      </c>
      <c r="AF23" s="6" t="inlineStr">
        <is>
          <t>ASAP Surgery Centers North Valley LLC</t>
        </is>
      </c>
      <c r="AG23" s="6" t="inlineStr">
        <is>
          <t>07/13/2026</t>
        </is>
      </c>
      <c r="AH23" s="6" t="inlineStr">
        <is>
          <t>GAE</t>
        </is>
      </c>
      <c r="AI23" s="9" t="n"/>
      <c r="AJ23" s="5" t="n">
        <v>293</v>
      </c>
    </row>
    <row r="24">
      <c r="A24" s="2" t="n"/>
      <c r="B24" s="3" t="n"/>
      <c r="C24" s="4" t="n"/>
      <c r="D24" s="5" t="n">
        <v>565104372</v>
      </c>
      <c r="E24" s="6" t="inlineStr">
        <is>
          <t>HF330028627</t>
        </is>
      </c>
      <c r="F24" s="6" t="inlineStr">
        <is>
          <t>06/08/2026</t>
        </is>
      </c>
      <c r="G24" s="6" t="inlineStr">
        <is>
          <t>HealthSpring Medicare Advantage</t>
        </is>
      </c>
      <c r="H24" s="6" t="inlineStr">
        <is>
          <t>HealthSpring Medicare Advantage</t>
        </is>
      </c>
      <c r="I24" s="6" t="inlineStr">
        <is>
          <t>No Payer</t>
        </is>
      </c>
      <c r="J24" s="6" t="inlineStr">
        <is>
          <t>75710</t>
        </is>
      </c>
      <c r="K24" s="4" t="n"/>
      <c r="L24" s="5">
        <f>IF($M24="","",$M24-TODAY())</f>
        <v/>
      </c>
      <c r="M24" s="7" t="n">
        <v>46271</v>
      </c>
      <c r="N24" s="6" t="inlineStr">
        <is>
          <t>90 days</t>
        </is>
      </c>
      <c r="O24" s="6" t="inlineStr">
        <is>
          <t>CIGNA / CIGNA MEDICARE</t>
        </is>
      </c>
      <c r="P24" s="6" t="inlineStr">
        <is>
          <t>26</t>
        </is>
      </c>
      <c r="Q24" s="6" t="inlineStr">
        <is>
          <t>XU</t>
        </is>
      </c>
      <c r="R24" s="6" t="inlineStr">
        <is>
          <t>RT</t>
        </is>
      </c>
      <c r="S24" s="5" t="n">
        <v>1</v>
      </c>
      <c r="T24" s="8" t="n">
        <v>1037.19</v>
      </c>
      <c r="U24" s="8" t="n">
        <v>0</v>
      </c>
      <c r="V24" s="8" t="n">
        <v>0</v>
      </c>
      <c r="W24" s="6" t="inlineStr">
        <is>
          <t>07/22/2026</t>
        </is>
      </c>
      <c r="X24" s="8" t="n">
        <v>1037.19</v>
      </c>
      <c r="Y24" s="5" t="n">
        <v>61</v>
      </c>
      <c r="Z24" s="6" t="inlineStr">
        <is>
          <t>M1711</t>
        </is>
      </c>
      <c r="AA24" s="6" t="inlineStr">
        <is>
          <t>I798</t>
        </is>
      </c>
      <c r="AB24" s="6" t="inlineStr">
        <is>
          <t>M25561</t>
        </is>
      </c>
      <c r="AC24" s="6" t="n"/>
      <c r="AD24" s="5" t="n"/>
      <c r="AE24" s="6" t="inlineStr">
        <is>
          <t>HUNTER, DREW</t>
        </is>
      </c>
      <c r="AF24" s="6" t="inlineStr">
        <is>
          <t>ASAP Surgery Centers North Valley LLC</t>
        </is>
      </c>
      <c r="AG24" s="6" t="inlineStr">
        <is>
          <t>07/13/2026</t>
        </is>
      </c>
      <c r="AH24" s="6" t="inlineStr">
        <is>
          <t>GAE</t>
        </is>
      </c>
      <c r="AI24" s="9" t="n"/>
      <c r="AJ24" s="5" t="n">
        <v>294</v>
      </c>
    </row>
    <row r="25">
      <c r="A25" s="2" t="n"/>
      <c r="B25" s="3" t="n"/>
      <c r="C25" s="4" t="n"/>
      <c r="D25" s="5" t="n">
        <v>565104372</v>
      </c>
      <c r="E25" s="6" t="inlineStr">
        <is>
          <t>HF330028627</t>
        </is>
      </c>
      <c r="F25" s="6" t="inlineStr">
        <is>
          <t>06/08/2026</t>
        </is>
      </c>
      <c r="G25" s="6" t="inlineStr">
        <is>
          <t>HealthSpring Medicare Advantage</t>
        </is>
      </c>
      <c r="H25" s="6" t="inlineStr">
        <is>
          <t>HealthSpring Medicare Advantage</t>
        </is>
      </c>
      <c r="I25" s="6" t="inlineStr">
        <is>
          <t>No Payer</t>
        </is>
      </c>
      <c r="J25" s="6" t="inlineStr">
        <is>
          <t>36246</t>
        </is>
      </c>
      <c r="K25" s="4" t="n"/>
      <c r="L25" s="5">
        <f>IF($M25="","",$M25-TODAY())</f>
        <v/>
      </c>
      <c r="M25" s="7" t="n">
        <v>46271</v>
      </c>
      <c r="N25" s="6" t="inlineStr">
        <is>
          <t>90 days</t>
        </is>
      </c>
      <c r="O25" s="6" t="inlineStr">
        <is>
          <t>CIGNA / CIGNA MEDICARE</t>
        </is>
      </c>
      <c r="P25" s="6" t="inlineStr">
        <is>
          <t>59</t>
        </is>
      </c>
      <c r="Q25" s="6" t="inlineStr">
        <is>
          <t>RT</t>
        </is>
      </c>
      <c r="R25" s="6" t="n"/>
      <c r="S25" s="5" t="n">
        <v>1</v>
      </c>
      <c r="T25" s="8" t="n">
        <v>5741.19</v>
      </c>
      <c r="U25" s="8" t="n">
        <v>0</v>
      </c>
      <c r="V25" s="8" t="n">
        <v>0</v>
      </c>
      <c r="W25" s="6" t="inlineStr">
        <is>
          <t>07/22/2026</t>
        </is>
      </c>
      <c r="X25" s="8" t="n">
        <v>5741.19</v>
      </c>
      <c r="Y25" s="5" t="n">
        <v>61</v>
      </c>
      <c r="Z25" s="6" t="inlineStr">
        <is>
          <t>M1711</t>
        </is>
      </c>
      <c r="AA25" s="6" t="inlineStr">
        <is>
          <t>I798</t>
        </is>
      </c>
      <c r="AB25" s="6" t="inlineStr">
        <is>
          <t>M25561</t>
        </is>
      </c>
      <c r="AC25" s="6" t="n"/>
      <c r="AD25" s="5" t="n"/>
      <c r="AE25" s="6" t="inlineStr">
        <is>
          <t>HUNTER, DREW</t>
        </is>
      </c>
      <c r="AF25" s="6" t="inlineStr">
        <is>
          <t>ASAP Surgery Centers North Valley LLC</t>
        </is>
      </c>
      <c r="AG25" s="6" t="inlineStr">
        <is>
          <t>07/13/2026</t>
        </is>
      </c>
      <c r="AH25" s="6" t="inlineStr">
        <is>
          <t>GAE</t>
        </is>
      </c>
      <c r="AI25" s="9" t="n"/>
      <c r="AJ25" s="5" t="n">
        <v>295</v>
      </c>
    </row>
    <row r="26">
      <c r="A26" s="2" t="n"/>
      <c r="B26" s="3" t="n"/>
      <c r="C26" s="4" t="n"/>
      <c r="D26" s="5" t="n">
        <v>565104372</v>
      </c>
      <c r="E26" s="6" t="inlineStr">
        <is>
          <t>HF330028627</t>
        </is>
      </c>
      <c r="F26" s="6" t="inlineStr">
        <is>
          <t>06/08/2026</t>
        </is>
      </c>
      <c r="G26" s="6" t="inlineStr">
        <is>
          <t>HealthSpring Medicare Advantage</t>
        </is>
      </c>
      <c r="H26" s="6" t="inlineStr">
        <is>
          <t>HealthSpring Medicare Advantage</t>
        </is>
      </c>
      <c r="I26" s="6" t="inlineStr">
        <is>
          <t>No Payer</t>
        </is>
      </c>
      <c r="J26" s="6" t="inlineStr">
        <is>
          <t>36245</t>
        </is>
      </c>
      <c r="K26" s="4" t="n"/>
      <c r="L26" s="5">
        <f>IF($M26="","",$M26-TODAY())</f>
        <v/>
      </c>
      <c r="M26" s="7" t="n">
        <v>46271</v>
      </c>
      <c r="N26" s="6" t="inlineStr">
        <is>
          <t>90 days</t>
        </is>
      </c>
      <c r="O26" s="6" t="inlineStr">
        <is>
          <t>CIGNA / CIGNA MEDICARE</t>
        </is>
      </c>
      <c r="P26" s="6" t="inlineStr">
        <is>
          <t>59</t>
        </is>
      </c>
      <c r="Q26" s="6" t="n"/>
      <c r="R26" s="6" t="n"/>
      <c r="S26" s="5" t="n">
        <v>1</v>
      </c>
      <c r="T26" s="8" t="n">
        <v>8566.040000000001</v>
      </c>
      <c r="U26" s="8" t="n">
        <v>0</v>
      </c>
      <c r="V26" s="8" t="n">
        <v>0</v>
      </c>
      <c r="W26" s="6" t="inlineStr">
        <is>
          <t>07/22/2026</t>
        </is>
      </c>
      <c r="X26" s="8" t="n">
        <v>8566.040000000001</v>
      </c>
      <c r="Y26" s="5" t="n">
        <v>61</v>
      </c>
      <c r="Z26" s="6" t="inlineStr">
        <is>
          <t>M1711</t>
        </is>
      </c>
      <c r="AA26" s="6" t="inlineStr">
        <is>
          <t>I798</t>
        </is>
      </c>
      <c r="AB26" s="6" t="inlineStr">
        <is>
          <t>M25561</t>
        </is>
      </c>
      <c r="AC26" s="6" t="n"/>
      <c r="AD26" s="5" t="n"/>
      <c r="AE26" s="6" t="inlineStr">
        <is>
          <t>HUNTER, DREW</t>
        </is>
      </c>
      <c r="AF26" s="6" t="inlineStr">
        <is>
          <t>ASAP Surgery Centers North Valley LLC</t>
        </is>
      </c>
      <c r="AG26" s="6" t="inlineStr">
        <is>
          <t>07/13/2026</t>
        </is>
      </c>
      <c r="AH26" s="6" t="inlineStr">
        <is>
          <t>GAE</t>
        </is>
      </c>
      <c r="AI26" s="9" t="n"/>
      <c r="AJ26" s="5" t="n">
        <v>304</v>
      </c>
    </row>
    <row r="27">
      <c r="A27" s="2" t="n"/>
      <c r="B27" s="3" t="n"/>
      <c r="C27" s="4" t="n"/>
      <c r="D27" s="5" t="n">
        <v>565104372</v>
      </c>
      <c r="E27" s="6" t="inlineStr">
        <is>
          <t>HF330028627</t>
        </is>
      </c>
      <c r="F27" s="6" t="inlineStr">
        <is>
          <t>06/08/2026</t>
        </is>
      </c>
      <c r="G27" s="6" t="inlineStr">
        <is>
          <t>HealthSpring Medicare Advantage</t>
        </is>
      </c>
      <c r="H27" s="6" t="inlineStr">
        <is>
          <t>HealthSpring Medicare Advantage</t>
        </is>
      </c>
      <c r="I27" s="6" t="inlineStr">
        <is>
          <t>No Payer</t>
        </is>
      </c>
      <c r="J27" s="6" t="inlineStr">
        <is>
          <t>75774</t>
        </is>
      </c>
      <c r="K27" s="4" t="n"/>
      <c r="L27" s="5">
        <f>IF($M27="","",$M27-TODAY())</f>
        <v/>
      </c>
      <c r="M27" s="7" t="n">
        <v>46271</v>
      </c>
      <c r="N27" s="6" t="inlineStr">
        <is>
          <t>90 days</t>
        </is>
      </c>
      <c r="O27" s="6" t="inlineStr">
        <is>
          <t>CIGNA / CIGNA MEDICARE</t>
        </is>
      </c>
      <c r="P27" s="6" t="inlineStr">
        <is>
          <t>26</t>
        </is>
      </c>
      <c r="Q27" s="6" t="inlineStr">
        <is>
          <t>XU</t>
        </is>
      </c>
      <c r="R27" s="6" t="n"/>
      <c r="S27" s="5" t="n">
        <v>5</v>
      </c>
      <c r="T27" s="8" t="n">
        <v>3356.5</v>
      </c>
      <c r="U27" s="8" t="n">
        <v>0</v>
      </c>
      <c r="V27" s="8" t="n">
        <v>0</v>
      </c>
      <c r="W27" s="6" t="inlineStr">
        <is>
          <t>07/22/2026</t>
        </is>
      </c>
      <c r="X27" s="8" t="n">
        <v>3356.5</v>
      </c>
      <c r="Y27" s="5" t="n">
        <v>61</v>
      </c>
      <c r="Z27" s="6" t="inlineStr">
        <is>
          <t>M1711</t>
        </is>
      </c>
      <c r="AA27" s="6" t="inlineStr">
        <is>
          <t>I798</t>
        </is>
      </c>
      <c r="AB27" s="6" t="inlineStr">
        <is>
          <t>M25561</t>
        </is>
      </c>
      <c r="AC27" s="6" t="n"/>
      <c r="AD27" s="5" t="n"/>
      <c r="AE27" s="6" t="inlineStr">
        <is>
          <t>HUNTER, DREW</t>
        </is>
      </c>
      <c r="AF27" s="6" t="inlineStr">
        <is>
          <t>ASAP Surgery Centers North Valley LLC</t>
        </is>
      </c>
      <c r="AG27" s="6" t="inlineStr">
        <is>
          <t>07/13/2026</t>
        </is>
      </c>
      <c r="AH27" s="6" t="inlineStr">
        <is>
          <t>GAE</t>
        </is>
      </c>
      <c r="AI27" s="9" t="n"/>
      <c r="AJ27" s="5" t="n">
        <v>305</v>
      </c>
    </row>
    <row r="28">
      <c r="A28" s="2" t="n"/>
      <c r="B28" s="3" t="n"/>
      <c r="C28" s="4" t="n"/>
      <c r="D28" s="5" t="n">
        <v>565107861</v>
      </c>
      <c r="E28" s="6" t="inlineStr">
        <is>
          <t>HF386554880</t>
        </is>
      </c>
      <c r="F28" s="6" t="inlineStr">
        <is>
          <t>06/08/2026</t>
        </is>
      </c>
      <c r="G28" s="6" t="inlineStr">
        <is>
          <t>UnitedHealthcare Community Plan / Arizona Long Term Care</t>
        </is>
      </c>
      <c r="H28" s="6" t="inlineStr">
        <is>
          <t>UnitedHealthcare Community Plan / Arizona Long Term Care</t>
        </is>
      </c>
      <c r="I28" s="6" t="inlineStr">
        <is>
          <t>No Payer</t>
        </is>
      </c>
      <c r="J28" s="6" t="inlineStr">
        <is>
          <t>76937</t>
        </is>
      </c>
      <c r="K28" s="4" t="n"/>
      <c r="L28" s="5">
        <f>IF($M28="","",$M28-TODAY())</f>
        <v/>
      </c>
      <c r="M28" s="7" t="n">
        <v>46271</v>
      </c>
      <c r="N28" s="6" t="inlineStr">
        <is>
          <t>90 days</t>
        </is>
      </c>
      <c r="O28" s="6" t="inlineStr">
        <is>
          <t>UHC COMMUNITY</t>
        </is>
      </c>
      <c r="P28" s="6" t="n"/>
      <c r="Q28" s="6" t="n"/>
      <c r="R28" s="6" t="n"/>
      <c r="S28" s="5" t="n">
        <v>1</v>
      </c>
      <c r="T28" s="8" t="n">
        <v>271.18</v>
      </c>
      <c r="U28" s="8" t="n">
        <v>0</v>
      </c>
      <c r="V28" s="8" t="n">
        <v>0</v>
      </c>
      <c r="W28" s="6" t="inlineStr">
        <is>
          <t>07/21/2026</t>
        </is>
      </c>
      <c r="X28" s="8" t="n">
        <v>271.18</v>
      </c>
      <c r="Y28" s="5" t="n">
        <v>61</v>
      </c>
      <c r="Z28" s="6" t="inlineStr">
        <is>
          <t>M1712</t>
        </is>
      </c>
      <c r="AA28" s="6" t="inlineStr">
        <is>
          <t>I798</t>
        </is>
      </c>
      <c r="AB28" s="6" t="inlineStr">
        <is>
          <t>M25562</t>
        </is>
      </c>
      <c r="AC28" s="6" t="n"/>
      <c r="AD28" s="5" t="n"/>
      <c r="AE28" s="6" t="inlineStr">
        <is>
          <t>HUNTER, DREW</t>
        </is>
      </c>
      <c r="AF28" s="6" t="inlineStr">
        <is>
          <t>ASAP - DEER VALLEY</t>
        </is>
      </c>
      <c r="AG28" s="6" t="inlineStr">
        <is>
          <t>07/13/2026</t>
        </is>
      </c>
      <c r="AH28" s="6" t="inlineStr">
        <is>
          <t>GAE</t>
        </is>
      </c>
      <c r="AI28" s="9" t="n"/>
      <c r="AJ28" s="5" t="n">
        <v>337</v>
      </c>
    </row>
    <row r="29">
      <c r="A29" s="2" t="n"/>
      <c r="B29" s="3" t="n"/>
      <c r="C29" s="4" t="n"/>
      <c r="D29" s="5" t="n">
        <v>565107861</v>
      </c>
      <c r="E29" s="6" t="inlineStr">
        <is>
          <t>HF386554880</t>
        </is>
      </c>
      <c r="F29" s="6" t="inlineStr">
        <is>
          <t>06/08/2026</t>
        </is>
      </c>
      <c r="G29" s="6" t="inlineStr">
        <is>
          <t>UnitedHealthcare Community Plan / Arizona Long Term Care</t>
        </is>
      </c>
      <c r="H29" s="6" t="inlineStr">
        <is>
          <t>UnitedHealthcare Community Plan / Arizona Long Term Care</t>
        </is>
      </c>
      <c r="I29" s="6" t="inlineStr">
        <is>
          <t>No Payer</t>
        </is>
      </c>
      <c r="J29" s="6" t="inlineStr">
        <is>
          <t>37242</t>
        </is>
      </c>
      <c r="K29" s="4" t="n"/>
      <c r="L29" s="5">
        <f>IF($M29="","",$M29-TODAY())</f>
        <v/>
      </c>
      <c r="M29" s="7" t="n">
        <v>46271</v>
      </c>
      <c r="N29" s="6" t="inlineStr">
        <is>
          <t>90 days</t>
        </is>
      </c>
      <c r="O29" s="6" t="inlineStr">
        <is>
          <t>UHC COMMUNITY</t>
        </is>
      </c>
      <c r="P29" s="6" t="n"/>
      <c r="Q29" s="6" t="n"/>
      <c r="R29" s="6" t="n"/>
      <c r="S29" s="5" t="n">
        <v>1</v>
      </c>
      <c r="T29" s="8" t="n">
        <v>49162.82</v>
      </c>
      <c r="U29" s="8" t="n">
        <v>0</v>
      </c>
      <c r="V29" s="8" t="n">
        <v>0</v>
      </c>
      <c r="W29" s="6" t="inlineStr">
        <is>
          <t>07/21/2026</t>
        </is>
      </c>
      <c r="X29" s="8" t="n">
        <v>49162.82</v>
      </c>
      <c r="Y29" s="5" t="n">
        <v>61</v>
      </c>
      <c r="Z29" s="6" t="inlineStr">
        <is>
          <t>M1712</t>
        </is>
      </c>
      <c r="AA29" s="6" t="inlineStr">
        <is>
          <t>I798</t>
        </is>
      </c>
      <c r="AB29" s="6" t="inlineStr">
        <is>
          <t>M25562</t>
        </is>
      </c>
      <c r="AC29" s="6" t="n"/>
      <c r="AD29" s="5" t="n"/>
      <c r="AE29" s="6" t="inlineStr">
        <is>
          <t>HUNTER, DREW</t>
        </is>
      </c>
      <c r="AF29" s="6" t="inlineStr">
        <is>
          <t>ASAP - DEER VALLEY</t>
        </is>
      </c>
      <c r="AG29" s="6" t="inlineStr">
        <is>
          <t>07/13/2026</t>
        </is>
      </c>
      <c r="AH29" s="6" t="inlineStr">
        <is>
          <t>GAE</t>
        </is>
      </c>
      <c r="AI29" s="9" t="n"/>
      <c r="AJ29" s="5" t="n">
        <v>338</v>
      </c>
    </row>
    <row r="30">
      <c r="A30" s="2" t="n"/>
      <c r="B30" s="3" t="n"/>
      <c r="C30" s="4" t="n"/>
      <c r="D30" s="5" t="n">
        <v>565107861</v>
      </c>
      <c r="E30" s="6" t="inlineStr">
        <is>
          <t>HF386554880</t>
        </is>
      </c>
      <c r="F30" s="6" t="inlineStr">
        <is>
          <t>06/08/2026</t>
        </is>
      </c>
      <c r="G30" s="6" t="inlineStr">
        <is>
          <t>UnitedHealthcare Community Plan / Arizona Long Term Care</t>
        </is>
      </c>
      <c r="H30" s="6" t="inlineStr">
        <is>
          <t>UnitedHealthcare Community Plan / Arizona Long Term Care</t>
        </is>
      </c>
      <c r="I30" s="6" t="inlineStr">
        <is>
          <t>No Payer</t>
        </is>
      </c>
      <c r="J30" s="6" t="inlineStr">
        <is>
          <t>36245</t>
        </is>
      </c>
      <c r="K30" s="4" t="n"/>
      <c r="L30" s="5">
        <f>IF($M30="","",$M30-TODAY())</f>
        <v/>
      </c>
      <c r="M30" s="7" t="n">
        <v>46271</v>
      </c>
      <c r="N30" s="6" t="inlineStr">
        <is>
          <t>90 days</t>
        </is>
      </c>
      <c r="O30" s="6" t="inlineStr">
        <is>
          <t>UHC COMMUNITY</t>
        </is>
      </c>
      <c r="P30" s="6" t="inlineStr">
        <is>
          <t>59</t>
        </is>
      </c>
      <c r="Q30" s="6" t="n"/>
      <c r="R30" s="6" t="n"/>
      <c r="S30" s="5" t="n">
        <v>1</v>
      </c>
      <c r="T30" s="8" t="n">
        <v>8566.040000000001</v>
      </c>
      <c r="U30" s="8" t="n">
        <v>0</v>
      </c>
      <c r="V30" s="8" t="n">
        <v>0</v>
      </c>
      <c r="W30" s="6" t="inlineStr">
        <is>
          <t>07/21/2026</t>
        </is>
      </c>
      <c r="X30" s="8" t="n">
        <v>8566.040000000001</v>
      </c>
      <c r="Y30" s="5" t="n">
        <v>61</v>
      </c>
      <c r="Z30" s="6" t="inlineStr">
        <is>
          <t>M1712</t>
        </is>
      </c>
      <c r="AA30" s="6" t="inlineStr">
        <is>
          <t>I798</t>
        </is>
      </c>
      <c r="AB30" s="6" t="inlineStr">
        <is>
          <t>M25562</t>
        </is>
      </c>
      <c r="AC30" s="6" t="n"/>
      <c r="AD30" s="5" t="n"/>
      <c r="AE30" s="6" t="inlineStr">
        <is>
          <t>HUNTER, DREW</t>
        </is>
      </c>
      <c r="AF30" s="6" t="inlineStr">
        <is>
          <t>ASAP - DEER VALLEY</t>
        </is>
      </c>
      <c r="AG30" s="6" t="inlineStr">
        <is>
          <t>07/13/2026</t>
        </is>
      </c>
      <c r="AH30" s="6" t="inlineStr">
        <is>
          <t>GAE</t>
        </is>
      </c>
      <c r="AI30" s="9" t="n"/>
      <c r="AJ30" s="5" t="n">
        <v>339</v>
      </c>
    </row>
    <row r="31">
      <c r="A31" s="2" t="n"/>
      <c r="B31" s="3" t="n"/>
      <c r="C31" s="4" t="n"/>
      <c r="D31" s="5" t="n">
        <v>565107861</v>
      </c>
      <c r="E31" s="6" t="inlineStr">
        <is>
          <t>HF386554880</t>
        </is>
      </c>
      <c r="F31" s="6" t="inlineStr">
        <is>
          <t>06/08/2026</t>
        </is>
      </c>
      <c r="G31" s="6" t="inlineStr">
        <is>
          <t>UnitedHealthcare Community Plan / Arizona Long Term Care</t>
        </is>
      </c>
      <c r="H31" s="6" t="inlineStr">
        <is>
          <t>UnitedHealthcare Community Plan / Arizona Long Term Care</t>
        </is>
      </c>
      <c r="I31" s="6" t="inlineStr">
        <is>
          <t>No Payer</t>
        </is>
      </c>
      <c r="J31" s="6" t="inlineStr">
        <is>
          <t>36248</t>
        </is>
      </c>
      <c r="K31" s="4" t="n"/>
      <c r="L31" s="5">
        <f>IF($M31="","",$M31-TODAY())</f>
        <v/>
      </c>
      <c r="M31" s="7" t="n">
        <v>46271</v>
      </c>
      <c r="N31" s="6" t="inlineStr">
        <is>
          <t>90 days</t>
        </is>
      </c>
      <c r="O31" s="6" t="inlineStr">
        <is>
          <t>UHC COMMUNITY</t>
        </is>
      </c>
      <c r="P31" s="6" t="inlineStr">
        <is>
          <t>59</t>
        </is>
      </c>
      <c r="Q31" s="6" t="n"/>
      <c r="R31" s="6" t="n"/>
      <c r="S31" s="5" t="n">
        <v>3</v>
      </c>
      <c r="T31" s="8" t="n">
        <v>2422.77</v>
      </c>
      <c r="U31" s="8" t="n">
        <v>0</v>
      </c>
      <c r="V31" s="8" t="n">
        <v>0</v>
      </c>
      <c r="W31" s="6" t="inlineStr">
        <is>
          <t>07/21/2026</t>
        </is>
      </c>
      <c r="X31" s="8" t="n">
        <v>2422.77</v>
      </c>
      <c r="Y31" s="5" t="n">
        <v>61</v>
      </c>
      <c r="Z31" s="6" t="inlineStr">
        <is>
          <t>M1712</t>
        </is>
      </c>
      <c r="AA31" s="6" t="inlineStr">
        <is>
          <t>I798</t>
        </is>
      </c>
      <c r="AB31" s="6" t="inlineStr">
        <is>
          <t>M25562</t>
        </is>
      </c>
      <c r="AC31" s="6" t="n"/>
      <c r="AD31" s="5" t="n"/>
      <c r="AE31" s="6" t="inlineStr">
        <is>
          <t>HUNTER, DREW</t>
        </is>
      </c>
      <c r="AF31" s="6" t="inlineStr">
        <is>
          <t>ASAP - DEER VALLEY</t>
        </is>
      </c>
      <c r="AG31" s="6" t="inlineStr">
        <is>
          <t>07/13/2026</t>
        </is>
      </c>
      <c r="AH31" s="6" t="inlineStr">
        <is>
          <t>GAE</t>
        </is>
      </c>
      <c r="AI31" s="9" t="n"/>
      <c r="AJ31" s="5" t="n">
        <v>340</v>
      </c>
    </row>
    <row r="32">
      <c r="A32" s="2" t="n"/>
      <c r="B32" s="3" t="n"/>
      <c r="C32" s="4" t="n"/>
      <c r="D32" s="5" t="n">
        <v>565107861</v>
      </c>
      <c r="E32" s="6" t="inlineStr">
        <is>
          <t>HF386554880</t>
        </is>
      </c>
      <c r="F32" s="6" t="inlineStr">
        <is>
          <t>06/08/2026</t>
        </is>
      </c>
      <c r="G32" s="6" t="inlineStr">
        <is>
          <t>UnitedHealthcare Community Plan / Arizona Long Term Care</t>
        </is>
      </c>
      <c r="H32" s="6" t="inlineStr">
        <is>
          <t>UnitedHealthcare Community Plan / Arizona Long Term Care</t>
        </is>
      </c>
      <c r="I32" s="6" t="inlineStr">
        <is>
          <t>No Payer</t>
        </is>
      </c>
      <c r="J32" s="6" t="inlineStr">
        <is>
          <t>75774</t>
        </is>
      </c>
      <c r="K32" s="4" t="n"/>
      <c r="L32" s="5">
        <f>IF($M32="","",$M32-TODAY())</f>
        <v/>
      </c>
      <c r="M32" s="7" t="n">
        <v>46271</v>
      </c>
      <c r="N32" s="6" t="inlineStr">
        <is>
          <t>90 days</t>
        </is>
      </c>
      <c r="O32" s="6" t="inlineStr">
        <is>
          <t>UHC COMMUNITY</t>
        </is>
      </c>
      <c r="P32" s="6" t="inlineStr">
        <is>
          <t>XU</t>
        </is>
      </c>
      <c r="Q32" s="6" t="n"/>
      <c r="R32" s="6" t="n"/>
      <c r="S32" s="5" t="n">
        <v>5</v>
      </c>
      <c r="T32" s="8" t="n">
        <v>3356.5</v>
      </c>
      <c r="U32" s="8" t="n">
        <v>0</v>
      </c>
      <c r="V32" s="8" t="n">
        <v>0</v>
      </c>
      <c r="W32" s="6" t="inlineStr">
        <is>
          <t>07/21/2026</t>
        </is>
      </c>
      <c r="X32" s="8" t="n">
        <v>3356.5</v>
      </c>
      <c r="Y32" s="5" t="n">
        <v>61</v>
      </c>
      <c r="Z32" s="6" t="inlineStr">
        <is>
          <t>M1712</t>
        </is>
      </c>
      <c r="AA32" s="6" t="inlineStr">
        <is>
          <t>I798</t>
        </is>
      </c>
      <c r="AB32" s="6" t="inlineStr">
        <is>
          <t>M25562</t>
        </is>
      </c>
      <c r="AC32" s="6" t="n"/>
      <c r="AD32" s="5" t="n"/>
      <c r="AE32" s="6" t="inlineStr">
        <is>
          <t>HUNTER, DREW</t>
        </is>
      </c>
      <c r="AF32" s="6" t="inlineStr">
        <is>
          <t>ASAP - DEER VALLEY</t>
        </is>
      </c>
      <c r="AG32" s="6" t="inlineStr">
        <is>
          <t>07/13/2026</t>
        </is>
      </c>
      <c r="AH32" s="6" t="inlineStr">
        <is>
          <t>GAE</t>
        </is>
      </c>
      <c r="AI32" s="9" t="n"/>
      <c r="AJ32" s="5" t="n">
        <v>341</v>
      </c>
    </row>
    <row r="33">
      <c r="A33" s="2" t="n"/>
      <c r="B33" s="3" t="n"/>
      <c r="C33" s="4" t="n"/>
      <c r="D33" s="5" t="n">
        <v>565107861</v>
      </c>
      <c r="E33" s="6" t="inlineStr">
        <is>
          <t>HF386554880</t>
        </is>
      </c>
      <c r="F33" s="6" t="inlineStr">
        <is>
          <t>06/08/2026</t>
        </is>
      </c>
      <c r="G33" s="6" t="inlineStr">
        <is>
          <t>UnitedHealthcare Community Plan / Arizona Long Term Care</t>
        </is>
      </c>
      <c r="H33" s="6" t="inlineStr">
        <is>
          <t>UnitedHealthcare Community Plan / Arizona Long Term Care</t>
        </is>
      </c>
      <c r="I33" s="6" t="inlineStr">
        <is>
          <t>No Payer</t>
        </is>
      </c>
      <c r="J33" s="6" t="inlineStr">
        <is>
          <t>75710</t>
        </is>
      </c>
      <c r="K33" s="4" t="n"/>
      <c r="L33" s="5">
        <f>IF($M33="","",$M33-TODAY())</f>
        <v/>
      </c>
      <c r="M33" s="7" t="n">
        <v>46271</v>
      </c>
      <c r="N33" s="6" t="inlineStr">
        <is>
          <t>90 days</t>
        </is>
      </c>
      <c r="O33" s="6" t="inlineStr">
        <is>
          <t>UHC COMMUNITY</t>
        </is>
      </c>
      <c r="P33" s="6" t="inlineStr">
        <is>
          <t>XU</t>
        </is>
      </c>
      <c r="Q33" s="6" t="inlineStr">
        <is>
          <t>LT</t>
        </is>
      </c>
      <c r="R33" s="6" t="n"/>
      <c r="S33" s="5" t="n">
        <v>1</v>
      </c>
      <c r="T33" s="8" t="n">
        <v>1037.19</v>
      </c>
      <c r="U33" s="8" t="n">
        <v>0</v>
      </c>
      <c r="V33" s="8" t="n">
        <v>0</v>
      </c>
      <c r="W33" s="6" t="inlineStr">
        <is>
          <t>07/21/2026</t>
        </is>
      </c>
      <c r="X33" s="8" t="n">
        <v>1037.19</v>
      </c>
      <c r="Y33" s="5" t="n">
        <v>61</v>
      </c>
      <c r="Z33" s="6" t="inlineStr">
        <is>
          <t>M1712</t>
        </is>
      </c>
      <c r="AA33" s="6" t="inlineStr">
        <is>
          <t>I798</t>
        </is>
      </c>
      <c r="AB33" s="6" t="inlineStr">
        <is>
          <t>M25562</t>
        </is>
      </c>
      <c r="AC33" s="6" t="n"/>
      <c r="AD33" s="5" t="n"/>
      <c r="AE33" s="6" t="inlineStr">
        <is>
          <t>HUNTER, DREW</t>
        </is>
      </c>
      <c r="AF33" s="6" t="inlineStr">
        <is>
          <t>ASAP - DEER VALLEY</t>
        </is>
      </c>
      <c r="AG33" s="6" t="inlineStr">
        <is>
          <t>07/13/2026</t>
        </is>
      </c>
      <c r="AH33" s="6" t="inlineStr">
        <is>
          <t>GAE</t>
        </is>
      </c>
      <c r="AI33" s="9" t="n"/>
      <c r="AJ33" s="5" t="n">
        <v>342</v>
      </c>
    </row>
    <row r="34">
      <c r="A34" s="2" t="n"/>
      <c r="B34" s="3" t="n"/>
      <c r="C34" s="4" t="n"/>
      <c r="D34" s="5" t="n">
        <v>565107861</v>
      </c>
      <c r="E34" s="6" t="inlineStr">
        <is>
          <t>HF386554880</t>
        </is>
      </c>
      <c r="F34" s="6" t="inlineStr">
        <is>
          <t>06/08/2026</t>
        </is>
      </c>
      <c r="G34" s="6" t="inlineStr">
        <is>
          <t>UnitedHealthcare Community Plan / Arizona Long Term Care</t>
        </is>
      </c>
      <c r="H34" s="6" t="inlineStr">
        <is>
          <t>UnitedHealthcare Community Plan / Arizona Long Term Care</t>
        </is>
      </c>
      <c r="I34" s="6" t="inlineStr">
        <is>
          <t>No Payer</t>
        </is>
      </c>
      <c r="J34" s="6" t="inlineStr">
        <is>
          <t>36246</t>
        </is>
      </c>
      <c r="K34" s="4" t="n"/>
      <c r="L34" s="5">
        <f>IF($M34="","",$M34-TODAY())</f>
        <v/>
      </c>
      <c r="M34" s="7" t="n">
        <v>46271</v>
      </c>
      <c r="N34" s="6" t="inlineStr">
        <is>
          <t>90 days</t>
        </is>
      </c>
      <c r="O34" s="6" t="inlineStr">
        <is>
          <t>UHC COMMUNITY</t>
        </is>
      </c>
      <c r="P34" s="6" t="inlineStr">
        <is>
          <t>59</t>
        </is>
      </c>
      <c r="Q34" s="6" t="inlineStr">
        <is>
          <t>LT</t>
        </is>
      </c>
      <c r="R34" s="6" t="n"/>
      <c r="S34" s="5" t="n">
        <v>1</v>
      </c>
      <c r="T34" s="8" t="n">
        <v>5741.19</v>
      </c>
      <c r="U34" s="8" t="n">
        <v>0</v>
      </c>
      <c r="V34" s="8" t="n">
        <v>0</v>
      </c>
      <c r="W34" s="6" t="inlineStr">
        <is>
          <t>07/21/2026</t>
        </is>
      </c>
      <c r="X34" s="8" t="n">
        <v>5741.19</v>
      </c>
      <c r="Y34" s="5" t="n">
        <v>61</v>
      </c>
      <c r="Z34" s="6" t="inlineStr">
        <is>
          <t>M1712</t>
        </is>
      </c>
      <c r="AA34" s="6" t="inlineStr">
        <is>
          <t>I798</t>
        </is>
      </c>
      <c r="AB34" s="6" t="inlineStr">
        <is>
          <t>M25562</t>
        </is>
      </c>
      <c r="AC34" s="6" t="n"/>
      <c r="AD34" s="5" t="n"/>
      <c r="AE34" s="6" t="inlineStr">
        <is>
          <t>HUNTER, DREW</t>
        </is>
      </c>
      <c r="AF34" s="6" t="inlineStr">
        <is>
          <t>ASAP - DEER VALLEY</t>
        </is>
      </c>
      <c r="AG34" s="6" t="inlineStr">
        <is>
          <t>07/13/2026</t>
        </is>
      </c>
      <c r="AH34" s="6" t="inlineStr">
        <is>
          <t>GAE</t>
        </is>
      </c>
      <c r="AI34" s="9" t="n"/>
      <c r="AJ34" s="5" t="n">
        <v>343</v>
      </c>
    </row>
    <row r="35">
      <c r="A35" s="2" t="n"/>
      <c r="B35" s="3" t="n"/>
      <c r="C35" s="4" t="n"/>
      <c r="D35" s="5" t="n">
        <v>565102380</v>
      </c>
      <c r="E35" s="6" t="inlineStr">
        <is>
          <t>HF525787835</t>
        </is>
      </c>
      <c r="F35" s="6" t="inlineStr">
        <is>
          <t>06/22/2026</t>
        </is>
      </c>
      <c r="G35" s="6" t="inlineStr">
        <is>
          <t>UHC Group Medicare Advantage</t>
        </is>
      </c>
      <c r="H35" s="6" t="inlineStr">
        <is>
          <t>UHC Group Medicare Advantage</t>
        </is>
      </c>
      <c r="I35" s="6" t="inlineStr">
        <is>
          <t>No Payer</t>
        </is>
      </c>
      <c r="J35" s="6" t="inlineStr">
        <is>
          <t>76937</t>
        </is>
      </c>
      <c r="K35" s="4" t="n"/>
      <c r="L35" s="5">
        <f>IF($M35="","",$M35-TODAY())</f>
        <v/>
      </c>
      <c r="M35" s="7" t="n">
        <v>46285</v>
      </c>
      <c r="N35" s="6" t="inlineStr">
        <is>
          <t>90 days</t>
        </is>
      </c>
      <c r="O35" s="6" t="inlineStr">
        <is>
          <t>UHC MA</t>
        </is>
      </c>
      <c r="P35" s="6" t="inlineStr">
        <is>
          <t>26</t>
        </is>
      </c>
      <c r="Q35" s="6" t="n"/>
      <c r="R35" s="6" t="n"/>
      <c r="S35" s="5" t="n">
        <v>1</v>
      </c>
      <c r="T35" s="8" t="n">
        <v>271.18</v>
      </c>
      <c r="U35" s="8" t="n">
        <v>0</v>
      </c>
      <c r="V35" s="8" t="n">
        <v>0</v>
      </c>
      <c r="W35" s="6" t="n"/>
      <c r="X35" s="8" t="n">
        <v>271.18</v>
      </c>
      <c r="Y35" s="5" t="n">
        <v>47</v>
      </c>
      <c r="Z35" s="6" t="inlineStr">
        <is>
          <t>M1711</t>
        </is>
      </c>
      <c r="AA35" s="6" t="inlineStr">
        <is>
          <t>I798</t>
        </is>
      </c>
      <c r="AB35" s="6" t="inlineStr">
        <is>
          <t>M25561</t>
        </is>
      </c>
      <c r="AC35" s="6" t="n"/>
      <c r="AD35" s="5" t="n"/>
      <c r="AE35" s="6" t="inlineStr">
        <is>
          <t>HUNTER, DREW</t>
        </is>
      </c>
      <c r="AF35" s="6" t="inlineStr">
        <is>
          <t>ASAP Surgery Centers North Valley LLC</t>
        </is>
      </c>
      <c r="AG35" s="6" t="inlineStr">
        <is>
          <t>07/13/2026</t>
        </is>
      </c>
      <c r="AH35" s="6" t="inlineStr">
        <is>
          <t>GAE</t>
        </is>
      </c>
      <c r="AI35" s="9" t="n"/>
      <c r="AJ35" s="5" t="n">
        <v>1069</v>
      </c>
    </row>
    <row r="36">
      <c r="A36" s="2" t="n"/>
      <c r="B36" s="3" t="n"/>
      <c r="C36" s="4" t="n"/>
      <c r="D36" s="5" t="n">
        <v>565102380</v>
      </c>
      <c r="E36" s="6" t="inlineStr">
        <is>
          <t>HF525787835</t>
        </is>
      </c>
      <c r="F36" s="6" t="inlineStr">
        <is>
          <t>06/22/2026</t>
        </is>
      </c>
      <c r="G36" s="6" t="inlineStr">
        <is>
          <t>UHC Group Medicare Advantage</t>
        </is>
      </c>
      <c r="H36" s="6" t="inlineStr">
        <is>
          <t>UHC Group Medicare Advantage</t>
        </is>
      </c>
      <c r="I36" s="6" t="inlineStr">
        <is>
          <t>No Payer</t>
        </is>
      </c>
      <c r="J36" s="6" t="inlineStr">
        <is>
          <t>75774</t>
        </is>
      </c>
      <c r="K36" s="4" t="n"/>
      <c r="L36" s="5">
        <f>IF($M36="","",$M36-TODAY())</f>
        <v/>
      </c>
      <c r="M36" s="7" t="n">
        <v>46285</v>
      </c>
      <c r="N36" s="6" t="inlineStr">
        <is>
          <t>90 days</t>
        </is>
      </c>
      <c r="O36" s="6" t="inlineStr">
        <is>
          <t>UHC MA</t>
        </is>
      </c>
      <c r="P36" s="6" t="inlineStr">
        <is>
          <t>26</t>
        </is>
      </c>
      <c r="Q36" s="6" t="inlineStr">
        <is>
          <t>XU</t>
        </is>
      </c>
      <c r="R36" s="6" t="n"/>
      <c r="S36" s="5" t="n">
        <v>4</v>
      </c>
      <c r="T36" s="8" t="n">
        <v>2685.2</v>
      </c>
      <c r="U36" s="8" t="n">
        <v>0</v>
      </c>
      <c r="V36" s="8" t="n">
        <v>0</v>
      </c>
      <c r="W36" s="6" t="n"/>
      <c r="X36" s="8" t="n">
        <v>2685.2</v>
      </c>
      <c r="Y36" s="5" t="n">
        <v>47</v>
      </c>
      <c r="Z36" s="6" t="inlineStr">
        <is>
          <t>M1711</t>
        </is>
      </c>
      <c r="AA36" s="6" t="inlineStr">
        <is>
          <t>I798</t>
        </is>
      </c>
      <c r="AB36" s="6" t="inlineStr">
        <is>
          <t>M25561</t>
        </is>
      </c>
      <c r="AC36" s="6" t="n"/>
      <c r="AD36" s="5" t="n"/>
      <c r="AE36" s="6" t="inlineStr">
        <is>
          <t>HUNTER, DREW</t>
        </is>
      </c>
      <c r="AF36" s="6" t="inlineStr">
        <is>
          <t>ASAP Surgery Centers North Valley LLC</t>
        </is>
      </c>
      <c r="AG36" s="6" t="inlineStr">
        <is>
          <t>07/13/2026</t>
        </is>
      </c>
      <c r="AH36" s="6" t="inlineStr">
        <is>
          <t>GAE</t>
        </is>
      </c>
      <c r="AI36" s="9" t="n"/>
      <c r="AJ36" s="5" t="n">
        <v>1070</v>
      </c>
    </row>
    <row r="37">
      <c r="A37" s="2" t="n"/>
      <c r="B37" s="3" t="n"/>
      <c r="C37" s="4" t="n"/>
      <c r="D37" s="5" t="n">
        <v>565102380</v>
      </c>
      <c r="E37" s="6" t="inlineStr">
        <is>
          <t>HF525787835</t>
        </is>
      </c>
      <c r="F37" s="6" t="inlineStr">
        <is>
          <t>06/22/2026</t>
        </is>
      </c>
      <c r="G37" s="6" t="inlineStr">
        <is>
          <t>UHC Group Medicare Advantage</t>
        </is>
      </c>
      <c r="H37" s="6" t="inlineStr">
        <is>
          <t>UHC Group Medicare Advantage</t>
        </is>
      </c>
      <c r="I37" s="6" t="inlineStr">
        <is>
          <t>No Payer</t>
        </is>
      </c>
      <c r="J37" s="6" t="inlineStr">
        <is>
          <t>36245</t>
        </is>
      </c>
      <c r="K37" s="4" t="n"/>
      <c r="L37" s="5">
        <f>IF($M37="","",$M37-TODAY())</f>
        <v/>
      </c>
      <c r="M37" s="7" t="n">
        <v>46285</v>
      </c>
      <c r="N37" s="6" t="inlineStr">
        <is>
          <t>90 days</t>
        </is>
      </c>
      <c r="O37" s="6" t="inlineStr">
        <is>
          <t>UHC MA</t>
        </is>
      </c>
      <c r="P37" s="6" t="inlineStr">
        <is>
          <t>59</t>
        </is>
      </c>
      <c r="Q37" s="6" t="n"/>
      <c r="R37" s="6" t="n"/>
      <c r="S37" s="5" t="n">
        <v>4</v>
      </c>
      <c r="T37" s="8" t="n">
        <v>34264.16</v>
      </c>
      <c r="U37" s="8" t="n">
        <v>0</v>
      </c>
      <c r="V37" s="8" t="n">
        <v>0</v>
      </c>
      <c r="W37" s="6" t="n"/>
      <c r="X37" s="8" t="n">
        <v>34264.16</v>
      </c>
      <c r="Y37" s="5" t="n">
        <v>47</v>
      </c>
      <c r="Z37" s="6" t="inlineStr">
        <is>
          <t>M1711</t>
        </is>
      </c>
      <c r="AA37" s="6" t="inlineStr">
        <is>
          <t>I798</t>
        </is>
      </c>
      <c r="AB37" s="6" t="inlineStr">
        <is>
          <t>M25561</t>
        </is>
      </c>
      <c r="AC37" s="6" t="n"/>
      <c r="AD37" s="5" t="n"/>
      <c r="AE37" s="6" t="inlineStr">
        <is>
          <t>HUNTER, DREW</t>
        </is>
      </c>
      <c r="AF37" s="6" t="inlineStr">
        <is>
          <t>ASAP Surgery Centers North Valley LLC</t>
        </is>
      </c>
      <c r="AG37" s="6" t="inlineStr">
        <is>
          <t>07/13/2026</t>
        </is>
      </c>
      <c r="AH37" s="6" t="inlineStr">
        <is>
          <t>GAE</t>
        </is>
      </c>
      <c r="AI37" s="9" t="n"/>
      <c r="AJ37" s="5" t="n">
        <v>1071</v>
      </c>
    </row>
    <row r="38">
      <c r="A38" s="2" t="n"/>
      <c r="B38" s="3" t="n"/>
      <c r="C38" s="4" t="n"/>
      <c r="D38" s="5" t="n">
        <v>565102380</v>
      </c>
      <c r="E38" s="6" t="inlineStr">
        <is>
          <t>HF525787835</t>
        </is>
      </c>
      <c r="F38" s="6" t="inlineStr">
        <is>
          <t>06/22/2026</t>
        </is>
      </c>
      <c r="G38" s="6" t="inlineStr">
        <is>
          <t>UHC Group Medicare Advantage</t>
        </is>
      </c>
      <c r="H38" s="6" t="inlineStr">
        <is>
          <t>UHC Group Medicare Advantage</t>
        </is>
      </c>
      <c r="I38" s="6" t="inlineStr">
        <is>
          <t>No Payer</t>
        </is>
      </c>
      <c r="J38" s="6" t="inlineStr">
        <is>
          <t>75710</t>
        </is>
      </c>
      <c r="K38" s="4" t="n"/>
      <c r="L38" s="5">
        <f>IF($M38="","",$M38-TODAY())</f>
        <v/>
      </c>
      <c r="M38" s="7" t="n">
        <v>46285</v>
      </c>
      <c r="N38" s="6" t="inlineStr">
        <is>
          <t>90 days</t>
        </is>
      </c>
      <c r="O38" s="6" t="inlineStr">
        <is>
          <t>UHC MA</t>
        </is>
      </c>
      <c r="P38" s="6" t="inlineStr">
        <is>
          <t>26</t>
        </is>
      </c>
      <c r="Q38" s="6" t="inlineStr">
        <is>
          <t>XU</t>
        </is>
      </c>
      <c r="R38" s="6" t="inlineStr">
        <is>
          <t>RT</t>
        </is>
      </c>
      <c r="S38" s="5" t="n">
        <v>1</v>
      </c>
      <c r="T38" s="8" t="n">
        <v>1037.19</v>
      </c>
      <c r="U38" s="8" t="n">
        <v>0</v>
      </c>
      <c r="V38" s="8" t="n">
        <v>0</v>
      </c>
      <c r="W38" s="6" t="n"/>
      <c r="X38" s="8" t="n">
        <v>1037.19</v>
      </c>
      <c r="Y38" s="5" t="n">
        <v>47</v>
      </c>
      <c r="Z38" s="6" t="inlineStr">
        <is>
          <t>M1711</t>
        </is>
      </c>
      <c r="AA38" s="6" t="inlineStr">
        <is>
          <t>I798</t>
        </is>
      </c>
      <c r="AB38" s="6" t="inlineStr">
        <is>
          <t>M25561</t>
        </is>
      </c>
      <c r="AC38" s="6" t="n"/>
      <c r="AD38" s="5" t="n"/>
      <c r="AE38" s="6" t="inlineStr">
        <is>
          <t>HUNTER, DREW</t>
        </is>
      </c>
      <c r="AF38" s="6" t="inlineStr">
        <is>
          <t>ASAP Surgery Centers North Valley LLC</t>
        </is>
      </c>
      <c r="AG38" s="6" t="inlineStr">
        <is>
          <t>07/13/2026</t>
        </is>
      </c>
      <c r="AH38" s="6" t="inlineStr">
        <is>
          <t>GAE</t>
        </is>
      </c>
      <c r="AI38" s="9" t="n"/>
      <c r="AJ38" s="5" t="n">
        <v>1072</v>
      </c>
    </row>
    <row r="39">
      <c r="A39" s="2" t="n"/>
      <c r="B39" s="3" t="n"/>
      <c r="C39" s="4" t="n"/>
      <c r="D39" s="5" t="n">
        <v>565102380</v>
      </c>
      <c r="E39" s="6" t="inlineStr">
        <is>
          <t>HF525787835</t>
        </is>
      </c>
      <c r="F39" s="6" t="inlineStr">
        <is>
          <t>06/22/2026</t>
        </is>
      </c>
      <c r="G39" s="6" t="inlineStr">
        <is>
          <t>UHC Group Medicare Advantage</t>
        </is>
      </c>
      <c r="H39" s="6" t="inlineStr">
        <is>
          <t>UHC Group Medicare Advantage</t>
        </is>
      </c>
      <c r="I39" s="6" t="inlineStr">
        <is>
          <t>No Payer</t>
        </is>
      </c>
      <c r="J39" s="6" t="inlineStr">
        <is>
          <t>37242</t>
        </is>
      </c>
      <c r="K39" s="4" t="n"/>
      <c r="L39" s="5">
        <f>IF($M39="","",$M39-TODAY())</f>
        <v/>
      </c>
      <c r="M39" s="7" t="n">
        <v>46285</v>
      </c>
      <c r="N39" s="6" t="inlineStr">
        <is>
          <t>90 days</t>
        </is>
      </c>
      <c r="O39" s="6" t="inlineStr">
        <is>
          <t>UHC MA</t>
        </is>
      </c>
      <c r="P39" s="6" t="n"/>
      <c r="Q39" s="6" t="n"/>
      <c r="R39" s="6" t="n"/>
      <c r="S39" s="5" t="n">
        <v>1</v>
      </c>
      <c r="T39" s="8" t="n">
        <v>49162.82</v>
      </c>
      <c r="U39" s="8" t="n">
        <v>0</v>
      </c>
      <c r="V39" s="8" t="n">
        <v>0</v>
      </c>
      <c r="W39" s="6" t="n"/>
      <c r="X39" s="8" t="n">
        <v>49162.82</v>
      </c>
      <c r="Y39" s="5" t="n">
        <v>47</v>
      </c>
      <c r="Z39" s="6" t="inlineStr">
        <is>
          <t>M1711</t>
        </is>
      </c>
      <c r="AA39" s="6" t="inlineStr">
        <is>
          <t>I798</t>
        </is>
      </c>
      <c r="AB39" s="6" t="inlineStr">
        <is>
          <t>M25561</t>
        </is>
      </c>
      <c r="AC39" s="6" t="n"/>
      <c r="AD39" s="5" t="n"/>
      <c r="AE39" s="6" t="inlineStr">
        <is>
          <t>HUNTER, DREW</t>
        </is>
      </c>
      <c r="AF39" s="6" t="inlineStr">
        <is>
          <t>ASAP Surgery Centers North Valley LLC</t>
        </is>
      </c>
      <c r="AG39" s="6" t="inlineStr">
        <is>
          <t>07/13/2026</t>
        </is>
      </c>
      <c r="AH39" s="6" t="inlineStr">
        <is>
          <t>GAE</t>
        </is>
      </c>
      <c r="AI39" s="9" t="n"/>
      <c r="AJ39" s="5" t="n">
        <v>1073</v>
      </c>
    </row>
    <row r="40">
      <c r="A40" s="2" t="n"/>
      <c r="B40" s="3" t="n"/>
      <c r="C40" s="4" t="n"/>
      <c r="D40" s="5" t="n">
        <v>565108599</v>
      </c>
      <c r="E40" s="6" t="inlineStr">
        <is>
          <t>HF534608085</t>
        </is>
      </c>
      <c r="F40" s="6" t="inlineStr">
        <is>
          <t>06/22/2026</t>
        </is>
      </c>
      <c r="G40" s="6" t="inlineStr">
        <is>
          <t>Humana Gold Plus HMO</t>
        </is>
      </c>
      <c r="H40" s="6" t="inlineStr">
        <is>
          <t>Humana Gold Plus HMO</t>
        </is>
      </c>
      <c r="I40" s="6" t="inlineStr">
        <is>
          <t>No Payer</t>
        </is>
      </c>
      <c r="J40" s="6" t="inlineStr">
        <is>
          <t>37242</t>
        </is>
      </c>
      <c r="K40" s="4" t="n"/>
      <c r="L40" s="5">
        <f>IF($M40="","",$M40-TODAY())</f>
        <v/>
      </c>
      <c r="M40" s="7" t="n">
        <v>46285</v>
      </c>
      <c r="N40" s="6" t="inlineStr">
        <is>
          <t>90 days</t>
        </is>
      </c>
      <c r="O40" s="6" t="inlineStr">
        <is>
          <t>HUMANA MA</t>
        </is>
      </c>
      <c r="P40" s="6" t="n"/>
      <c r="Q40" s="6" t="n"/>
      <c r="R40" s="6" t="n"/>
      <c r="S40" s="5" t="n">
        <v>1</v>
      </c>
      <c r="T40" s="8" t="n">
        <v>49162.82</v>
      </c>
      <c r="U40" s="8" t="n">
        <v>0</v>
      </c>
      <c r="V40" s="8" t="n">
        <v>0</v>
      </c>
      <c r="W40" s="6" t="n"/>
      <c r="X40" s="8" t="n">
        <v>49162.82</v>
      </c>
      <c r="Y40" s="5" t="n">
        <v>47</v>
      </c>
      <c r="Z40" s="6" t="inlineStr">
        <is>
          <t>M1712</t>
        </is>
      </c>
      <c r="AA40" s="6" t="inlineStr">
        <is>
          <t>I798</t>
        </is>
      </c>
      <c r="AB40" s="6" t="inlineStr">
        <is>
          <t>M25562</t>
        </is>
      </c>
      <c r="AC40" s="6" t="n"/>
      <c r="AD40" s="5" t="n"/>
      <c r="AE40" s="6" t="inlineStr">
        <is>
          <t>HUNTER, DREW</t>
        </is>
      </c>
      <c r="AF40" s="6" t="inlineStr">
        <is>
          <t>ASAP - DEER VALLEY</t>
        </is>
      </c>
      <c r="AG40" s="6" t="inlineStr">
        <is>
          <t>07/13/2026</t>
        </is>
      </c>
      <c r="AH40" s="6" t="inlineStr">
        <is>
          <t>GAE</t>
        </is>
      </c>
      <c r="AI40" s="9" t="inlineStr">
        <is>
          <t>Shorter of the two Humana limits (90 days ancillary vs 180 days physician). Confirm the rendering provider's category - if they bill as a physician the real deadline is 90 days later.</t>
        </is>
      </c>
      <c r="AJ40" s="5" t="n">
        <v>1043</v>
      </c>
    </row>
    <row r="41">
      <c r="A41" s="2" t="n"/>
      <c r="B41" s="3" t="n"/>
      <c r="C41" s="4" t="n"/>
      <c r="D41" s="5" t="n">
        <v>565108599</v>
      </c>
      <c r="E41" s="6" t="inlineStr">
        <is>
          <t>HF534608085</t>
        </is>
      </c>
      <c r="F41" s="6" t="inlineStr">
        <is>
          <t>06/22/2026</t>
        </is>
      </c>
      <c r="G41" s="6" t="inlineStr">
        <is>
          <t>Humana Gold Plus HMO</t>
        </is>
      </c>
      <c r="H41" s="6" t="inlineStr">
        <is>
          <t>Humana Gold Plus HMO</t>
        </is>
      </c>
      <c r="I41" s="6" t="inlineStr">
        <is>
          <t>No Payer</t>
        </is>
      </c>
      <c r="J41" s="6" t="inlineStr">
        <is>
          <t>75774</t>
        </is>
      </c>
      <c r="K41" s="4" t="n"/>
      <c r="L41" s="5">
        <f>IF($M41="","",$M41-TODAY())</f>
        <v/>
      </c>
      <c r="M41" s="7" t="n">
        <v>46285</v>
      </c>
      <c r="N41" s="6" t="inlineStr">
        <is>
          <t>90 days</t>
        </is>
      </c>
      <c r="O41" s="6" t="inlineStr">
        <is>
          <t>HUMANA MA</t>
        </is>
      </c>
      <c r="P41" s="6" t="inlineStr">
        <is>
          <t>XU</t>
        </is>
      </c>
      <c r="Q41" s="6" t="n"/>
      <c r="R41" s="6" t="n"/>
      <c r="S41" s="5" t="n">
        <v>4</v>
      </c>
      <c r="T41" s="8" t="n">
        <v>2685.2</v>
      </c>
      <c r="U41" s="8" t="n">
        <v>0</v>
      </c>
      <c r="V41" s="8" t="n">
        <v>0</v>
      </c>
      <c r="W41" s="6" t="n"/>
      <c r="X41" s="8" t="n">
        <v>2685.2</v>
      </c>
      <c r="Y41" s="5" t="n">
        <v>47</v>
      </c>
      <c r="Z41" s="6" t="inlineStr">
        <is>
          <t>M1712</t>
        </is>
      </c>
      <c r="AA41" s="6" t="inlineStr">
        <is>
          <t>I798</t>
        </is>
      </c>
      <c r="AB41" s="6" t="inlineStr">
        <is>
          <t>M25562</t>
        </is>
      </c>
      <c r="AC41" s="6" t="n"/>
      <c r="AD41" s="5" t="n"/>
      <c r="AE41" s="6" t="inlineStr">
        <is>
          <t>HUNTER, DREW</t>
        </is>
      </c>
      <c r="AF41" s="6" t="inlineStr">
        <is>
          <t>ASAP - DEER VALLEY</t>
        </is>
      </c>
      <c r="AG41" s="6" t="inlineStr">
        <is>
          <t>07/13/2026</t>
        </is>
      </c>
      <c r="AH41" s="6" t="inlineStr">
        <is>
          <t>GAE</t>
        </is>
      </c>
      <c r="AI41" s="9" t="inlineStr">
        <is>
          <t>Shorter of the two Humana limits (90 days ancillary vs 180 days physician). Confirm the rendering provider's category - if they bill as a physician the real deadline is 90 days later.</t>
        </is>
      </c>
      <c r="AJ41" s="5" t="n">
        <v>1044</v>
      </c>
    </row>
    <row r="42">
      <c r="A42" s="2" t="n"/>
      <c r="B42" s="3" t="n"/>
      <c r="C42" s="4" t="n"/>
      <c r="D42" s="5" t="n">
        <v>565108599</v>
      </c>
      <c r="E42" s="6" t="inlineStr">
        <is>
          <t>HF534608085</t>
        </is>
      </c>
      <c r="F42" s="6" t="inlineStr">
        <is>
          <t>06/22/2026</t>
        </is>
      </c>
      <c r="G42" s="6" t="inlineStr">
        <is>
          <t>Humana Gold Plus HMO</t>
        </is>
      </c>
      <c r="H42" s="6" t="inlineStr">
        <is>
          <t>Humana Gold Plus HMO</t>
        </is>
      </c>
      <c r="I42" s="6" t="inlineStr">
        <is>
          <t>No Payer</t>
        </is>
      </c>
      <c r="J42" s="6" t="inlineStr">
        <is>
          <t>36245</t>
        </is>
      </c>
      <c r="K42" s="4" t="n"/>
      <c r="L42" s="5">
        <f>IF($M42="","",$M42-TODAY())</f>
        <v/>
      </c>
      <c r="M42" s="7" t="n">
        <v>46285</v>
      </c>
      <c r="N42" s="6" t="inlineStr">
        <is>
          <t>90 days</t>
        </is>
      </c>
      <c r="O42" s="6" t="inlineStr">
        <is>
          <t>HUMANA MA</t>
        </is>
      </c>
      <c r="P42" s="6" t="inlineStr">
        <is>
          <t>59</t>
        </is>
      </c>
      <c r="Q42" s="6" t="n"/>
      <c r="R42" s="6" t="n"/>
      <c r="S42" s="5" t="n">
        <v>4</v>
      </c>
      <c r="T42" s="8" t="n">
        <v>34264.16</v>
      </c>
      <c r="U42" s="8" t="n">
        <v>0</v>
      </c>
      <c r="V42" s="8" t="n">
        <v>0</v>
      </c>
      <c r="W42" s="6" t="n"/>
      <c r="X42" s="8" t="n">
        <v>34264.16</v>
      </c>
      <c r="Y42" s="5" t="n">
        <v>47</v>
      </c>
      <c r="Z42" s="6" t="inlineStr">
        <is>
          <t>M1712</t>
        </is>
      </c>
      <c r="AA42" s="6" t="inlineStr">
        <is>
          <t>I798</t>
        </is>
      </c>
      <c r="AB42" s="6" t="inlineStr">
        <is>
          <t>M25562</t>
        </is>
      </c>
      <c r="AC42" s="6" t="n"/>
      <c r="AD42" s="5" t="n"/>
      <c r="AE42" s="6" t="inlineStr">
        <is>
          <t>HUNTER, DREW</t>
        </is>
      </c>
      <c r="AF42" s="6" t="inlineStr">
        <is>
          <t>ASAP - DEER VALLEY</t>
        </is>
      </c>
      <c r="AG42" s="6" t="inlineStr">
        <is>
          <t>07/13/2026</t>
        </is>
      </c>
      <c r="AH42" s="6" t="inlineStr">
        <is>
          <t>GAE</t>
        </is>
      </c>
      <c r="AI42" s="9" t="inlineStr">
        <is>
          <t>Shorter of the two Humana limits (90 days ancillary vs 180 days physician). Confirm the rendering provider's category - if they bill as a physician the real deadline is 90 days later.</t>
        </is>
      </c>
      <c r="AJ42" s="5" t="n">
        <v>1045</v>
      </c>
    </row>
    <row r="43">
      <c r="A43" s="2" t="n"/>
      <c r="B43" s="3" t="n"/>
      <c r="C43" s="4" t="n"/>
      <c r="D43" s="5" t="n">
        <v>565108599</v>
      </c>
      <c r="E43" s="6" t="inlineStr">
        <is>
          <t>HF534608085</t>
        </is>
      </c>
      <c r="F43" s="6" t="inlineStr">
        <is>
          <t>06/22/2026</t>
        </is>
      </c>
      <c r="G43" s="6" t="inlineStr">
        <is>
          <t>Humana Gold Plus HMO</t>
        </is>
      </c>
      <c r="H43" s="6" t="inlineStr">
        <is>
          <t>Humana Gold Plus HMO</t>
        </is>
      </c>
      <c r="I43" s="6" t="inlineStr">
        <is>
          <t>No Payer</t>
        </is>
      </c>
      <c r="J43" s="6" t="inlineStr">
        <is>
          <t>76937</t>
        </is>
      </c>
      <c r="K43" s="4" t="n"/>
      <c r="L43" s="5">
        <f>IF($M43="","",$M43-TODAY())</f>
        <v/>
      </c>
      <c r="M43" s="7" t="n">
        <v>46285</v>
      </c>
      <c r="N43" s="6" t="inlineStr">
        <is>
          <t>90 days</t>
        </is>
      </c>
      <c r="O43" s="6" t="inlineStr">
        <is>
          <t>HUMANA MA</t>
        </is>
      </c>
      <c r="P43" s="6" t="n"/>
      <c r="Q43" s="6" t="n"/>
      <c r="R43" s="6" t="n"/>
      <c r="S43" s="5" t="n">
        <v>1</v>
      </c>
      <c r="T43" s="8" t="n">
        <v>271.18</v>
      </c>
      <c r="U43" s="8" t="n">
        <v>0</v>
      </c>
      <c r="V43" s="8" t="n">
        <v>0</v>
      </c>
      <c r="W43" s="6" t="n"/>
      <c r="X43" s="8" t="n">
        <v>271.18</v>
      </c>
      <c r="Y43" s="5" t="n">
        <v>47</v>
      </c>
      <c r="Z43" s="6" t="inlineStr">
        <is>
          <t>M1712</t>
        </is>
      </c>
      <c r="AA43" s="6" t="inlineStr">
        <is>
          <t>I798</t>
        </is>
      </c>
      <c r="AB43" s="6" t="inlineStr">
        <is>
          <t>M25562</t>
        </is>
      </c>
      <c r="AC43" s="6" t="n"/>
      <c r="AD43" s="5" t="n"/>
      <c r="AE43" s="6" t="inlineStr">
        <is>
          <t>HUNTER, DREW</t>
        </is>
      </c>
      <c r="AF43" s="6" t="inlineStr">
        <is>
          <t>ASAP - DEER VALLEY</t>
        </is>
      </c>
      <c r="AG43" s="6" t="inlineStr">
        <is>
          <t>07/13/2026</t>
        </is>
      </c>
      <c r="AH43" s="6" t="inlineStr">
        <is>
          <t>GAE</t>
        </is>
      </c>
      <c r="AI43" s="9" t="inlineStr">
        <is>
          <t>Shorter of the two Humana limits (90 days ancillary vs 180 days physician). Confirm the rendering provider's category - if they bill as a physician the real deadline is 90 days later.</t>
        </is>
      </c>
      <c r="AJ43" s="5" t="n">
        <v>1046</v>
      </c>
    </row>
    <row r="44">
      <c r="A44" s="2" t="n"/>
      <c r="B44" s="3" t="n"/>
      <c r="C44" s="4" t="n"/>
      <c r="D44" s="5" t="n">
        <v>565108599</v>
      </c>
      <c r="E44" s="6" t="inlineStr">
        <is>
          <t>HF534608085</t>
        </is>
      </c>
      <c r="F44" s="6" t="inlineStr">
        <is>
          <t>06/22/2026</t>
        </is>
      </c>
      <c r="G44" s="6" t="inlineStr">
        <is>
          <t>Humana Gold Plus HMO</t>
        </is>
      </c>
      <c r="H44" s="6" t="inlineStr">
        <is>
          <t>Humana Gold Plus HMO</t>
        </is>
      </c>
      <c r="I44" s="6" t="inlineStr">
        <is>
          <t>No Payer</t>
        </is>
      </c>
      <c r="J44" s="6" t="inlineStr">
        <is>
          <t>75710</t>
        </is>
      </c>
      <c r="K44" s="4" t="n"/>
      <c r="L44" s="5">
        <f>IF($M44="","",$M44-TODAY())</f>
        <v/>
      </c>
      <c r="M44" s="7" t="n">
        <v>46285</v>
      </c>
      <c r="N44" s="6" t="inlineStr">
        <is>
          <t>90 days</t>
        </is>
      </c>
      <c r="O44" s="6" t="inlineStr">
        <is>
          <t>HUMANA MA</t>
        </is>
      </c>
      <c r="P44" s="6" t="inlineStr">
        <is>
          <t>XU</t>
        </is>
      </c>
      <c r="Q44" s="6" t="inlineStr">
        <is>
          <t>LT</t>
        </is>
      </c>
      <c r="R44" s="6" t="n"/>
      <c r="S44" s="5" t="n">
        <v>1</v>
      </c>
      <c r="T44" s="8" t="n">
        <v>1037.19</v>
      </c>
      <c r="U44" s="8" t="n">
        <v>0</v>
      </c>
      <c r="V44" s="8" t="n">
        <v>0</v>
      </c>
      <c r="W44" s="6" t="n"/>
      <c r="X44" s="8" t="n">
        <v>1037.19</v>
      </c>
      <c r="Y44" s="5" t="n">
        <v>47</v>
      </c>
      <c r="Z44" s="6" t="inlineStr">
        <is>
          <t>M1712</t>
        </is>
      </c>
      <c r="AA44" s="6" t="inlineStr">
        <is>
          <t>I798</t>
        </is>
      </c>
      <c r="AB44" s="6" t="inlineStr">
        <is>
          <t>M25562</t>
        </is>
      </c>
      <c r="AC44" s="6" t="n"/>
      <c r="AD44" s="5" t="n"/>
      <c r="AE44" s="6" t="inlineStr">
        <is>
          <t>HUNTER, DREW</t>
        </is>
      </c>
      <c r="AF44" s="6" t="inlineStr">
        <is>
          <t>ASAP - DEER VALLEY</t>
        </is>
      </c>
      <c r="AG44" s="6" t="inlineStr">
        <is>
          <t>07/13/2026</t>
        </is>
      </c>
      <c r="AH44" s="6" t="inlineStr">
        <is>
          <t>GAE</t>
        </is>
      </c>
      <c r="AI44" s="9" t="inlineStr">
        <is>
          <t>Shorter of the two Humana limits (90 days ancillary vs 180 days physician). Confirm the rendering provider's category - if they bill as a physician the real deadline is 90 days later.</t>
        </is>
      </c>
      <c r="AJ44" s="5" t="n">
        <v>1047</v>
      </c>
    </row>
    <row r="45">
      <c r="A45" s="2" t="n"/>
      <c r="B45" s="3" t="n"/>
      <c r="C45" s="4" t="n"/>
      <c r="D45" s="5" t="n">
        <v>564903174</v>
      </c>
      <c r="E45" s="6" t="inlineStr">
        <is>
          <t>HF556068803</t>
        </is>
      </c>
      <c r="F45" s="6" t="inlineStr">
        <is>
          <t>06/29/2026</t>
        </is>
      </c>
      <c r="G45" s="6" t="inlineStr">
        <is>
          <t>Optum Care Medical Network of Arizona, Utah, &amp; Washington (LifePrint)</t>
        </is>
      </c>
      <c r="H45" s="6" t="inlineStr">
        <is>
          <t>Optum Care Medical Network of Arizona, Utah, &amp; Washington (LifePrint)</t>
        </is>
      </c>
      <c r="I45" s="6" t="inlineStr">
        <is>
          <t>No Payer</t>
        </is>
      </c>
      <c r="J45" s="6" t="inlineStr">
        <is>
          <t>76937</t>
        </is>
      </c>
      <c r="K45" s="4" t="n"/>
      <c r="L45" s="5">
        <f>IF($M45="","",$M45-TODAY())</f>
        <v/>
      </c>
      <c r="M45" s="7" t="n">
        <v>46292</v>
      </c>
      <c r="N45" s="6" t="inlineStr">
        <is>
          <t>90 days</t>
        </is>
      </c>
      <c r="O45" s="6" t="inlineStr">
        <is>
          <t>OPTUM</t>
        </is>
      </c>
      <c r="P45" s="6" t="inlineStr">
        <is>
          <t>26</t>
        </is>
      </c>
      <c r="Q45" s="6" t="n"/>
      <c r="R45" s="6" t="n"/>
      <c r="S45" s="5" t="n">
        <v>1</v>
      </c>
      <c r="T45" s="8" t="n">
        <v>271.18</v>
      </c>
      <c r="U45" s="8" t="n">
        <v>0</v>
      </c>
      <c r="V45" s="8" t="n">
        <v>0</v>
      </c>
      <c r="W45" s="6" t="n"/>
      <c r="X45" s="8" t="n">
        <v>271.18</v>
      </c>
      <c r="Y45" s="5" t="n">
        <v>40</v>
      </c>
      <c r="Z45" s="6" t="inlineStr">
        <is>
          <t>M722</t>
        </is>
      </c>
      <c r="AA45" s="6" t="n"/>
      <c r="AB45" s="6" t="n"/>
      <c r="AC45" s="6" t="n"/>
      <c r="AD45" s="5" t="n"/>
      <c r="AE45" s="6" t="inlineStr">
        <is>
          <t>KOMINSKY, STEPHEN</t>
        </is>
      </c>
      <c r="AF45" s="6" t="inlineStr">
        <is>
          <t>ASAP Surgery Centers North Valley LLC</t>
        </is>
      </c>
      <c r="AG45" s="6" t="inlineStr">
        <is>
          <t>07/22/2026</t>
        </is>
      </c>
      <c r="AH45" s="6" t="inlineStr">
        <is>
          <t>GAE</t>
        </is>
      </c>
      <c r="AI45" s="9" t="n"/>
      <c r="AJ45" s="5" t="n">
        <v>530</v>
      </c>
    </row>
    <row r="46">
      <c r="A46" s="2" t="n"/>
      <c r="B46" s="3" t="n"/>
      <c r="C46" s="4" t="n"/>
      <c r="D46" s="5" t="n">
        <v>564903174</v>
      </c>
      <c r="E46" s="6" t="inlineStr">
        <is>
          <t>HF556068803</t>
        </is>
      </c>
      <c r="F46" s="6" t="inlineStr">
        <is>
          <t>06/29/2026</t>
        </is>
      </c>
      <c r="G46" s="6" t="inlineStr">
        <is>
          <t>Optum Care Medical Network of Arizona, Utah, &amp; Washington (LifePrint)</t>
        </is>
      </c>
      <c r="H46" s="6" t="inlineStr">
        <is>
          <t>Optum Care Medical Network of Arizona, Utah, &amp; Washington (LifePrint)</t>
        </is>
      </c>
      <c r="I46" s="6" t="inlineStr">
        <is>
          <t>No Payer</t>
        </is>
      </c>
      <c r="J46" s="6" t="inlineStr">
        <is>
          <t>37242</t>
        </is>
      </c>
      <c r="K46" s="4" t="n"/>
      <c r="L46" s="5">
        <f>IF($M46="","",$M46-TODAY())</f>
        <v/>
      </c>
      <c r="M46" s="7" t="n">
        <v>46292</v>
      </c>
      <c r="N46" s="6" t="inlineStr">
        <is>
          <t>90 days</t>
        </is>
      </c>
      <c r="O46" s="6" t="inlineStr">
        <is>
          <t>OPTUM</t>
        </is>
      </c>
      <c r="P46" s="6" t="inlineStr">
        <is>
          <t>LT</t>
        </is>
      </c>
      <c r="Q46" s="6" t="n"/>
      <c r="R46" s="6" t="n"/>
      <c r="S46" s="5" t="n">
        <v>1</v>
      </c>
      <c r="T46" s="8" t="n">
        <v>49162.82</v>
      </c>
      <c r="U46" s="8" t="n">
        <v>0</v>
      </c>
      <c r="V46" s="8" t="n">
        <v>0</v>
      </c>
      <c r="W46" s="6" t="n"/>
      <c r="X46" s="8" t="n">
        <v>49162.82</v>
      </c>
      <c r="Y46" s="5" t="n">
        <v>40</v>
      </c>
      <c r="Z46" s="6" t="inlineStr">
        <is>
          <t>M722</t>
        </is>
      </c>
      <c r="AA46" s="6" t="n"/>
      <c r="AB46" s="6" t="n"/>
      <c r="AC46" s="6" t="n"/>
      <c r="AD46" s="5" t="n"/>
      <c r="AE46" s="6" t="inlineStr">
        <is>
          <t>KOMINSKY, STEPHEN</t>
        </is>
      </c>
      <c r="AF46" s="6" t="inlineStr">
        <is>
          <t>ASAP Surgery Centers North Valley LLC</t>
        </is>
      </c>
      <c r="AG46" s="6" t="inlineStr">
        <is>
          <t>07/22/2026</t>
        </is>
      </c>
      <c r="AH46" s="6" t="inlineStr">
        <is>
          <t>GAE</t>
        </is>
      </c>
      <c r="AI46" s="9" t="n"/>
      <c r="AJ46" s="5" t="n">
        <v>531</v>
      </c>
    </row>
    <row r="47">
      <c r="A47" s="2" t="n"/>
      <c r="B47" s="3" t="n"/>
      <c r="C47" s="4" t="n"/>
      <c r="D47" s="5" t="n">
        <v>564903174</v>
      </c>
      <c r="E47" s="6" t="inlineStr">
        <is>
          <t>HF556068803</t>
        </is>
      </c>
      <c r="F47" s="6" t="inlineStr">
        <is>
          <t>06/29/2026</t>
        </is>
      </c>
      <c r="G47" s="6" t="inlineStr">
        <is>
          <t>Optum Care Medical Network of Arizona, Utah, &amp; Washington (LifePrint)</t>
        </is>
      </c>
      <c r="H47" s="6" t="inlineStr">
        <is>
          <t>Optum Care Medical Network of Arizona, Utah, &amp; Washington (LifePrint)</t>
        </is>
      </c>
      <c r="I47" s="6" t="inlineStr">
        <is>
          <t>No Payer</t>
        </is>
      </c>
      <c r="J47" s="6" t="inlineStr">
        <is>
          <t>36247</t>
        </is>
      </c>
      <c r="K47" s="4" t="n"/>
      <c r="L47" s="5">
        <f>IF($M47="","",$M47-TODAY())</f>
        <v/>
      </c>
      <c r="M47" s="7" t="n">
        <v>46292</v>
      </c>
      <c r="N47" s="6" t="inlineStr">
        <is>
          <t>90 days</t>
        </is>
      </c>
      <c r="O47" s="6" t="inlineStr">
        <is>
          <t>OPTUM</t>
        </is>
      </c>
      <c r="P47" s="6" t="inlineStr">
        <is>
          <t>LT</t>
        </is>
      </c>
      <c r="Q47" s="6" t="n"/>
      <c r="R47" s="6" t="n"/>
      <c r="S47" s="5" t="n">
        <v>1</v>
      </c>
      <c r="T47" s="8" t="n">
        <v>9796.99</v>
      </c>
      <c r="U47" s="8" t="n">
        <v>0</v>
      </c>
      <c r="V47" s="8" t="n">
        <v>0</v>
      </c>
      <c r="W47" s="6" t="n"/>
      <c r="X47" s="8" t="n">
        <v>9796.99</v>
      </c>
      <c r="Y47" s="5" t="n">
        <v>40</v>
      </c>
      <c r="Z47" s="6" t="inlineStr">
        <is>
          <t>M722</t>
        </is>
      </c>
      <c r="AA47" s="6" t="n"/>
      <c r="AB47" s="6" t="n"/>
      <c r="AC47" s="6" t="n"/>
      <c r="AD47" s="5" t="n"/>
      <c r="AE47" s="6" t="inlineStr">
        <is>
          <t>KOMINSKY, STEPHEN</t>
        </is>
      </c>
      <c r="AF47" s="6" t="inlineStr">
        <is>
          <t>ASAP Surgery Centers North Valley LLC</t>
        </is>
      </c>
      <c r="AG47" s="6" t="inlineStr">
        <is>
          <t>07/22/2026</t>
        </is>
      </c>
      <c r="AH47" s="6" t="inlineStr">
        <is>
          <t>GAE</t>
        </is>
      </c>
      <c r="AI47" s="9" t="n"/>
      <c r="AJ47" s="5" t="n">
        <v>532</v>
      </c>
    </row>
    <row r="48">
      <c r="A48" s="2" t="n"/>
      <c r="B48" s="3" t="n"/>
      <c r="C48" s="4" t="n"/>
      <c r="D48" s="5" t="n">
        <v>565098609</v>
      </c>
      <c r="E48" s="6" t="inlineStr">
        <is>
          <t>HF498472279</t>
        </is>
      </c>
      <c r="F48" s="6" t="inlineStr">
        <is>
          <t>06/29/2026</t>
        </is>
      </c>
      <c r="G48" s="6" t="inlineStr">
        <is>
          <t>Humana Gold Plus HMO</t>
        </is>
      </c>
      <c r="H48" s="6" t="inlineStr">
        <is>
          <t>Humana Gold Plus HMO</t>
        </is>
      </c>
      <c r="I48" s="6" t="inlineStr">
        <is>
          <t>No Payer</t>
        </is>
      </c>
      <c r="J48" s="6" t="inlineStr">
        <is>
          <t>75774</t>
        </is>
      </c>
      <c r="K48" s="4" t="n"/>
      <c r="L48" s="5">
        <f>IF($M48="","",$M48-TODAY())</f>
        <v/>
      </c>
      <c r="M48" s="7" t="n">
        <v>46292</v>
      </c>
      <c r="N48" s="6" t="inlineStr">
        <is>
          <t>90 days</t>
        </is>
      </c>
      <c r="O48" s="6" t="inlineStr">
        <is>
          <t>HUMANA MA</t>
        </is>
      </c>
      <c r="P48" s="6" t="inlineStr">
        <is>
          <t>26</t>
        </is>
      </c>
      <c r="Q48" s="6" t="inlineStr">
        <is>
          <t>XU</t>
        </is>
      </c>
      <c r="R48" s="6" t="n"/>
      <c r="S48" s="5" t="n">
        <v>4</v>
      </c>
      <c r="T48" s="8" t="n">
        <v>2685.2</v>
      </c>
      <c r="U48" s="8" t="n">
        <v>0</v>
      </c>
      <c r="V48" s="8" t="n">
        <v>0</v>
      </c>
      <c r="W48" s="6" t="n"/>
      <c r="X48" s="8" t="n">
        <v>2685.2</v>
      </c>
      <c r="Y48" s="5" t="n">
        <v>40</v>
      </c>
      <c r="Z48" s="6" t="inlineStr">
        <is>
          <t>M1711</t>
        </is>
      </c>
      <c r="AA48" s="6" t="inlineStr">
        <is>
          <t>I798</t>
        </is>
      </c>
      <c r="AB48" s="6" t="inlineStr">
        <is>
          <t>M25561</t>
        </is>
      </c>
      <c r="AC48" s="6" t="n"/>
      <c r="AD48" s="5" t="n"/>
      <c r="AE48" s="6" t="inlineStr">
        <is>
          <t>HUNTER, DREW</t>
        </is>
      </c>
      <c r="AF48" s="6" t="inlineStr">
        <is>
          <t>Premier Endoscopy Center, LLC</t>
        </is>
      </c>
      <c r="AG48" s="6" t="inlineStr">
        <is>
          <t>07/13/2026</t>
        </is>
      </c>
      <c r="AH48" s="6" t="inlineStr">
        <is>
          <t>GAE</t>
        </is>
      </c>
      <c r="AI48" s="9" t="inlineStr">
        <is>
          <t>Shorter of the two Humana limits (90 days ancillary vs 180 days physician). Confirm the rendering provider's category - if they bill as a physician the real deadline is 90 days later.</t>
        </is>
      </c>
      <c r="AJ48" s="5" t="n">
        <v>622</v>
      </c>
    </row>
    <row r="49">
      <c r="A49" s="2" t="n"/>
      <c r="B49" s="3" t="n"/>
      <c r="C49" s="4" t="n"/>
      <c r="D49" s="5" t="n">
        <v>565098609</v>
      </c>
      <c r="E49" s="6" t="inlineStr">
        <is>
          <t>HF498472279</t>
        </is>
      </c>
      <c r="F49" s="6" t="inlineStr">
        <is>
          <t>06/29/2026</t>
        </is>
      </c>
      <c r="G49" s="6" t="inlineStr">
        <is>
          <t>Humana Gold Plus HMO</t>
        </is>
      </c>
      <c r="H49" s="6" t="inlineStr">
        <is>
          <t>Humana Gold Plus HMO</t>
        </is>
      </c>
      <c r="I49" s="6" t="inlineStr">
        <is>
          <t>No Payer</t>
        </is>
      </c>
      <c r="J49" s="6" t="inlineStr">
        <is>
          <t>36245</t>
        </is>
      </c>
      <c r="K49" s="4" t="n"/>
      <c r="L49" s="5">
        <f>IF($M49="","",$M49-TODAY())</f>
        <v/>
      </c>
      <c r="M49" s="7" t="n">
        <v>46292</v>
      </c>
      <c r="N49" s="6" t="inlineStr">
        <is>
          <t>90 days</t>
        </is>
      </c>
      <c r="O49" s="6" t="inlineStr">
        <is>
          <t>HUMANA MA</t>
        </is>
      </c>
      <c r="P49" s="6" t="inlineStr">
        <is>
          <t>59</t>
        </is>
      </c>
      <c r="Q49" s="6" t="n"/>
      <c r="R49" s="6" t="n"/>
      <c r="S49" s="5" t="n">
        <v>4</v>
      </c>
      <c r="T49" s="8" t="n">
        <v>34264.16</v>
      </c>
      <c r="U49" s="8" t="n">
        <v>0</v>
      </c>
      <c r="V49" s="8" t="n">
        <v>0</v>
      </c>
      <c r="W49" s="6" t="n"/>
      <c r="X49" s="8" t="n">
        <v>34264.16</v>
      </c>
      <c r="Y49" s="5" t="n">
        <v>40</v>
      </c>
      <c r="Z49" s="6" t="inlineStr">
        <is>
          <t>M1711</t>
        </is>
      </c>
      <c r="AA49" s="6" t="inlineStr">
        <is>
          <t>I798</t>
        </is>
      </c>
      <c r="AB49" s="6" t="inlineStr">
        <is>
          <t>M25561</t>
        </is>
      </c>
      <c r="AC49" s="6" t="n"/>
      <c r="AD49" s="5" t="n"/>
      <c r="AE49" s="6" t="inlineStr">
        <is>
          <t>HUNTER, DREW</t>
        </is>
      </c>
      <c r="AF49" s="6" t="inlineStr">
        <is>
          <t>Premier Endoscopy Center, LLC</t>
        </is>
      </c>
      <c r="AG49" s="6" t="inlineStr">
        <is>
          <t>07/13/2026</t>
        </is>
      </c>
      <c r="AH49" s="6" t="inlineStr">
        <is>
          <t>GAE</t>
        </is>
      </c>
      <c r="AI49" s="9" t="inlineStr">
        <is>
          <t>Shorter of the two Humana limits (90 days ancillary vs 180 days physician). Confirm the rendering provider's category - if they bill as a physician the real deadline is 90 days later.</t>
        </is>
      </c>
      <c r="AJ49" s="5" t="n">
        <v>623</v>
      </c>
    </row>
    <row r="50">
      <c r="A50" s="2" t="n"/>
      <c r="B50" s="3" t="n"/>
      <c r="C50" s="4" t="n"/>
      <c r="D50" s="5" t="n">
        <v>565098609</v>
      </c>
      <c r="E50" s="6" t="inlineStr">
        <is>
          <t>HF498472279</t>
        </is>
      </c>
      <c r="F50" s="6" t="inlineStr">
        <is>
          <t>06/29/2026</t>
        </is>
      </c>
      <c r="G50" s="6" t="inlineStr">
        <is>
          <t>Humana Gold Plus HMO</t>
        </is>
      </c>
      <c r="H50" s="6" t="inlineStr">
        <is>
          <t>Humana Gold Plus HMO</t>
        </is>
      </c>
      <c r="I50" s="6" t="inlineStr">
        <is>
          <t>No Payer</t>
        </is>
      </c>
      <c r="J50" s="6" t="inlineStr">
        <is>
          <t>37242</t>
        </is>
      </c>
      <c r="K50" s="4" t="n"/>
      <c r="L50" s="5">
        <f>IF($M50="","",$M50-TODAY())</f>
        <v/>
      </c>
      <c r="M50" s="7" t="n">
        <v>46292</v>
      </c>
      <c r="N50" s="6" t="inlineStr">
        <is>
          <t>90 days</t>
        </is>
      </c>
      <c r="O50" s="6" t="inlineStr">
        <is>
          <t>HUMANA MA</t>
        </is>
      </c>
      <c r="P50" s="6" t="n"/>
      <c r="Q50" s="6" t="n"/>
      <c r="R50" s="6" t="n"/>
      <c r="S50" s="5" t="n">
        <v>1</v>
      </c>
      <c r="T50" s="8" t="n">
        <v>49162.82</v>
      </c>
      <c r="U50" s="8" t="n">
        <v>0</v>
      </c>
      <c r="V50" s="8" t="n">
        <v>0</v>
      </c>
      <c r="W50" s="6" t="n"/>
      <c r="X50" s="8" t="n">
        <v>49162.82</v>
      </c>
      <c r="Y50" s="5" t="n">
        <v>40</v>
      </c>
      <c r="Z50" s="6" t="inlineStr">
        <is>
          <t>M1711</t>
        </is>
      </c>
      <c r="AA50" s="6" t="inlineStr">
        <is>
          <t>I798</t>
        </is>
      </c>
      <c r="AB50" s="6" t="inlineStr">
        <is>
          <t>M25561</t>
        </is>
      </c>
      <c r="AC50" s="6" t="n"/>
      <c r="AD50" s="5" t="n"/>
      <c r="AE50" s="6" t="inlineStr">
        <is>
          <t>HUNTER, DREW</t>
        </is>
      </c>
      <c r="AF50" s="6" t="inlineStr">
        <is>
          <t>Premier Endoscopy Center, LLC</t>
        </is>
      </c>
      <c r="AG50" s="6" t="inlineStr">
        <is>
          <t>07/13/2026</t>
        </is>
      </c>
      <c r="AH50" s="6" t="inlineStr">
        <is>
          <t>GAE</t>
        </is>
      </c>
      <c r="AI50" s="9" t="inlineStr">
        <is>
          <t>Shorter of the two Humana limits (90 days ancillary vs 180 days physician). Confirm the rendering provider's category - if they bill as a physician the real deadline is 90 days later.</t>
        </is>
      </c>
      <c r="AJ50" s="5" t="n">
        <v>624</v>
      </c>
    </row>
    <row r="51">
      <c r="A51" s="2" t="n"/>
      <c r="B51" s="3" t="n"/>
      <c r="C51" s="4" t="n"/>
      <c r="D51" s="5" t="n">
        <v>565098609</v>
      </c>
      <c r="E51" s="6" t="inlineStr">
        <is>
          <t>HF498472279</t>
        </is>
      </c>
      <c r="F51" s="6" t="inlineStr">
        <is>
          <t>06/29/2026</t>
        </is>
      </c>
      <c r="G51" s="6" t="inlineStr">
        <is>
          <t>Humana Gold Plus HMO</t>
        </is>
      </c>
      <c r="H51" s="6" t="inlineStr">
        <is>
          <t>Humana Gold Plus HMO</t>
        </is>
      </c>
      <c r="I51" s="6" t="inlineStr">
        <is>
          <t>No Payer</t>
        </is>
      </c>
      <c r="J51" s="6" t="inlineStr">
        <is>
          <t>75710</t>
        </is>
      </c>
      <c r="K51" s="4" t="n"/>
      <c r="L51" s="5">
        <f>IF($M51="","",$M51-TODAY())</f>
        <v/>
      </c>
      <c r="M51" s="7" t="n">
        <v>46292</v>
      </c>
      <c r="N51" s="6" t="inlineStr">
        <is>
          <t>90 days</t>
        </is>
      </c>
      <c r="O51" s="6" t="inlineStr">
        <is>
          <t>HUMANA MA</t>
        </is>
      </c>
      <c r="P51" s="6" t="inlineStr">
        <is>
          <t>26</t>
        </is>
      </c>
      <c r="Q51" s="6" t="inlineStr">
        <is>
          <t>XU</t>
        </is>
      </c>
      <c r="R51" s="6" t="inlineStr">
        <is>
          <t>RT</t>
        </is>
      </c>
      <c r="S51" s="5" t="n">
        <v>1</v>
      </c>
      <c r="T51" s="8" t="n">
        <v>1037.19</v>
      </c>
      <c r="U51" s="8" t="n">
        <v>0</v>
      </c>
      <c r="V51" s="8" t="n">
        <v>0</v>
      </c>
      <c r="W51" s="6" t="n"/>
      <c r="X51" s="8" t="n">
        <v>1037.19</v>
      </c>
      <c r="Y51" s="5" t="n">
        <v>40</v>
      </c>
      <c r="Z51" s="6" t="inlineStr">
        <is>
          <t>M1711</t>
        </is>
      </c>
      <c r="AA51" s="6" t="inlineStr">
        <is>
          <t>I798</t>
        </is>
      </c>
      <c r="AB51" s="6" t="inlineStr">
        <is>
          <t>M25561</t>
        </is>
      </c>
      <c r="AC51" s="6" t="n"/>
      <c r="AD51" s="5" t="n"/>
      <c r="AE51" s="6" t="inlineStr">
        <is>
          <t>HUNTER, DREW</t>
        </is>
      </c>
      <c r="AF51" s="6" t="inlineStr">
        <is>
          <t>Premier Endoscopy Center, LLC</t>
        </is>
      </c>
      <c r="AG51" s="6" t="inlineStr">
        <is>
          <t>07/13/2026</t>
        </is>
      </c>
      <c r="AH51" s="6" t="inlineStr">
        <is>
          <t>GAE</t>
        </is>
      </c>
      <c r="AI51" s="9" t="inlineStr">
        <is>
          <t>Shorter of the two Humana limits (90 days ancillary vs 180 days physician). Confirm the rendering provider's category - if they bill as a physician the real deadline is 90 days later.</t>
        </is>
      </c>
      <c r="AJ51" s="5" t="n">
        <v>625</v>
      </c>
    </row>
    <row r="52">
      <c r="A52" s="2" t="n"/>
      <c r="B52" s="3" t="n"/>
      <c r="C52" s="4" t="n"/>
      <c r="D52" s="5" t="n">
        <v>565098609</v>
      </c>
      <c r="E52" s="6" t="inlineStr">
        <is>
          <t>HF498472279</t>
        </is>
      </c>
      <c r="F52" s="6" t="inlineStr">
        <is>
          <t>06/29/2026</t>
        </is>
      </c>
      <c r="G52" s="6" t="inlineStr">
        <is>
          <t>Humana Gold Plus HMO</t>
        </is>
      </c>
      <c r="H52" s="6" t="inlineStr">
        <is>
          <t>Humana Gold Plus HMO</t>
        </is>
      </c>
      <c r="I52" s="6" t="inlineStr">
        <is>
          <t>No Payer</t>
        </is>
      </c>
      <c r="J52" s="6" t="inlineStr">
        <is>
          <t>76937</t>
        </is>
      </c>
      <c r="K52" s="4" t="n"/>
      <c r="L52" s="5">
        <f>IF($M52="","",$M52-TODAY())</f>
        <v/>
      </c>
      <c r="M52" s="7" t="n">
        <v>46292</v>
      </c>
      <c r="N52" s="6" t="inlineStr">
        <is>
          <t>90 days</t>
        </is>
      </c>
      <c r="O52" s="6" t="inlineStr">
        <is>
          <t>HUMANA MA</t>
        </is>
      </c>
      <c r="P52" s="6" t="inlineStr">
        <is>
          <t>26</t>
        </is>
      </c>
      <c r="Q52" s="6" t="n"/>
      <c r="R52" s="6" t="n"/>
      <c r="S52" s="5" t="n">
        <v>1</v>
      </c>
      <c r="T52" s="8" t="n">
        <v>271.18</v>
      </c>
      <c r="U52" s="8" t="n">
        <v>0</v>
      </c>
      <c r="V52" s="8" t="n">
        <v>0</v>
      </c>
      <c r="W52" s="6" t="n"/>
      <c r="X52" s="8" t="n">
        <v>271.18</v>
      </c>
      <c r="Y52" s="5" t="n">
        <v>40</v>
      </c>
      <c r="Z52" s="6" t="inlineStr">
        <is>
          <t>M1711</t>
        </is>
      </c>
      <c r="AA52" s="6" t="inlineStr">
        <is>
          <t>I798</t>
        </is>
      </c>
      <c r="AB52" s="6" t="inlineStr">
        <is>
          <t>M25561</t>
        </is>
      </c>
      <c r="AC52" s="6" t="n"/>
      <c r="AD52" s="5" t="n"/>
      <c r="AE52" s="6" t="inlineStr">
        <is>
          <t>HUNTER, DREW</t>
        </is>
      </c>
      <c r="AF52" s="6" t="inlineStr">
        <is>
          <t>Premier Endoscopy Center, LLC</t>
        </is>
      </c>
      <c r="AG52" s="6" t="inlineStr">
        <is>
          <t>07/13/2026</t>
        </is>
      </c>
      <c r="AH52" s="6" t="inlineStr">
        <is>
          <t>GAE</t>
        </is>
      </c>
      <c r="AI52" s="9" t="inlineStr">
        <is>
          <t>Shorter of the two Humana limits (90 days ancillary vs 180 days physician). Confirm the rendering provider's category - if they bill as a physician the real deadline is 90 days later.</t>
        </is>
      </c>
      <c r="AJ52" s="5" t="n">
        <v>626</v>
      </c>
    </row>
    <row r="53">
      <c r="A53" s="2" t="n"/>
      <c r="B53" s="3" t="n"/>
      <c r="C53" s="4" t="n"/>
      <c r="D53" s="5" t="n">
        <v>566323683</v>
      </c>
      <c r="E53" s="6" t="inlineStr">
        <is>
          <t>HF559271684</t>
        </is>
      </c>
      <c r="F53" s="6" t="inlineStr">
        <is>
          <t>06/29/2026</t>
        </is>
      </c>
      <c r="G53" s="6" t="inlineStr">
        <is>
          <t>Blue Cross Blue Shield of Arizona (BCBS AZ)</t>
        </is>
      </c>
      <c r="H53" s="6" t="inlineStr">
        <is>
          <t>Blue Cross Blue Shield of Arizona (BCBS AZ)</t>
        </is>
      </c>
      <c r="I53" s="6" t="inlineStr">
        <is>
          <t>No Payer</t>
        </is>
      </c>
      <c r="J53" s="6" t="inlineStr">
        <is>
          <t>37242</t>
        </is>
      </c>
      <c r="K53" s="4" t="n"/>
      <c r="L53" s="5">
        <f>IF($M53="","",$M53-TODAY())</f>
        <v/>
      </c>
      <c r="M53" s="7" t="n">
        <v>46292</v>
      </c>
      <c r="N53" s="6" t="inlineStr">
        <is>
          <t>90 days</t>
        </is>
      </c>
      <c r="O53" s="6" t="inlineStr">
        <is>
          <t>BCBS</t>
        </is>
      </c>
      <c r="P53" s="6" t="inlineStr">
        <is>
          <t>LT</t>
        </is>
      </c>
      <c r="Q53" s="6" t="n"/>
      <c r="R53" s="6" t="n"/>
      <c r="S53" s="5" t="n">
        <v>1</v>
      </c>
      <c r="T53" s="8" t="n">
        <v>49162.82</v>
      </c>
      <c r="U53" s="8" t="n">
        <v>0</v>
      </c>
      <c r="V53" s="8" t="n">
        <v>0</v>
      </c>
      <c r="W53" s="6" t="n"/>
      <c r="X53" s="8" t="n">
        <v>49162.82</v>
      </c>
      <c r="Y53" s="5" t="n">
        <v>40</v>
      </c>
      <c r="Z53" s="6" t="inlineStr">
        <is>
          <t>M722</t>
        </is>
      </c>
      <c r="AA53" s="6" t="n"/>
      <c r="AB53" s="6" t="n"/>
      <c r="AC53" s="6" t="n"/>
      <c r="AD53" s="5" t="n"/>
      <c r="AE53" s="6" t="inlineStr">
        <is>
          <t>BURGHER, ABRAM</t>
        </is>
      </c>
      <c r="AF53" s="6" t="inlineStr">
        <is>
          <t>ASAP Surgery Centers North Valley LLC</t>
        </is>
      </c>
      <c r="AG53" s="6" t="inlineStr">
        <is>
          <t>07/22/2026</t>
        </is>
      </c>
      <c r="AH53" s="6" t="inlineStr">
        <is>
          <t>GAE</t>
        </is>
      </c>
      <c r="AI53" s="9" t="inlineStr">
        <is>
          <t>BCBS AZ dropped from 365 to 90 days on 01/01/2026. All dates of service here are 2026, so 90 days applies.</t>
        </is>
      </c>
      <c r="AJ53" s="5" t="n">
        <v>375</v>
      </c>
    </row>
    <row r="54">
      <c r="A54" s="2" t="n"/>
      <c r="B54" s="3" t="n"/>
      <c r="C54" s="4" t="n"/>
      <c r="D54" s="5" t="n">
        <v>566323683</v>
      </c>
      <c r="E54" s="6" t="inlineStr">
        <is>
          <t>HF559271684</t>
        </is>
      </c>
      <c r="F54" s="6" t="inlineStr">
        <is>
          <t>06/29/2026</t>
        </is>
      </c>
      <c r="G54" s="6" t="inlineStr">
        <is>
          <t>Blue Cross Blue Shield of Arizona (BCBS AZ)</t>
        </is>
      </c>
      <c r="H54" s="6" t="inlineStr">
        <is>
          <t>Blue Cross Blue Shield of Arizona (BCBS AZ)</t>
        </is>
      </c>
      <c r="I54" s="6" t="inlineStr">
        <is>
          <t>No Payer</t>
        </is>
      </c>
      <c r="J54" s="6" t="inlineStr">
        <is>
          <t>76937</t>
        </is>
      </c>
      <c r="K54" s="4" t="n"/>
      <c r="L54" s="5">
        <f>IF($M54="","",$M54-TODAY())</f>
        <v/>
      </c>
      <c r="M54" s="7" t="n">
        <v>46292</v>
      </c>
      <c r="N54" s="6" t="inlineStr">
        <is>
          <t>90 days</t>
        </is>
      </c>
      <c r="O54" s="6" t="inlineStr">
        <is>
          <t>BCBS</t>
        </is>
      </c>
      <c r="P54" s="6" t="n"/>
      <c r="Q54" s="6" t="n"/>
      <c r="R54" s="6" t="n"/>
      <c r="S54" s="5" t="n">
        <v>1</v>
      </c>
      <c r="T54" s="8" t="n">
        <v>271.18</v>
      </c>
      <c r="U54" s="8" t="n">
        <v>0</v>
      </c>
      <c r="V54" s="8" t="n">
        <v>0</v>
      </c>
      <c r="W54" s="6" t="n"/>
      <c r="X54" s="8" t="n">
        <v>271.18</v>
      </c>
      <c r="Y54" s="5" t="n">
        <v>40</v>
      </c>
      <c r="Z54" s="6" t="inlineStr">
        <is>
          <t>M722</t>
        </is>
      </c>
      <c r="AA54" s="6" t="n"/>
      <c r="AB54" s="6" t="n"/>
      <c r="AC54" s="6" t="n"/>
      <c r="AD54" s="5" t="n"/>
      <c r="AE54" s="6" t="inlineStr">
        <is>
          <t>BURGHER, ABRAM</t>
        </is>
      </c>
      <c r="AF54" s="6" t="inlineStr">
        <is>
          <t>ASAP Surgery Centers North Valley LLC</t>
        </is>
      </c>
      <c r="AG54" s="6" t="inlineStr">
        <is>
          <t>07/22/2026</t>
        </is>
      </c>
      <c r="AH54" s="6" t="inlineStr">
        <is>
          <t>GAE</t>
        </is>
      </c>
      <c r="AI54" s="9" t="inlineStr">
        <is>
          <t>BCBS AZ dropped from 365 to 90 days on 01/01/2026. All dates of service here are 2026, so 90 days applies.</t>
        </is>
      </c>
      <c r="AJ54" s="5" t="n">
        <v>376</v>
      </c>
    </row>
    <row r="55">
      <c r="A55" s="2" t="n"/>
      <c r="B55" s="3" t="n"/>
      <c r="C55" s="4" t="n"/>
      <c r="D55" s="5" t="n">
        <v>566323683</v>
      </c>
      <c r="E55" s="6" t="inlineStr">
        <is>
          <t>HF559271684</t>
        </is>
      </c>
      <c r="F55" s="6" t="inlineStr">
        <is>
          <t>06/29/2026</t>
        </is>
      </c>
      <c r="G55" s="6" t="inlineStr">
        <is>
          <t>Blue Cross Blue Shield of Arizona (BCBS AZ)</t>
        </is>
      </c>
      <c r="H55" s="6" t="inlineStr">
        <is>
          <t>Blue Cross Blue Shield of Arizona (BCBS AZ)</t>
        </is>
      </c>
      <c r="I55" s="6" t="inlineStr">
        <is>
          <t>No Payer</t>
        </is>
      </c>
      <c r="J55" s="6" t="inlineStr">
        <is>
          <t>36247</t>
        </is>
      </c>
      <c r="K55" s="4" t="n"/>
      <c r="L55" s="5">
        <f>IF($M55="","",$M55-TODAY())</f>
        <v/>
      </c>
      <c r="M55" s="7" t="n">
        <v>46292</v>
      </c>
      <c r="N55" s="6" t="inlineStr">
        <is>
          <t>90 days</t>
        </is>
      </c>
      <c r="O55" s="6" t="inlineStr">
        <is>
          <t>BCBS</t>
        </is>
      </c>
      <c r="P55" s="6" t="inlineStr">
        <is>
          <t>LT</t>
        </is>
      </c>
      <c r="Q55" s="6" t="n"/>
      <c r="R55" s="6" t="n"/>
      <c r="S55" s="5" t="n">
        <v>1</v>
      </c>
      <c r="T55" s="8" t="n">
        <v>9796.99</v>
      </c>
      <c r="U55" s="8" t="n">
        <v>0</v>
      </c>
      <c r="V55" s="8" t="n">
        <v>0</v>
      </c>
      <c r="W55" s="6" t="n"/>
      <c r="X55" s="8" t="n">
        <v>9796.99</v>
      </c>
      <c r="Y55" s="5" t="n">
        <v>40</v>
      </c>
      <c r="Z55" s="6" t="inlineStr">
        <is>
          <t>M722</t>
        </is>
      </c>
      <c r="AA55" s="6" t="n"/>
      <c r="AB55" s="6" t="n"/>
      <c r="AC55" s="6" t="n"/>
      <c r="AD55" s="5" t="n"/>
      <c r="AE55" s="6" t="inlineStr">
        <is>
          <t>BURGHER, ABRAM</t>
        </is>
      </c>
      <c r="AF55" s="6" t="inlineStr">
        <is>
          <t>ASAP Surgery Centers North Valley LLC</t>
        </is>
      </c>
      <c r="AG55" s="6" t="inlineStr">
        <is>
          <t>07/22/2026</t>
        </is>
      </c>
      <c r="AH55" s="6" t="inlineStr">
        <is>
          <t>GAE</t>
        </is>
      </c>
      <c r="AI55" s="9" t="inlineStr">
        <is>
          <t>BCBS AZ dropped from 365 to 90 days on 01/01/2026. All dates of service here are 2026, so 90 days applies.</t>
        </is>
      </c>
      <c r="AJ55" s="5" t="n">
        <v>377</v>
      </c>
    </row>
    <row r="56">
      <c r="A56" s="2" t="n"/>
      <c r="B56" s="3" t="n"/>
      <c r="C56" s="4" t="n"/>
      <c r="D56" s="5" t="n">
        <v>566323995</v>
      </c>
      <c r="E56" s="6" t="inlineStr">
        <is>
          <t>HF540421253</t>
        </is>
      </c>
      <c r="F56" s="6" t="inlineStr">
        <is>
          <t>06/29/2026</t>
        </is>
      </c>
      <c r="G56" s="6" t="inlineStr">
        <is>
          <t>UnitedHealthcare Community Plan / Arizona Long Term Care</t>
        </is>
      </c>
      <c r="H56" s="6" t="inlineStr">
        <is>
          <t>UnitedHealthcare Community Plan / Arizona Long Term Care</t>
        </is>
      </c>
      <c r="I56" s="6" t="inlineStr">
        <is>
          <t>No Payer</t>
        </is>
      </c>
      <c r="J56" s="6" t="inlineStr">
        <is>
          <t>76937</t>
        </is>
      </c>
      <c r="K56" s="4" t="n"/>
      <c r="L56" s="5">
        <f>IF($M56="","",$M56-TODAY())</f>
        <v/>
      </c>
      <c r="M56" s="7" t="n">
        <v>46292</v>
      </c>
      <c r="N56" s="6" t="inlineStr">
        <is>
          <t>90 days</t>
        </is>
      </c>
      <c r="O56" s="6" t="inlineStr">
        <is>
          <t>UHC COMMUNITY</t>
        </is>
      </c>
      <c r="P56" s="6" t="n"/>
      <c r="Q56" s="6" t="n"/>
      <c r="R56" s="6" t="n"/>
      <c r="S56" s="5" t="n">
        <v>1</v>
      </c>
      <c r="T56" s="8" t="n">
        <v>271.18</v>
      </c>
      <c r="U56" s="8" t="n">
        <v>0</v>
      </c>
      <c r="V56" s="8" t="n">
        <v>0</v>
      </c>
      <c r="W56" s="6" t="n"/>
      <c r="X56" s="8" t="n">
        <v>271.18</v>
      </c>
      <c r="Y56" s="5" t="n">
        <v>40</v>
      </c>
      <c r="Z56" s="6" t="inlineStr">
        <is>
          <t>M722</t>
        </is>
      </c>
      <c r="AA56" s="6" t="n"/>
      <c r="AB56" s="6" t="n"/>
      <c r="AC56" s="6" t="n"/>
      <c r="AD56" s="5" t="n"/>
      <c r="AE56" s="6" t="inlineStr">
        <is>
          <t>KOMINSKY, STEPHEN</t>
        </is>
      </c>
      <c r="AF56" s="6" t="inlineStr">
        <is>
          <t>ASAP Surgery Centers North Valley LLC</t>
        </is>
      </c>
      <c r="AG56" s="6" t="inlineStr">
        <is>
          <t>07/22/2026</t>
        </is>
      </c>
      <c r="AH56" s="6" t="inlineStr">
        <is>
          <t>GAE</t>
        </is>
      </c>
      <c r="AI56" s="9" t="n"/>
      <c r="AJ56" s="5" t="n">
        <v>985</v>
      </c>
    </row>
    <row r="57">
      <c r="A57" s="2" t="n"/>
      <c r="B57" s="3" t="n"/>
      <c r="C57" s="4" t="n"/>
      <c r="D57" s="5" t="n">
        <v>566323995</v>
      </c>
      <c r="E57" s="6" t="inlineStr">
        <is>
          <t>HF540421253</t>
        </is>
      </c>
      <c r="F57" s="6" t="inlineStr">
        <is>
          <t>06/29/2026</t>
        </is>
      </c>
      <c r="G57" s="6" t="inlineStr">
        <is>
          <t>UnitedHealthcare Community Plan / Arizona Long Term Care</t>
        </is>
      </c>
      <c r="H57" s="6" t="inlineStr">
        <is>
          <t>UnitedHealthcare Community Plan / Arizona Long Term Care</t>
        </is>
      </c>
      <c r="I57" s="6" t="inlineStr">
        <is>
          <t>No Payer</t>
        </is>
      </c>
      <c r="J57" s="6" t="inlineStr">
        <is>
          <t>37242</t>
        </is>
      </c>
      <c r="K57" s="4" t="n"/>
      <c r="L57" s="5">
        <f>IF($M57="","",$M57-TODAY())</f>
        <v/>
      </c>
      <c r="M57" s="7" t="n">
        <v>46292</v>
      </c>
      <c r="N57" s="6" t="inlineStr">
        <is>
          <t>90 days</t>
        </is>
      </c>
      <c r="O57" s="6" t="inlineStr">
        <is>
          <t>UHC COMMUNITY</t>
        </is>
      </c>
      <c r="P57" s="6" t="inlineStr">
        <is>
          <t>LT</t>
        </is>
      </c>
      <c r="Q57" s="6" t="n"/>
      <c r="R57" s="6" t="n"/>
      <c r="S57" s="5" t="n">
        <v>1</v>
      </c>
      <c r="T57" s="8" t="n">
        <v>49162.82</v>
      </c>
      <c r="U57" s="8" t="n">
        <v>0</v>
      </c>
      <c r="V57" s="8" t="n">
        <v>0</v>
      </c>
      <c r="W57" s="6" t="n"/>
      <c r="X57" s="8" t="n">
        <v>49162.82</v>
      </c>
      <c r="Y57" s="5" t="n">
        <v>40</v>
      </c>
      <c r="Z57" s="6" t="inlineStr">
        <is>
          <t>M722</t>
        </is>
      </c>
      <c r="AA57" s="6" t="n"/>
      <c r="AB57" s="6" t="n"/>
      <c r="AC57" s="6" t="n"/>
      <c r="AD57" s="5" t="n"/>
      <c r="AE57" s="6" t="inlineStr">
        <is>
          <t>KOMINSKY, STEPHEN</t>
        </is>
      </c>
      <c r="AF57" s="6" t="inlineStr">
        <is>
          <t>ASAP Surgery Centers North Valley LLC</t>
        </is>
      </c>
      <c r="AG57" s="6" t="inlineStr">
        <is>
          <t>07/22/2026</t>
        </is>
      </c>
      <c r="AH57" s="6" t="inlineStr">
        <is>
          <t>GAE</t>
        </is>
      </c>
      <c r="AI57" s="9" t="n"/>
      <c r="AJ57" s="5" t="n">
        <v>986</v>
      </c>
    </row>
    <row r="58">
      <c r="A58" s="2" t="n"/>
      <c r="B58" s="3" t="n"/>
      <c r="C58" s="4" t="n"/>
      <c r="D58" s="5" t="n">
        <v>566323995</v>
      </c>
      <c r="E58" s="6" t="inlineStr">
        <is>
          <t>HF540421253</t>
        </is>
      </c>
      <c r="F58" s="6" t="inlineStr">
        <is>
          <t>06/29/2026</t>
        </is>
      </c>
      <c r="G58" s="6" t="inlineStr">
        <is>
          <t>UnitedHealthcare Community Plan / Arizona Long Term Care</t>
        </is>
      </c>
      <c r="H58" s="6" t="inlineStr">
        <is>
          <t>UnitedHealthcare Community Plan / Arizona Long Term Care</t>
        </is>
      </c>
      <c r="I58" s="6" t="inlineStr">
        <is>
          <t>No Payer</t>
        </is>
      </c>
      <c r="J58" s="6" t="inlineStr">
        <is>
          <t>36247</t>
        </is>
      </c>
      <c r="K58" s="4" t="n"/>
      <c r="L58" s="5">
        <f>IF($M58="","",$M58-TODAY())</f>
        <v/>
      </c>
      <c r="M58" s="7" t="n">
        <v>46292</v>
      </c>
      <c r="N58" s="6" t="inlineStr">
        <is>
          <t>90 days</t>
        </is>
      </c>
      <c r="O58" s="6" t="inlineStr">
        <is>
          <t>UHC COMMUNITY</t>
        </is>
      </c>
      <c r="P58" s="6" t="inlineStr">
        <is>
          <t>LT</t>
        </is>
      </c>
      <c r="Q58" s="6" t="n"/>
      <c r="R58" s="6" t="n"/>
      <c r="S58" s="5" t="n">
        <v>1</v>
      </c>
      <c r="T58" s="8" t="n">
        <v>9796.99</v>
      </c>
      <c r="U58" s="8" t="n">
        <v>0</v>
      </c>
      <c r="V58" s="8" t="n">
        <v>0</v>
      </c>
      <c r="W58" s="6" t="n"/>
      <c r="X58" s="8" t="n">
        <v>9796.99</v>
      </c>
      <c r="Y58" s="5" t="n">
        <v>40</v>
      </c>
      <c r="Z58" s="6" t="inlineStr">
        <is>
          <t>M722</t>
        </is>
      </c>
      <c r="AA58" s="6" t="n"/>
      <c r="AB58" s="6" t="n"/>
      <c r="AC58" s="6" t="n"/>
      <c r="AD58" s="5" t="n"/>
      <c r="AE58" s="6" t="inlineStr">
        <is>
          <t>KOMINSKY, STEPHEN</t>
        </is>
      </c>
      <c r="AF58" s="6" t="inlineStr">
        <is>
          <t>ASAP Surgery Centers North Valley LLC</t>
        </is>
      </c>
      <c r="AG58" s="6" t="inlineStr">
        <is>
          <t>07/22/2026</t>
        </is>
      </c>
      <c r="AH58" s="6" t="inlineStr">
        <is>
          <t>GAE</t>
        </is>
      </c>
      <c r="AI58" s="9" t="n"/>
      <c r="AJ58" s="5" t="n">
        <v>987</v>
      </c>
    </row>
    <row r="59">
      <c r="A59" s="2" t="n"/>
      <c r="B59" s="3" t="n"/>
      <c r="C59" s="4" t="n"/>
      <c r="D59" s="5" t="n">
        <v>565101339</v>
      </c>
      <c r="E59" s="6" t="inlineStr">
        <is>
          <t>HF524772530</t>
        </is>
      </c>
      <c r="F59" s="6" t="inlineStr">
        <is>
          <t>06/08/2026</t>
        </is>
      </c>
      <c r="G59" s="6" t="inlineStr">
        <is>
          <t>Aetna Legacy</t>
        </is>
      </c>
      <c r="H59" s="6" t="inlineStr">
        <is>
          <t>Aetna Legacy</t>
        </is>
      </c>
      <c r="I59" s="6" t="inlineStr">
        <is>
          <t>No Payer</t>
        </is>
      </c>
      <c r="J59" s="6" t="inlineStr">
        <is>
          <t>36245</t>
        </is>
      </c>
      <c r="K59" s="4" t="n"/>
      <c r="L59" s="5">
        <f>IF($M59="","",$M59-TODAY())</f>
        <v/>
      </c>
      <c r="M59" s="7" t="n">
        <v>46301</v>
      </c>
      <c r="N59" s="6" t="inlineStr">
        <is>
          <t>120 days</t>
        </is>
      </c>
      <c r="O59" s="6" t="inlineStr">
        <is>
          <t>AETNA</t>
        </is>
      </c>
      <c r="P59" s="6" t="inlineStr">
        <is>
          <t>59</t>
        </is>
      </c>
      <c r="Q59" s="6" t="n"/>
      <c r="R59" s="6" t="n"/>
      <c r="S59" s="5" t="n">
        <v>1</v>
      </c>
      <c r="T59" s="8" t="n">
        <v>8566.040000000001</v>
      </c>
      <c r="U59" s="8" t="n">
        <v>0</v>
      </c>
      <c r="V59" s="8" t="n">
        <v>0</v>
      </c>
      <c r="W59" s="6" t="n"/>
      <c r="X59" s="8" t="n">
        <v>8566.040000000001</v>
      </c>
      <c r="Y59" s="5" t="n">
        <v>61</v>
      </c>
      <c r="Z59" s="6" t="inlineStr">
        <is>
          <t>M1711</t>
        </is>
      </c>
      <c r="AA59" s="6" t="inlineStr">
        <is>
          <t>I798</t>
        </is>
      </c>
      <c r="AB59" s="6" t="inlineStr">
        <is>
          <t>M25561</t>
        </is>
      </c>
      <c r="AC59" s="6" t="n"/>
      <c r="AD59" s="5" t="n"/>
      <c r="AE59" s="6" t="inlineStr">
        <is>
          <t>HUNTER, DREW</t>
        </is>
      </c>
      <c r="AF59" s="6" t="inlineStr">
        <is>
          <t>ASAP Surgery Centers North Valley LLC</t>
        </is>
      </c>
      <c r="AG59" s="6" t="inlineStr">
        <is>
          <t>07/13/2026</t>
        </is>
      </c>
      <c r="AH59" s="6" t="inlineStr">
        <is>
          <t>GAE</t>
        </is>
      </c>
      <c r="AI59" s="9" t="inlineStr">
        <is>
          <t>120 days is per our contract rather than a published Aetna policy.</t>
        </is>
      </c>
      <c r="AJ59" s="5" t="n">
        <v>246</v>
      </c>
    </row>
    <row r="60">
      <c r="A60" s="2" t="n"/>
      <c r="B60" s="3" t="n"/>
      <c r="C60" s="4" t="n"/>
      <c r="D60" s="5" t="n">
        <v>565101339</v>
      </c>
      <c r="E60" s="6" t="inlineStr">
        <is>
          <t>HF524772530</t>
        </is>
      </c>
      <c r="F60" s="6" t="inlineStr">
        <is>
          <t>06/08/2026</t>
        </is>
      </c>
      <c r="G60" s="6" t="inlineStr">
        <is>
          <t>Aetna Legacy</t>
        </is>
      </c>
      <c r="H60" s="6" t="inlineStr">
        <is>
          <t>Aetna Legacy</t>
        </is>
      </c>
      <c r="I60" s="6" t="inlineStr">
        <is>
          <t>No Payer</t>
        </is>
      </c>
      <c r="J60" s="6" t="inlineStr">
        <is>
          <t>37242</t>
        </is>
      </c>
      <c r="K60" s="4" t="n"/>
      <c r="L60" s="5">
        <f>IF($M60="","",$M60-TODAY())</f>
        <v/>
      </c>
      <c r="M60" s="7" t="n">
        <v>46301</v>
      </c>
      <c r="N60" s="6" t="inlineStr">
        <is>
          <t>120 days</t>
        </is>
      </c>
      <c r="O60" s="6" t="inlineStr">
        <is>
          <t>AETNA</t>
        </is>
      </c>
      <c r="P60" s="6" t="n"/>
      <c r="Q60" s="6" t="n"/>
      <c r="R60" s="6" t="n"/>
      <c r="S60" s="5" t="n">
        <v>1</v>
      </c>
      <c r="T60" s="8" t="n">
        <v>49162.82</v>
      </c>
      <c r="U60" s="8" t="n">
        <v>0</v>
      </c>
      <c r="V60" s="8" t="n">
        <v>0</v>
      </c>
      <c r="W60" s="6" t="n"/>
      <c r="X60" s="8" t="n">
        <v>49162.82</v>
      </c>
      <c r="Y60" s="5" t="n">
        <v>61</v>
      </c>
      <c r="Z60" s="6" t="inlineStr">
        <is>
          <t>M1711</t>
        </is>
      </c>
      <c r="AA60" s="6" t="inlineStr">
        <is>
          <t>I798</t>
        </is>
      </c>
      <c r="AB60" s="6" t="inlineStr">
        <is>
          <t>M25561</t>
        </is>
      </c>
      <c r="AC60" s="6" t="n"/>
      <c r="AD60" s="5" t="n"/>
      <c r="AE60" s="6" t="inlineStr">
        <is>
          <t>HUNTER, DREW</t>
        </is>
      </c>
      <c r="AF60" s="6" t="inlineStr">
        <is>
          <t>ASAP Surgery Centers North Valley LLC</t>
        </is>
      </c>
      <c r="AG60" s="6" t="inlineStr">
        <is>
          <t>07/13/2026</t>
        </is>
      </c>
      <c r="AH60" s="6" t="inlineStr">
        <is>
          <t>GAE</t>
        </is>
      </c>
      <c r="AI60" s="9" t="inlineStr">
        <is>
          <t>120 days is per our contract rather than a published Aetna policy.</t>
        </is>
      </c>
      <c r="AJ60" s="5" t="n">
        <v>247</v>
      </c>
    </row>
    <row r="61">
      <c r="A61" s="2" t="n"/>
      <c r="B61" s="3" t="n"/>
      <c r="C61" s="4" t="n"/>
      <c r="D61" s="5" t="n">
        <v>565101339</v>
      </c>
      <c r="E61" s="6" t="inlineStr">
        <is>
          <t>HF524772530</t>
        </is>
      </c>
      <c r="F61" s="6" t="inlineStr">
        <is>
          <t>06/08/2026</t>
        </is>
      </c>
      <c r="G61" s="6" t="inlineStr">
        <is>
          <t>Aetna Legacy</t>
        </is>
      </c>
      <c r="H61" s="6" t="inlineStr">
        <is>
          <t>Aetna Legacy</t>
        </is>
      </c>
      <c r="I61" s="6" t="inlineStr">
        <is>
          <t>No Payer</t>
        </is>
      </c>
      <c r="J61" s="6" t="inlineStr">
        <is>
          <t>75774</t>
        </is>
      </c>
      <c r="K61" s="4" t="n"/>
      <c r="L61" s="5">
        <f>IF($M61="","",$M61-TODAY())</f>
        <v/>
      </c>
      <c r="M61" s="7" t="n">
        <v>46301</v>
      </c>
      <c r="N61" s="6" t="inlineStr">
        <is>
          <t>120 days</t>
        </is>
      </c>
      <c r="O61" s="6" t="inlineStr">
        <is>
          <t>AETNA</t>
        </is>
      </c>
      <c r="P61" s="6" t="inlineStr">
        <is>
          <t>26</t>
        </is>
      </c>
      <c r="Q61" s="6" t="inlineStr">
        <is>
          <t>XU</t>
        </is>
      </c>
      <c r="R61" s="6" t="n"/>
      <c r="S61" s="5" t="n">
        <v>5</v>
      </c>
      <c r="T61" s="8" t="n">
        <v>3356.5</v>
      </c>
      <c r="U61" s="8" t="n">
        <v>0</v>
      </c>
      <c r="V61" s="8" t="n">
        <v>0</v>
      </c>
      <c r="W61" s="6" t="n"/>
      <c r="X61" s="8" t="n">
        <v>3356.5</v>
      </c>
      <c r="Y61" s="5" t="n">
        <v>61</v>
      </c>
      <c r="Z61" s="6" t="inlineStr">
        <is>
          <t>M1711</t>
        </is>
      </c>
      <c r="AA61" s="6" t="inlineStr">
        <is>
          <t>I798</t>
        </is>
      </c>
      <c r="AB61" s="6" t="inlineStr">
        <is>
          <t>M25561</t>
        </is>
      </c>
      <c r="AC61" s="6" t="n"/>
      <c r="AD61" s="5" t="n"/>
      <c r="AE61" s="6" t="inlineStr">
        <is>
          <t>HUNTER, DREW</t>
        </is>
      </c>
      <c r="AF61" s="6" t="inlineStr">
        <is>
          <t>ASAP Surgery Centers North Valley LLC</t>
        </is>
      </c>
      <c r="AG61" s="6" t="inlineStr">
        <is>
          <t>07/13/2026</t>
        </is>
      </c>
      <c r="AH61" s="6" t="inlineStr">
        <is>
          <t>GAE</t>
        </is>
      </c>
      <c r="AI61" s="9" t="inlineStr">
        <is>
          <t>120 days is per our contract rather than a published Aetna policy.</t>
        </is>
      </c>
      <c r="AJ61" s="5" t="n">
        <v>248</v>
      </c>
    </row>
    <row r="62">
      <c r="A62" s="2" t="n"/>
      <c r="B62" s="3" t="n"/>
      <c r="C62" s="4" t="n"/>
      <c r="D62" s="5" t="n">
        <v>565101339</v>
      </c>
      <c r="E62" s="6" t="inlineStr">
        <is>
          <t>HF524772530</t>
        </is>
      </c>
      <c r="F62" s="6" t="inlineStr">
        <is>
          <t>06/08/2026</t>
        </is>
      </c>
      <c r="G62" s="6" t="inlineStr">
        <is>
          <t>Aetna Legacy</t>
        </is>
      </c>
      <c r="H62" s="6" t="inlineStr">
        <is>
          <t>Aetna Legacy</t>
        </is>
      </c>
      <c r="I62" s="6" t="inlineStr">
        <is>
          <t>No Payer</t>
        </is>
      </c>
      <c r="J62" s="6" t="inlineStr">
        <is>
          <t>36246</t>
        </is>
      </c>
      <c r="K62" s="4" t="n"/>
      <c r="L62" s="5">
        <f>IF($M62="","",$M62-TODAY())</f>
        <v/>
      </c>
      <c r="M62" s="7" t="n">
        <v>46301</v>
      </c>
      <c r="N62" s="6" t="inlineStr">
        <is>
          <t>120 days</t>
        </is>
      </c>
      <c r="O62" s="6" t="inlineStr">
        <is>
          <t>AETNA</t>
        </is>
      </c>
      <c r="P62" s="6" t="inlineStr">
        <is>
          <t>59</t>
        </is>
      </c>
      <c r="Q62" s="6" t="inlineStr">
        <is>
          <t>RT</t>
        </is>
      </c>
      <c r="R62" s="6" t="n"/>
      <c r="S62" s="5" t="n">
        <v>1</v>
      </c>
      <c r="T62" s="8" t="n">
        <v>5741.19</v>
      </c>
      <c r="U62" s="8" t="n">
        <v>0</v>
      </c>
      <c r="V62" s="8" t="n">
        <v>0</v>
      </c>
      <c r="W62" s="6" t="n"/>
      <c r="X62" s="8" t="n">
        <v>5741.19</v>
      </c>
      <c r="Y62" s="5" t="n">
        <v>61</v>
      </c>
      <c r="Z62" s="6" t="inlineStr">
        <is>
          <t>M1711</t>
        </is>
      </c>
      <c r="AA62" s="6" t="inlineStr">
        <is>
          <t>I798</t>
        </is>
      </c>
      <c r="AB62" s="6" t="inlineStr">
        <is>
          <t>M25561</t>
        </is>
      </c>
      <c r="AC62" s="6" t="n"/>
      <c r="AD62" s="5" t="n"/>
      <c r="AE62" s="6" t="inlineStr">
        <is>
          <t>HUNTER, DREW</t>
        </is>
      </c>
      <c r="AF62" s="6" t="inlineStr">
        <is>
          <t>ASAP Surgery Centers North Valley LLC</t>
        </is>
      </c>
      <c r="AG62" s="6" t="inlineStr">
        <is>
          <t>07/13/2026</t>
        </is>
      </c>
      <c r="AH62" s="6" t="inlineStr">
        <is>
          <t>GAE</t>
        </is>
      </c>
      <c r="AI62" s="9" t="inlineStr">
        <is>
          <t>120 days is per our contract rather than a published Aetna policy.</t>
        </is>
      </c>
      <c r="AJ62" s="5" t="n">
        <v>249</v>
      </c>
    </row>
    <row r="63">
      <c r="A63" s="2" t="n"/>
      <c r="B63" s="3" t="n"/>
      <c r="C63" s="4" t="n"/>
      <c r="D63" s="5" t="n">
        <v>565101339</v>
      </c>
      <c r="E63" s="6" t="inlineStr">
        <is>
          <t>HF524772530</t>
        </is>
      </c>
      <c r="F63" s="6" t="inlineStr">
        <is>
          <t>06/08/2026</t>
        </is>
      </c>
      <c r="G63" s="6" t="inlineStr">
        <is>
          <t>Aetna Legacy</t>
        </is>
      </c>
      <c r="H63" s="6" t="inlineStr">
        <is>
          <t>Aetna Legacy</t>
        </is>
      </c>
      <c r="I63" s="6" t="inlineStr">
        <is>
          <t>No Payer</t>
        </is>
      </c>
      <c r="J63" s="6" t="inlineStr">
        <is>
          <t>36248</t>
        </is>
      </c>
      <c r="K63" s="4" t="n"/>
      <c r="L63" s="5">
        <f>IF($M63="","",$M63-TODAY())</f>
        <v/>
      </c>
      <c r="M63" s="7" t="n">
        <v>46301</v>
      </c>
      <c r="N63" s="6" t="inlineStr">
        <is>
          <t>120 days</t>
        </is>
      </c>
      <c r="O63" s="6" t="inlineStr">
        <is>
          <t>AETNA</t>
        </is>
      </c>
      <c r="P63" s="6" t="inlineStr">
        <is>
          <t>59</t>
        </is>
      </c>
      <c r="Q63" s="6" t="n"/>
      <c r="R63" s="6" t="n"/>
      <c r="S63" s="5" t="n">
        <v>3</v>
      </c>
      <c r="T63" s="8" t="n">
        <v>2422.77</v>
      </c>
      <c r="U63" s="8" t="n">
        <v>0</v>
      </c>
      <c r="V63" s="8" t="n">
        <v>0</v>
      </c>
      <c r="W63" s="6" t="n"/>
      <c r="X63" s="8" t="n">
        <v>2422.77</v>
      </c>
      <c r="Y63" s="5" t="n">
        <v>61</v>
      </c>
      <c r="Z63" s="6" t="inlineStr">
        <is>
          <t>M1711</t>
        </is>
      </c>
      <c r="AA63" s="6" t="inlineStr">
        <is>
          <t>I798</t>
        </is>
      </c>
      <c r="AB63" s="6" t="inlineStr">
        <is>
          <t>M25561</t>
        </is>
      </c>
      <c r="AC63" s="6" t="n"/>
      <c r="AD63" s="5" t="n"/>
      <c r="AE63" s="6" t="inlineStr">
        <is>
          <t>HUNTER, DREW</t>
        </is>
      </c>
      <c r="AF63" s="6" t="inlineStr">
        <is>
          <t>ASAP Surgery Centers North Valley LLC</t>
        </is>
      </c>
      <c r="AG63" s="6" t="inlineStr">
        <is>
          <t>07/13/2026</t>
        </is>
      </c>
      <c r="AH63" s="6" t="inlineStr">
        <is>
          <t>GAE</t>
        </is>
      </c>
      <c r="AI63" s="9" t="inlineStr">
        <is>
          <t>120 days is per our contract rather than a published Aetna policy.</t>
        </is>
      </c>
      <c r="AJ63" s="5" t="n">
        <v>250</v>
      </c>
    </row>
    <row r="64">
      <c r="A64" s="2" t="n"/>
      <c r="B64" s="3" t="n"/>
      <c r="C64" s="4" t="n"/>
      <c r="D64" s="5" t="n">
        <v>565101339</v>
      </c>
      <c r="E64" s="6" t="inlineStr">
        <is>
          <t>HF524772530</t>
        </is>
      </c>
      <c r="F64" s="6" t="inlineStr">
        <is>
          <t>06/08/2026</t>
        </is>
      </c>
      <c r="G64" s="6" t="inlineStr">
        <is>
          <t>Aetna Legacy</t>
        </is>
      </c>
      <c r="H64" s="6" t="inlineStr">
        <is>
          <t>Aetna Legacy</t>
        </is>
      </c>
      <c r="I64" s="6" t="inlineStr">
        <is>
          <t>No Payer</t>
        </is>
      </c>
      <c r="J64" s="6" t="inlineStr">
        <is>
          <t>75710</t>
        </is>
      </c>
      <c r="K64" s="4" t="n"/>
      <c r="L64" s="5">
        <f>IF($M64="","",$M64-TODAY())</f>
        <v/>
      </c>
      <c r="M64" s="7" t="n">
        <v>46301</v>
      </c>
      <c r="N64" s="6" t="inlineStr">
        <is>
          <t>120 days</t>
        </is>
      </c>
      <c r="O64" s="6" t="inlineStr">
        <is>
          <t>AETNA</t>
        </is>
      </c>
      <c r="P64" s="6" t="inlineStr">
        <is>
          <t>26</t>
        </is>
      </c>
      <c r="Q64" s="6" t="inlineStr">
        <is>
          <t>XU</t>
        </is>
      </c>
      <c r="R64" s="6" t="inlineStr">
        <is>
          <t>RT</t>
        </is>
      </c>
      <c r="S64" s="5" t="n">
        <v>1</v>
      </c>
      <c r="T64" s="8" t="n">
        <v>1037.19</v>
      </c>
      <c r="U64" s="8" t="n">
        <v>0</v>
      </c>
      <c r="V64" s="8" t="n">
        <v>0</v>
      </c>
      <c r="W64" s="6" t="n"/>
      <c r="X64" s="8" t="n">
        <v>1037.19</v>
      </c>
      <c r="Y64" s="5" t="n">
        <v>61</v>
      </c>
      <c r="Z64" s="6" t="inlineStr">
        <is>
          <t>M1711</t>
        </is>
      </c>
      <c r="AA64" s="6" t="inlineStr">
        <is>
          <t>I798</t>
        </is>
      </c>
      <c r="AB64" s="6" t="inlineStr">
        <is>
          <t>M25561</t>
        </is>
      </c>
      <c r="AC64" s="6" t="n"/>
      <c r="AD64" s="5" t="n"/>
      <c r="AE64" s="6" t="inlineStr">
        <is>
          <t>HUNTER, DREW</t>
        </is>
      </c>
      <c r="AF64" s="6" t="inlineStr">
        <is>
          <t>ASAP Surgery Centers North Valley LLC</t>
        </is>
      </c>
      <c r="AG64" s="6" t="inlineStr">
        <is>
          <t>07/13/2026</t>
        </is>
      </c>
      <c r="AH64" s="6" t="inlineStr">
        <is>
          <t>GAE</t>
        </is>
      </c>
      <c r="AI64" s="9" t="inlineStr">
        <is>
          <t>120 days is per our contract rather than a published Aetna policy.</t>
        </is>
      </c>
      <c r="AJ64" s="5" t="n">
        <v>251</v>
      </c>
    </row>
    <row r="65">
      <c r="A65" s="2" t="n"/>
      <c r="B65" s="3" t="n"/>
      <c r="C65" s="4" t="n"/>
      <c r="D65" s="5" t="n">
        <v>565101339</v>
      </c>
      <c r="E65" s="6" t="inlineStr">
        <is>
          <t>HF524772530</t>
        </is>
      </c>
      <c r="F65" s="6" t="inlineStr">
        <is>
          <t>06/08/2026</t>
        </is>
      </c>
      <c r="G65" s="6" t="inlineStr">
        <is>
          <t>Aetna Legacy</t>
        </is>
      </c>
      <c r="H65" s="6" t="inlineStr">
        <is>
          <t>Aetna Legacy</t>
        </is>
      </c>
      <c r="I65" s="6" t="inlineStr">
        <is>
          <t>No Payer</t>
        </is>
      </c>
      <c r="J65" s="6" t="inlineStr">
        <is>
          <t>76937</t>
        </is>
      </c>
      <c r="K65" s="4" t="n"/>
      <c r="L65" s="5">
        <f>IF($M65="","",$M65-TODAY())</f>
        <v/>
      </c>
      <c r="M65" s="7" t="n">
        <v>46301</v>
      </c>
      <c r="N65" s="6" t="inlineStr">
        <is>
          <t>120 days</t>
        </is>
      </c>
      <c r="O65" s="6" t="inlineStr">
        <is>
          <t>AETNA</t>
        </is>
      </c>
      <c r="P65" s="6" t="inlineStr">
        <is>
          <t>26</t>
        </is>
      </c>
      <c r="Q65" s="6" t="n"/>
      <c r="R65" s="6" t="n"/>
      <c r="S65" s="5" t="n">
        <v>1</v>
      </c>
      <c r="T65" s="8" t="n">
        <v>271.18</v>
      </c>
      <c r="U65" s="8" t="n">
        <v>0</v>
      </c>
      <c r="V65" s="8" t="n">
        <v>0</v>
      </c>
      <c r="W65" s="6" t="n"/>
      <c r="X65" s="8" t="n">
        <v>271.18</v>
      </c>
      <c r="Y65" s="5" t="n">
        <v>61</v>
      </c>
      <c r="Z65" s="6" t="inlineStr">
        <is>
          <t>M1711</t>
        </is>
      </c>
      <c r="AA65" s="6" t="inlineStr">
        <is>
          <t>I798</t>
        </is>
      </c>
      <c r="AB65" s="6" t="inlineStr">
        <is>
          <t>M25561</t>
        </is>
      </c>
      <c r="AC65" s="6" t="n"/>
      <c r="AD65" s="5" t="n"/>
      <c r="AE65" s="6" t="inlineStr">
        <is>
          <t>HUNTER, DREW</t>
        </is>
      </c>
      <c r="AF65" s="6" t="inlineStr">
        <is>
          <t>ASAP Surgery Centers North Valley LLC</t>
        </is>
      </c>
      <c r="AG65" s="6" t="inlineStr">
        <is>
          <t>07/13/2026</t>
        </is>
      </c>
      <c r="AH65" s="6" t="inlineStr">
        <is>
          <t>GAE</t>
        </is>
      </c>
      <c r="AI65" s="9" t="inlineStr">
        <is>
          <t>120 days is per our contract rather than a published Aetna policy.</t>
        </is>
      </c>
      <c r="AJ65" s="5" t="n">
        <v>252</v>
      </c>
    </row>
    <row r="66">
      <c r="A66" s="2" t="n"/>
      <c r="B66" s="3" t="n"/>
      <c r="C66" s="4" t="n"/>
      <c r="D66" s="5" t="n">
        <v>565104933</v>
      </c>
      <c r="E66" s="6" t="inlineStr">
        <is>
          <t>HF546406685</t>
        </is>
      </c>
      <c r="F66" s="6" t="inlineStr">
        <is>
          <t>06/15/2026</t>
        </is>
      </c>
      <c r="G66" s="6" t="inlineStr">
        <is>
          <t>Aetna Legacy</t>
        </is>
      </c>
      <c r="H66" s="6" t="inlineStr">
        <is>
          <t>Aetna Legacy</t>
        </is>
      </c>
      <c r="I66" s="6" t="inlineStr">
        <is>
          <t>No Payer</t>
        </is>
      </c>
      <c r="J66" s="6" t="inlineStr">
        <is>
          <t>36246</t>
        </is>
      </c>
      <c r="K66" s="4" t="n"/>
      <c r="L66" s="5">
        <f>IF($M66="","",$M66-TODAY())</f>
        <v/>
      </c>
      <c r="M66" s="7" t="n">
        <v>46308</v>
      </c>
      <c r="N66" s="6" t="inlineStr">
        <is>
          <t>120 days</t>
        </is>
      </c>
      <c r="O66" s="6" t="inlineStr">
        <is>
          <t>AETNA</t>
        </is>
      </c>
      <c r="P66" s="6" t="inlineStr">
        <is>
          <t>59</t>
        </is>
      </c>
      <c r="Q66" s="6" t="inlineStr">
        <is>
          <t>RT</t>
        </is>
      </c>
      <c r="R66" s="6" t="n"/>
      <c r="S66" s="5" t="n">
        <v>1</v>
      </c>
      <c r="T66" s="8" t="n">
        <v>5741.19</v>
      </c>
      <c r="U66" s="8" t="n">
        <v>0</v>
      </c>
      <c r="V66" s="8" t="n">
        <v>0</v>
      </c>
      <c r="W66" s="6" t="n"/>
      <c r="X66" s="8" t="n">
        <v>5741.19</v>
      </c>
      <c r="Y66" s="5" t="n">
        <v>54</v>
      </c>
      <c r="Z66" s="6" t="inlineStr">
        <is>
          <t>M1711</t>
        </is>
      </c>
      <c r="AA66" s="6" t="inlineStr">
        <is>
          <t>I798</t>
        </is>
      </c>
      <c r="AB66" s="6" t="inlineStr">
        <is>
          <t>M25561</t>
        </is>
      </c>
      <c r="AC66" s="6" t="n"/>
      <c r="AD66" s="5" t="n"/>
      <c r="AE66" s="6" t="inlineStr">
        <is>
          <t>HUNTER, DREW</t>
        </is>
      </c>
      <c r="AF66" s="6" t="inlineStr">
        <is>
          <t>Premier Endoscopy Center, LLC</t>
        </is>
      </c>
      <c r="AG66" s="6" t="inlineStr">
        <is>
          <t>07/13/2026</t>
        </is>
      </c>
      <c r="AH66" s="6" t="inlineStr">
        <is>
          <t>GAE</t>
        </is>
      </c>
      <c r="AI66" s="9" t="inlineStr">
        <is>
          <t>120 days is per our contract rather than a published Aetna policy.</t>
        </is>
      </c>
      <c r="AJ66" s="5" t="n">
        <v>834</v>
      </c>
    </row>
    <row r="67">
      <c r="A67" s="2" t="n"/>
      <c r="B67" s="3" t="n"/>
      <c r="C67" s="4" t="n"/>
      <c r="D67" s="5" t="n">
        <v>565104933</v>
      </c>
      <c r="E67" s="6" t="inlineStr">
        <is>
          <t>HF546406685</t>
        </is>
      </c>
      <c r="F67" s="6" t="inlineStr">
        <is>
          <t>06/15/2026</t>
        </is>
      </c>
      <c r="G67" s="6" t="inlineStr">
        <is>
          <t>Aetna Legacy</t>
        </is>
      </c>
      <c r="H67" s="6" t="inlineStr">
        <is>
          <t>Aetna Legacy</t>
        </is>
      </c>
      <c r="I67" s="6" t="inlineStr">
        <is>
          <t>No Payer</t>
        </is>
      </c>
      <c r="J67" s="6" t="inlineStr">
        <is>
          <t>36245</t>
        </is>
      </c>
      <c r="K67" s="4" t="n"/>
      <c r="L67" s="5">
        <f>IF($M67="","",$M67-TODAY())</f>
        <v/>
      </c>
      <c r="M67" s="7" t="n">
        <v>46308</v>
      </c>
      <c r="N67" s="6" t="inlineStr">
        <is>
          <t>120 days</t>
        </is>
      </c>
      <c r="O67" s="6" t="inlineStr">
        <is>
          <t>AETNA</t>
        </is>
      </c>
      <c r="P67" s="6" t="inlineStr">
        <is>
          <t>59</t>
        </is>
      </c>
      <c r="Q67" s="6" t="n"/>
      <c r="R67" s="6" t="n"/>
      <c r="S67" s="5" t="n">
        <v>1</v>
      </c>
      <c r="T67" s="8" t="n">
        <v>8566.040000000001</v>
      </c>
      <c r="U67" s="8" t="n">
        <v>0</v>
      </c>
      <c r="V67" s="8" t="n">
        <v>0</v>
      </c>
      <c r="W67" s="6" t="n"/>
      <c r="X67" s="8" t="n">
        <v>8566.040000000001</v>
      </c>
      <c r="Y67" s="5" t="n">
        <v>54</v>
      </c>
      <c r="Z67" s="6" t="inlineStr">
        <is>
          <t>M1711</t>
        </is>
      </c>
      <c r="AA67" s="6" t="inlineStr">
        <is>
          <t>I798</t>
        </is>
      </c>
      <c r="AB67" s="6" t="inlineStr">
        <is>
          <t>M25561</t>
        </is>
      </c>
      <c r="AC67" s="6" t="n"/>
      <c r="AD67" s="5" t="n"/>
      <c r="AE67" s="6" t="inlineStr">
        <is>
          <t>HUNTER, DREW</t>
        </is>
      </c>
      <c r="AF67" s="6" t="inlineStr">
        <is>
          <t>Premier Endoscopy Center, LLC</t>
        </is>
      </c>
      <c r="AG67" s="6" t="inlineStr">
        <is>
          <t>07/13/2026</t>
        </is>
      </c>
      <c r="AH67" s="6" t="inlineStr">
        <is>
          <t>GAE</t>
        </is>
      </c>
      <c r="AI67" s="9" t="inlineStr">
        <is>
          <t>120 days is per our contract rather than a published Aetna policy.</t>
        </is>
      </c>
      <c r="AJ67" s="5" t="n">
        <v>836</v>
      </c>
    </row>
    <row r="68">
      <c r="A68" s="2" t="n"/>
      <c r="B68" s="3" t="n"/>
      <c r="C68" s="4" t="n"/>
      <c r="D68" s="5" t="n">
        <v>565104933</v>
      </c>
      <c r="E68" s="6" t="inlineStr">
        <is>
          <t>HF546406685</t>
        </is>
      </c>
      <c r="F68" s="6" t="inlineStr">
        <is>
          <t>06/15/2026</t>
        </is>
      </c>
      <c r="G68" s="6" t="inlineStr">
        <is>
          <t>Aetna Legacy</t>
        </is>
      </c>
      <c r="H68" s="6" t="inlineStr">
        <is>
          <t>Aetna Legacy</t>
        </is>
      </c>
      <c r="I68" s="6" t="inlineStr">
        <is>
          <t>No Payer</t>
        </is>
      </c>
      <c r="J68" s="6" t="inlineStr">
        <is>
          <t>76937</t>
        </is>
      </c>
      <c r="K68" s="4" t="n"/>
      <c r="L68" s="5">
        <f>IF($M68="","",$M68-TODAY())</f>
        <v/>
      </c>
      <c r="M68" s="7" t="n">
        <v>46308</v>
      </c>
      <c r="N68" s="6" t="inlineStr">
        <is>
          <t>120 days</t>
        </is>
      </c>
      <c r="O68" s="6" t="inlineStr">
        <is>
          <t>AETNA</t>
        </is>
      </c>
      <c r="P68" s="6" t="inlineStr">
        <is>
          <t>26</t>
        </is>
      </c>
      <c r="Q68" s="6" t="n"/>
      <c r="R68" s="6" t="n"/>
      <c r="S68" s="5" t="n">
        <v>1</v>
      </c>
      <c r="T68" s="8" t="n">
        <v>271.18</v>
      </c>
      <c r="U68" s="8" t="n">
        <v>0</v>
      </c>
      <c r="V68" s="8" t="n">
        <v>0</v>
      </c>
      <c r="W68" s="6" t="n"/>
      <c r="X68" s="8" t="n">
        <v>271.18</v>
      </c>
      <c r="Y68" s="5" t="n">
        <v>54</v>
      </c>
      <c r="Z68" s="6" t="inlineStr">
        <is>
          <t>M1711</t>
        </is>
      </c>
      <c r="AA68" s="6" t="inlineStr">
        <is>
          <t>I798</t>
        </is>
      </c>
      <c r="AB68" s="6" t="inlineStr">
        <is>
          <t>M25561</t>
        </is>
      </c>
      <c r="AC68" s="6" t="n"/>
      <c r="AD68" s="5" t="n"/>
      <c r="AE68" s="6" t="inlineStr">
        <is>
          <t>HUNTER, DREW</t>
        </is>
      </c>
      <c r="AF68" s="6" t="inlineStr">
        <is>
          <t>Premier Endoscopy Center, LLC</t>
        </is>
      </c>
      <c r="AG68" s="6" t="inlineStr">
        <is>
          <t>07/13/2026</t>
        </is>
      </c>
      <c r="AH68" s="6" t="inlineStr">
        <is>
          <t>GAE</t>
        </is>
      </c>
      <c r="AI68" s="9" t="inlineStr">
        <is>
          <t>120 days is per our contract rather than a published Aetna policy.</t>
        </is>
      </c>
      <c r="AJ68" s="5" t="n">
        <v>838</v>
      </c>
    </row>
    <row r="69">
      <c r="A69" s="2" t="n"/>
      <c r="B69" s="3" t="n"/>
      <c r="C69" s="4" t="n"/>
      <c r="D69" s="5" t="n">
        <v>565104933</v>
      </c>
      <c r="E69" s="6" t="inlineStr">
        <is>
          <t>HF546406685</t>
        </is>
      </c>
      <c r="F69" s="6" t="inlineStr">
        <is>
          <t>06/15/2026</t>
        </is>
      </c>
      <c r="G69" s="6" t="inlineStr">
        <is>
          <t>Aetna Legacy</t>
        </is>
      </c>
      <c r="H69" s="6" t="inlineStr">
        <is>
          <t>Aetna Legacy</t>
        </is>
      </c>
      <c r="I69" s="6" t="inlineStr">
        <is>
          <t>No Payer</t>
        </is>
      </c>
      <c r="J69" s="6" t="inlineStr">
        <is>
          <t>37242</t>
        </is>
      </c>
      <c r="K69" s="4" t="n"/>
      <c r="L69" s="5">
        <f>IF($M69="","",$M69-TODAY())</f>
        <v/>
      </c>
      <c r="M69" s="7" t="n">
        <v>46308</v>
      </c>
      <c r="N69" s="6" t="inlineStr">
        <is>
          <t>120 days</t>
        </is>
      </c>
      <c r="O69" s="6" t="inlineStr">
        <is>
          <t>AETNA</t>
        </is>
      </c>
      <c r="P69" s="6" t="n"/>
      <c r="Q69" s="6" t="n"/>
      <c r="R69" s="6" t="n"/>
      <c r="S69" s="5" t="n">
        <v>1</v>
      </c>
      <c r="T69" s="8" t="n">
        <v>49162.82</v>
      </c>
      <c r="U69" s="8" t="n">
        <v>0</v>
      </c>
      <c r="V69" s="8" t="n">
        <v>0</v>
      </c>
      <c r="W69" s="6" t="n"/>
      <c r="X69" s="8" t="n">
        <v>49162.82</v>
      </c>
      <c r="Y69" s="5" t="n">
        <v>54</v>
      </c>
      <c r="Z69" s="6" t="inlineStr">
        <is>
          <t>M1711</t>
        </is>
      </c>
      <c r="AA69" s="6" t="inlineStr">
        <is>
          <t>I798</t>
        </is>
      </c>
      <c r="AB69" s="6" t="inlineStr">
        <is>
          <t>M25561</t>
        </is>
      </c>
      <c r="AC69" s="6" t="n"/>
      <c r="AD69" s="5" t="n"/>
      <c r="AE69" s="6" t="inlineStr">
        <is>
          <t>HUNTER, DREW</t>
        </is>
      </c>
      <c r="AF69" s="6" t="inlineStr">
        <is>
          <t>Premier Endoscopy Center, LLC</t>
        </is>
      </c>
      <c r="AG69" s="6" t="inlineStr">
        <is>
          <t>07/13/2026</t>
        </is>
      </c>
      <c r="AH69" s="6" t="inlineStr">
        <is>
          <t>GAE</t>
        </is>
      </c>
      <c r="AI69" s="9" t="inlineStr">
        <is>
          <t>120 days is per our contract rather than a published Aetna policy.</t>
        </is>
      </c>
      <c r="AJ69" s="5" t="n">
        <v>839</v>
      </c>
    </row>
    <row r="70">
      <c r="A70" s="2" t="n"/>
      <c r="B70" s="3" t="n"/>
      <c r="C70" s="4" t="n"/>
      <c r="D70" s="5" t="n">
        <v>565104933</v>
      </c>
      <c r="E70" s="6" t="inlineStr">
        <is>
          <t>HF546406685</t>
        </is>
      </c>
      <c r="F70" s="6" t="inlineStr">
        <is>
          <t>06/15/2026</t>
        </is>
      </c>
      <c r="G70" s="6" t="inlineStr">
        <is>
          <t>Aetna Legacy</t>
        </is>
      </c>
      <c r="H70" s="6" t="inlineStr">
        <is>
          <t>Aetna Legacy</t>
        </is>
      </c>
      <c r="I70" s="6" t="inlineStr">
        <is>
          <t>No Payer</t>
        </is>
      </c>
      <c r="J70" s="6" t="inlineStr">
        <is>
          <t>36248</t>
        </is>
      </c>
      <c r="K70" s="4" t="n"/>
      <c r="L70" s="5">
        <f>IF($M70="","",$M70-TODAY())</f>
        <v/>
      </c>
      <c r="M70" s="7" t="n">
        <v>46308</v>
      </c>
      <c r="N70" s="6" t="inlineStr">
        <is>
          <t>120 days</t>
        </is>
      </c>
      <c r="O70" s="6" t="inlineStr">
        <is>
          <t>AETNA</t>
        </is>
      </c>
      <c r="P70" s="6" t="inlineStr">
        <is>
          <t>59</t>
        </is>
      </c>
      <c r="Q70" s="6" t="n"/>
      <c r="R70" s="6" t="n"/>
      <c r="S70" s="5" t="n">
        <v>3</v>
      </c>
      <c r="T70" s="8" t="n">
        <v>2422.77</v>
      </c>
      <c r="U70" s="8" t="n">
        <v>0</v>
      </c>
      <c r="V70" s="8" t="n">
        <v>0</v>
      </c>
      <c r="W70" s="6" t="n"/>
      <c r="X70" s="8" t="n">
        <v>2422.77</v>
      </c>
      <c r="Y70" s="5" t="n">
        <v>54</v>
      </c>
      <c r="Z70" s="6" t="inlineStr">
        <is>
          <t>M1711</t>
        </is>
      </c>
      <c r="AA70" s="6" t="inlineStr">
        <is>
          <t>I798</t>
        </is>
      </c>
      <c r="AB70" s="6" t="inlineStr">
        <is>
          <t>M25561</t>
        </is>
      </c>
      <c r="AC70" s="6" t="n"/>
      <c r="AD70" s="5" t="n"/>
      <c r="AE70" s="6" t="inlineStr">
        <is>
          <t>HUNTER, DREW</t>
        </is>
      </c>
      <c r="AF70" s="6" t="inlineStr">
        <is>
          <t>Premier Endoscopy Center, LLC</t>
        </is>
      </c>
      <c r="AG70" s="6" t="inlineStr">
        <is>
          <t>07/13/2026</t>
        </is>
      </c>
      <c r="AH70" s="6" t="inlineStr">
        <is>
          <t>GAE</t>
        </is>
      </c>
      <c r="AI70" s="9" t="inlineStr">
        <is>
          <t>120 days is per our contract rather than a published Aetna policy.</t>
        </is>
      </c>
      <c r="AJ70" s="5" t="n">
        <v>841</v>
      </c>
    </row>
    <row r="71">
      <c r="A71" s="2" t="n"/>
      <c r="B71" s="3" t="n"/>
      <c r="C71" s="4" t="n"/>
      <c r="D71" s="5" t="n">
        <v>565104933</v>
      </c>
      <c r="E71" s="6" t="inlineStr">
        <is>
          <t>HF546406685</t>
        </is>
      </c>
      <c r="F71" s="6" t="inlineStr">
        <is>
          <t>06/15/2026</t>
        </is>
      </c>
      <c r="G71" s="6" t="inlineStr">
        <is>
          <t>Aetna Legacy</t>
        </is>
      </c>
      <c r="H71" s="6" t="inlineStr">
        <is>
          <t>Aetna Legacy</t>
        </is>
      </c>
      <c r="I71" s="6" t="inlineStr">
        <is>
          <t>No Payer</t>
        </is>
      </c>
      <c r="J71" s="6" t="inlineStr">
        <is>
          <t>75774</t>
        </is>
      </c>
      <c r="K71" s="4" t="n"/>
      <c r="L71" s="5">
        <f>IF($M71="","",$M71-TODAY())</f>
        <v/>
      </c>
      <c r="M71" s="7" t="n">
        <v>46308</v>
      </c>
      <c r="N71" s="6" t="inlineStr">
        <is>
          <t>120 days</t>
        </is>
      </c>
      <c r="O71" s="6" t="inlineStr">
        <is>
          <t>AETNA</t>
        </is>
      </c>
      <c r="P71" s="6" t="inlineStr">
        <is>
          <t>26</t>
        </is>
      </c>
      <c r="Q71" s="6" t="inlineStr">
        <is>
          <t>XU</t>
        </is>
      </c>
      <c r="R71" s="6" t="n"/>
      <c r="S71" s="5" t="n">
        <v>5</v>
      </c>
      <c r="T71" s="8" t="n">
        <v>3356.5</v>
      </c>
      <c r="U71" s="8" t="n">
        <v>0</v>
      </c>
      <c r="V71" s="8" t="n">
        <v>0</v>
      </c>
      <c r="W71" s="6" t="n"/>
      <c r="X71" s="8" t="n">
        <v>3356.5</v>
      </c>
      <c r="Y71" s="5" t="n">
        <v>54</v>
      </c>
      <c r="Z71" s="6" t="inlineStr">
        <is>
          <t>M1711</t>
        </is>
      </c>
      <c r="AA71" s="6" t="inlineStr">
        <is>
          <t>I798</t>
        </is>
      </c>
      <c r="AB71" s="6" t="inlineStr">
        <is>
          <t>M25561</t>
        </is>
      </c>
      <c r="AC71" s="6" t="n"/>
      <c r="AD71" s="5" t="n"/>
      <c r="AE71" s="6" t="inlineStr">
        <is>
          <t>HUNTER, DREW</t>
        </is>
      </c>
      <c r="AF71" s="6" t="inlineStr">
        <is>
          <t>Premier Endoscopy Center, LLC</t>
        </is>
      </c>
      <c r="AG71" s="6" t="inlineStr">
        <is>
          <t>07/13/2026</t>
        </is>
      </c>
      <c r="AH71" s="6" t="inlineStr">
        <is>
          <t>GAE</t>
        </is>
      </c>
      <c r="AI71" s="9" t="inlineStr">
        <is>
          <t>120 days is per our contract rather than a published Aetna policy.</t>
        </is>
      </c>
      <c r="AJ71" s="5" t="n">
        <v>842</v>
      </c>
    </row>
    <row r="72">
      <c r="A72" s="2" t="n"/>
      <c r="B72" s="3" t="n"/>
      <c r="C72" s="4" t="n"/>
      <c r="D72" s="5" t="n">
        <v>565104933</v>
      </c>
      <c r="E72" s="6" t="inlineStr">
        <is>
          <t>HF546406685</t>
        </is>
      </c>
      <c r="F72" s="6" t="inlineStr">
        <is>
          <t>06/15/2026</t>
        </is>
      </c>
      <c r="G72" s="6" t="inlineStr">
        <is>
          <t>Aetna Legacy</t>
        </is>
      </c>
      <c r="H72" s="6" t="inlineStr">
        <is>
          <t>Aetna Legacy</t>
        </is>
      </c>
      <c r="I72" s="6" t="inlineStr">
        <is>
          <t>No Payer</t>
        </is>
      </c>
      <c r="J72" s="6" t="inlineStr">
        <is>
          <t>75710</t>
        </is>
      </c>
      <c r="K72" s="4" t="n"/>
      <c r="L72" s="5">
        <f>IF($M72="","",$M72-TODAY())</f>
        <v/>
      </c>
      <c r="M72" s="7" t="n">
        <v>46308</v>
      </c>
      <c r="N72" s="6" t="inlineStr">
        <is>
          <t>120 days</t>
        </is>
      </c>
      <c r="O72" s="6" t="inlineStr">
        <is>
          <t>AETNA</t>
        </is>
      </c>
      <c r="P72" s="6" t="inlineStr">
        <is>
          <t>26</t>
        </is>
      </c>
      <c r="Q72" s="6" t="inlineStr">
        <is>
          <t>XU</t>
        </is>
      </c>
      <c r="R72" s="6" t="inlineStr">
        <is>
          <t>RT</t>
        </is>
      </c>
      <c r="S72" s="5" t="n">
        <v>1</v>
      </c>
      <c r="T72" s="8" t="n">
        <v>1037.19</v>
      </c>
      <c r="U72" s="8" t="n">
        <v>0</v>
      </c>
      <c r="V72" s="8" t="n">
        <v>0</v>
      </c>
      <c r="W72" s="6" t="n"/>
      <c r="X72" s="8" t="n">
        <v>1037.19</v>
      </c>
      <c r="Y72" s="5" t="n">
        <v>54</v>
      </c>
      <c r="Z72" s="6" t="inlineStr">
        <is>
          <t>M1711</t>
        </is>
      </c>
      <c r="AA72" s="6" t="inlineStr">
        <is>
          <t>I798</t>
        </is>
      </c>
      <c r="AB72" s="6" t="inlineStr">
        <is>
          <t>M25561</t>
        </is>
      </c>
      <c r="AC72" s="6" t="n"/>
      <c r="AD72" s="5" t="n"/>
      <c r="AE72" s="6" t="inlineStr">
        <is>
          <t>HUNTER, DREW</t>
        </is>
      </c>
      <c r="AF72" s="6" t="inlineStr">
        <is>
          <t>Premier Endoscopy Center, LLC</t>
        </is>
      </c>
      <c r="AG72" s="6" t="inlineStr">
        <is>
          <t>07/13/2026</t>
        </is>
      </c>
      <c r="AH72" s="6" t="inlineStr">
        <is>
          <t>GAE</t>
        </is>
      </c>
      <c r="AI72" s="9" t="inlineStr">
        <is>
          <t>120 days is per our contract rather than a published Aetna policy.</t>
        </is>
      </c>
      <c r="AJ72" s="5" t="n">
        <v>1018</v>
      </c>
    </row>
    <row r="73">
      <c r="A73" s="2" t="n"/>
      <c r="B73" s="3" t="n"/>
      <c r="C73" s="4" t="n"/>
      <c r="D73" s="5" t="n">
        <v>565098145</v>
      </c>
      <c r="E73" s="6" t="inlineStr">
        <is>
          <t>HF559340413</t>
        </is>
      </c>
      <c r="F73" s="6" t="inlineStr">
        <is>
          <t>06/29/2026</t>
        </is>
      </c>
      <c r="G73" s="6" t="inlineStr">
        <is>
          <t>Aetna Medicare HMO</t>
        </is>
      </c>
      <c r="H73" s="6" t="inlineStr">
        <is>
          <t>Aetna Medicare HMO</t>
        </is>
      </c>
      <c r="I73" s="6" t="inlineStr">
        <is>
          <t>No Payer</t>
        </is>
      </c>
      <c r="J73" s="6" t="inlineStr">
        <is>
          <t>75774</t>
        </is>
      </c>
      <c r="K73" s="4" t="n"/>
      <c r="L73" s="5">
        <f>IF($M73="","",$M73-TODAY())</f>
        <v/>
      </c>
      <c r="M73" s="7" t="n">
        <v>46322</v>
      </c>
      <c r="N73" s="6" t="inlineStr">
        <is>
          <t>120 days</t>
        </is>
      </c>
      <c r="O73" s="6" t="inlineStr">
        <is>
          <t>AETNA</t>
        </is>
      </c>
      <c r="P73" s="6" t="inlineStr">
        <is>
          <t>26</t>
        </is>
      </c>
      <c r="Q73" s="6" t="inlineStr">
        <is>
          <t>XU</t>
        </is>
      </c>
      <c r="R73" s="6" t="n"/>
      <c r="S73" s="5" t="n">
        <v>5</v>
      </c>
      <c r="T73" s="8" t="n">
        <v>3356.5</v>
      </c>
      <c r="U73" s="8" t="n">
        <v>0</v>
      </c>
      <c r="V73" s="8" t="n">
        <v>0</v>
      </c>
      <c r="W73" s="6" t="n"/>
      <c r="X73" s="8" t="n">
        <v>3356.5</v>
      </c>
      <c r="Y73" s="5" t="n">
        <v>40</v>
      </c>
      <c r="Z73" s="6" t="inlineStr">
        <is>
          <t>M1711</t>
        </is>
      </c>
      <c r="AA73" s="6" t="inlineStr">
        <is>
          <t>I798</t>
        </is>
      </c>
      <c r="AB73" s="6" t="inlineStr">
        <is>
          <t>M25561</t>
        </is>
      </c>
      <c r="AC73" s="6" t="n"/>
      <c r="AD73" s="5" t="n"/>
      <c r="AE73" s="6" t="inlineStr">
        <is>
          <t>HUNTER, DREW</t>
        </is>
      </c>
      <c r="AF73" s="6" t="inlineStr">
        <is>
          <t>Premier Endoscopy Center, LLC</t>
        </is>
      </c>
      <c r="AG73" s="6" t="inlineStr">
        <is>
          <t>07/13/2026</t>
        </is>
      </c>
      <c r="AH73" s="6" t="inlineStr">
        <is>
          <t>GAE</t>
        </is>
      </c>
      <c r="AI73" s="9" t="inlineStr">
        <is>
          <t>120 days is per our contract rather than a published Aetna policy.</t>
        </is>
      </c>
      <c r="AJ73" s="5" t="n">
        <v>897</v>
      </c>
    </row>
    <row r="74">
      <c r="A74" s="2" t="n"/>
      <c r="B74" s="3" t="n"/>
      <c r="C74" s="4" t="n"/>
      <c r="D74" s="5" t="n">
        <v>565098145</v>
      </c>
      <c r="E74" s="6" t="inlineStr">
        <is>
          <t>HF559340413</t>
        </is>
      </c>
      <c r="F74" s="6" t="inlineStr">
        <is>
          <t>06/29/2026</t>
        </is>
      </c>
      <c r="G74" s="6" t="inlineStr">
        <is>
          <t>Aetna Medicare HMO</t>
        </is>
      </c>
      <c r="H74" s="6" t="inlineStr">
        <is>
          <t>Aetna Medicare HMO</t>
        </is>
      </c>
      <c r="I74" s="6" t="inlineStr">
        <is>
          <t>No Payer</t>
        </is>
      </c>
      <c r="J74" s="6" t="inlineStr">
        <is>
          <t>36245</t>
        </is>
      </c>
      <c r="K74" s="4" t="n"/>
      <c r="L74" s="5">
        <f>IF($M74="","",$M74-TODAY())</f>
        <v/>
      </c>
      <c r="M74" s="7" t="n">
        <v>46322</v>
      </c>
      <c r="N74" s="6" t="inlineStr">
        <is>
          <t>120 days</t>
        </is>
      </c>
      <c r="O74" s="6" t="inlineStr">
        <is>
          <t>AETNA</t>
        </is>
      </c>
      <c r="P74" s="6" t="inlineStr">
        <is>
          <t>59</t>
        </is>
      </c>
      <c r="Q74" s="6" t="n"/>
      <c r="R74" s="6" t="n"/>
      <c r="S74" s="5" t="n">
        <v>5</v>
      </c>
      <c r="T74" s="8" t="n">
        <v>42830.2</v>
      </c>
      <c r="U74" s="8" t="n">
        <v>0</v>
      </c>
      <c r="V74" s="8" t="n">
        <v>0</v>
      </c>
      <c r="W74" s="6" t="n"/>
      <c r="X74" s="8" t="n">
        <v>42830.2</v>
      </c>
      <c r="Y74" s="5" t="n">
        <v>40</v>
      </c>
      <c r="Z74" s="6" t="inlineStr">
        <is>
          <t>M1711</t>
        </is>
      </c>
      <c r="AA74" s="6" t="inlineStr">
        <is>
          <t>I798</t>
        </is>
      </c>
      <c r="AB74" s="6" t="inlineStr">
        <is>
          <t>M25561</t>
        </is>
      </c>
      <c r="AC74" s="6" t="n"/>
      <c r="AD74" s="5" t="n"/>
      <c r="AE74" s="6" t="inlineStr">
        <is>
          <t>HUNTER, DREW</t>
        </is>
      </c>
      <c r="AF74" s="6" t="inlineStr">
        <is>
          <t>Premier Endoscopy Center, LLC</t>
        </is>
      </c>
      <c r="AG74" s="6" t="inlineStr">
        <is>
          <t>07/13/2026</t>
        </is>
      </c>
      <c r="AH74" s="6" t="inlineStr">
        <is>
          <t>GAE</t>
        </is>
      </c>
      <c r="AI74" s="9" t="inlineStr">
        <is>
          <t>120 days is per our contract rather than a published Aetna policy.</t>
        </is>
      </c>
      <c r="AJ74" s="5" t="n">
        <v>898</v>
      </c>
    </row>
    <row r="75">
      <c r="A75" s="2" t="n"/>
      <c r="B75" s="3" t="n"/>
      <c r="C75" s="4" t="n"/>
      <c r="D75" s="5" t="n">
        <v>565098145</v>
      </c>
      <c r="E75" s="6" t="inlineStr">
        <is>
          <t>HF559340413</t>
        </is>
      </c>
      <c r="F75" s="6" t="inlineStr">
        <is>
          <t>06/29/2026</t>
        </is>
      </c>
      <c r="G75" s="6" t="inlineStr">
        <is>
          <t>Aetna Medicare HMO</t>
        </is>
      </c>
      <c r="H75" s="6" t="inlineStr">
        <is>
          <t>Aetna Medicare HMO</t>
        </is>
      </c>
      <c r="I75" s="6" t="inlineStr">
        <is>
          <t>No Payer</t>
        </is>
      </c>
      <c r="J75" s="6" t="inlineStr">
        <is>
          <t>76937</t>
        </is>
      </c>
      <c r="K75" s="4" t="n"/>
      <c r="L75" s="5">
        <f>IF($M75="","",$M75-TODAY())</f>
        <v/>
      </c>
      <c r="M75" s="7" t="n">
        <v>46322</v>
      </c>
      <c r="N75" s="6" t="inlineStr">
        <is>
          <t>120 days</t>
        </is>
      </c>
      <c r="O75" s="6" t="inlineStr">
        <is>
          <t>AETNA</t>
        </is>
      </c>
      <c r="P75" s="6" t="inlineStr">
        <is>
          <t>26</t>
        </is>
      </c>
      <c r="Q75" s="6" t="n"/>
      <c r="R75" s="6" t="n"/>
      <c r="S75" s="5" t="n">
        <v>1</v>
      </c>
      <c r="T75" s="8" t="n">
        <v>271.18</v>
      </c>
      <c r="U75" s="8" t="n">
        <v>0</v>
      </c>
      <c r="V75" s="8" t="n">
        <v>0</v>
      </c>
      <c r="W75" s="6" t="n"/>
      <c r="X75" s="8" t="n">
        <v>271.18</v>
      </c>
      <c r="Y75" s="5" t="n">
        <v>40</v>
      </c>
      <c r="Z75" s="6" t="inlineStr">
        <is>
          <t>M1711</t>
        </is>
      </c>
      <c r="AA75" s="6" t="inlineStr">
        <is>
          <t>I798</t>
        </is>
      </c>
      <c r="AB75" s="6" t="inlineStr">
        <is>
          <t>M25561</t>
        </is>
      </c>
      <c r="AC75" s="6" t="n"/>
      <c r="AD75" s="5" t="n"/>
      <c r="AE75" s="6" t="inlineStr">
        <is>
          <t>HUNTER, DREW</t>
        </is>
      </c>
      <c r="AF75" s="6" t="inlineStr">
        <is>
          <t>Premier Endoscopy Center, LLC</t>
        </is>
      </c>
      <c r="AG75" s="6" t="inlineStr">
        <is>
          <t>07/13/2026</t>
        </is>
      </c>
      <c r="AH75" s="6" t="inlineStr">
        <is>
          <t>GAE</t>
        </is>
      </c>
      <c r="AI75" s="9" t="inlineStr">
        <is>
          <t>120 days is per our contract rather than a published Aetna policy.</t>
        </is>
      </c>
      <c r="AJ75" s="5" t="n">
        <v>899</v>
      </c>
    </row>
    <row r="76">
      <c r="A76" s="2" t="n"/>
      <c r="B76" s="3" t="n"/>
      <c r="C76" s="4" t="n"/>
      <c r="D76" s="5" t="n">
        <v>565098145</v>
      </c>
      <c r="E76" s="6" t="inlineStr">
        <is>
          <t>HF559340413</t>
        </is>
      </c>
      <c r="F76" s="6" t="inlineStr">
        <is>
          <t>06/29/2026</t>
        </is>
      </c>
      <c r="G76" s="6" t="inlineStr">
        <is>
          <t>Aetna Medicare HMO</t>
        </is>
      </c>
      <c r="H76" s="6" t="inlineStr">
        <is>
          <t>Aetna Medicare HMO</t>
        </is>
      </c>
      <c r="I76" s="6" t="inlineStr">
        <is>
          <t>No Payer</t>
        </is>
      </c>
      <c r="J76" s="6" t="inlineStr">
        <is>
          <t>75710</t>
        </is>
      </c>
      <c r="K76" s="4" t="n"/>
      <c r="L76" s="5">
        <f>IF($M76="","",$M76-TODAY())</f>
        <v/>
      </c>
      <c r="M76" s="7" t="n">
        <v>46322</v>
      </c>
      <c r="N76" s="6" t="inlineStr">
        <is>
          <t>120 days</t>
        </is>
      </c>
      <c r="O76" s="6" t="inlineStr">
        <is>
          <t>AETNA</t>
        </is>
      </c>
      <c r="P76" s="6" t="inlineStr">
        <is>
          <t>26</t>
        </is>
      </c>
      <c r="Q76" s="6" t="inlineStr">
        <is>
          <t>XU</t>
        </is>
      </c>
      <c r="R76" s="6" t="inlineStr">
        <is>
          <t>RT</t>
        </is>
      </c>
      <c r="S76" s="5" t="n">
        <v>1</v>
      </c>
      <c r="T76" s="8" t="n">
        <v>1037.19</v>
      </c>
      <c r="U76" s="8" t="n">
        <v>0</v>
      </c>
      <c r="V76" s="8" t="n">
        <v>0</v>
      </c>
      <c r="W76" s="6" t="n"/>
      <c r="X76" s="8" t="n">
        <v>1037.19</v>
      </c>
      <c r="Y76" s="5" t="n">
        <v>40</v>
      </c>
      <c r="Z76" s="6" t="inlineStr">
        <is>
          <t>M1711</t>
        </is>
      </c>
      <c r="AA76" s="6" t="inlineStr">
        <is>
          <t>I798</t>
        </is>
      </c>
      <c r="AB76" s="6" t="inlineStr">
        <is>
          <t>M25561</t>
        </is>
      </c>
      <c r="AC76" s="6" t="n"/>
      <c r="AD76" s="5" t="n"/>
      <c r="AE76" s="6" t="inlineStr">
        <is>
          <t>HUNTER, DREW</t>
        </is>
      </c>
      <c r="AF76" s="6" t="inlineStr">
        <is>
          <t>Premier Endoscopy Center, LLC</t>
        </is>
      </c>
      <c r="AG76" s="6" t="inlineStr">
        <is>
          <t>07/13/2026</t>
        </is>
      </c>
      <c r="AH76" s="6" t="inlineStr">
        <is>
          <t>GAE</t>
        </is>
      </c>
      <c r="AI76" s="9" t="inlineStr">
        <is>
          <t>120 days is per our contract rather than a published Aetna policy.</t>
        </is>
      </c>
      <c r="AJ76" s="5" t="n">
        <v>1054</v>
      </c>
    </row>
    <row r="77">
      <c r="A77" s="2" t="n"/>
      <c r="B77" s="3" t="n"/>
      <c r="C77" s="4" t="n"/>
      <c r="D77" s="5" t="n">
        <v>565098145</v>
      </c>
      <c r="E77" s="6" t="inlineStr">
        <is>
          <t>HF559340413</t>
        </is>
      </c>
      <c r="F77" s="6" t="inlineStr">
        <is>
          <t>06/29/2026</t>
        </is>
      </c>
      <c r="G77" s="6" t="inlineStr">
        <is>
          <t>Aetna Medicare HMO</t>
        </is>
      </c>
      <c r="H77" s="6" t="inlineStr">
        <is>
          <t>Aetna Medicare HMO</t>
        </is>
      </c>
      <c r="I77" s="6" t="inlineStr">
        <is>
          <t>No Payer</t>
        </is>
      </c>
      <c r="J77" s="6" t="inlineStr">
        <is>
          <t>37242</t>
        </is>
      </c>
      <c r="K77" s="4" t="n"/>
      <c r="L77" s="5">
        <f>IF($M77="","",$M77-TODAY())</f>
        <v/>
      </c>
      <c r="M77" s="7" t="n">
        <v>46322</v>
      </c>
      <c r="N77" s="6" t="inlineStr">
        <is>
          <t>120 days</t>
        </is>
      </c>
      <c r="O77" s="6" t="inlineStr">
        <is>
          <t>AETNA</t>
        </is>
      </c>
      <c r="P77" s="6" t="n"/>
      <c r="Q77" s="6" t="n"/>
      <c r="R77" s="6" t="n"/>
      <c r="S77" s="5" t="n">
        <v>1</v>
      </c>
      <c r="T77" s="8" t="n">
        <v>49162.82</v>
      </c>
      <c r="U77" s="8" t="n">
        <v>0</v>
      </c>
      <c r="V77" s="8" t="n">
        <v>0</v>
      </c>
      <c r="W77" s="6" t="n"/>
      <c r="X77" s="8" t="n">
        <v>49162.82</v>
      </c>
      <c r="Y77" s="5" t="n">
        <v>40</v>
      </c>
      <c r="Z77" s="6" t="inlineStr">
        <is>
          <t>M1711</t>
        </is>
      </c>
      <c r="AA77" s="6" t="inlineStr">
        <is>
          <t>I798</t>
        </is>
      </c>
      <c r="AB77" s="6" t="inlineStr">
        <is>
          <t>M25561</t>
        </is>
      </c>
      <c r="AC77" s="6" t="n"/>
      <c r="AD77" s="5" t="n"/>
      <c r="AE77" s="6" t="inlineStr">
        <is>
          <t>HUNTER, DREW</t>
        </is>
      </c>
      <c r="AF77" s="6" t="inlineStr">
        <is>
          <t>Premier Endoscopy Center, LLC</t>
        </is>
      </c>
      <c r="AG77" s="6" t="inlineStr">
        <is>
          <t>07/13/2026</t>
        </is>
      </c>
      <c r="AH77" s="6" t="inlineStr">
        <is>
          <t>GAE</t>
        </is>
      </c>
      <c r="AI77" s="9" t="inlineStr">
        <is>
          <t>120 days is per our contract rather than a published Aetna policy.</t>
        </is>
      </c>
      <c r="AJ77" s="5" t="n">
        <v>1055</v>
      </c>
    </row>
    <row r="78">
      <c r="A78" s="2" t="n"/>
      <c r="B78" s="3" t="n"/>
      <c r="C78" s="4" t="n"/>
      <c r="D78" s="5" t="n">
        <v>565096314</v>
      </c>
      <c r="E78" s="6" t="inlineStr">
        <is>
          <t>HF552241760</t>
        </is>
      </c>
      <c r="F78" s="6" t="inlineStr">
        <is>
          <t>06/01/2026</t>
        </is>
      </c>
      <c r="G78" s="6" t="inlineStr">
        <is>
          <t>Mercy Care Plan (AHCCCS) - Complete Care &amp; Long Term Care (LTC)</t>
        </is>
      </c>
      <c r="H78" s="6" t="inlineStr">
        <is>
          <t>Mercy Care Plan (AHCCCS) - Complete Care &amp; Long Term Care (LTC)</t>
        </is>
      </c>
      <c r="I78" s="6" t="inlineStr">
        <is>
          <t>No Payer</t>
        </is>
      </c>
      <c r="J78" s="6" t="inlineStr">
        <is>
          <t>37242</t>
        </is>
      </c>
      <c r="K78" s="4" t="n"/>
      <c r="L78" s="5">
        <f>IF($M78="","",$M78-TODAY())</f>
        <v/>
      </c>
      <c r="M78" s="7" t="n">
        <v>46354</v>
      </c>
      <c r="N78" s="6" t="inlineStr">
        <is>
          <t>180 days</t>
        </is>
      </c>
      <c r="O78" s="6" t="inlineStr">
        <is>
          <t>MERCY CARE MEDICAID</t>
        </is>
      </c>
      <c r="P78" s="6" t="n"/>
      <c r="Q78" s="6" t="n"/>
      <c r="R78" s="6" t="n"/>
      <c r="S78" s="5" t="n">
        <v>1</v>
      </c>
      <c r="T78" s="8" t="n">
        <v>49162.82</v>
      </c>
      <c r="U78" s="8" t="n">
        <v>0</v>
      </c>
      <c r="V78" s="8" t="n">
        <v>0</v>
      </c>
      <c r="W78" s="6" t="n"/>
      <c r="X78" s="8" t="n">
        <v>49162.82</v>
      </c>
      <c r="Y78" s="5" t="n">
        <v>68</v>
      </c>
      <c r="Z78" s="6" t="inlineStr">
        <is>
          <t>M1711</t>
        </is>
      </c>
      <c r="AA78" s="6" t="inlineStr">
        <is>
          <t>I798</t>
        </is>
      </c>
      <c r="AB78" s="6" t="inlineStr">
        <is>
          <t>M25561</t>
        </is>
      </c>
      <c r="AC78" s="6" t="n"/>
      <c r="AD78" s="5" t="n"/>
      <c r="AE78" s="6" t="inlineStr">
        <is>
          <t>HUNTER, DREW</t>
        </is>
      </c>
      <c r="AF78" s="6" t="inlineStr">
        <is>
          <t>ASAP - Gilbert</t>
        </is>
      </c>
      <c r="AG78" s="6" t="inlineStr">
        <is>
          <t>07/13/2026</t>
        </is>
      </c>
      <c r="AH78" s="6" t="inlineStr">
        <is>
          <t>GAE</t>
        </is>
      </c>
      <c r="AI78" s="9" t="n"/>
      <c r="AJ78" s="5" t="n">
        <v>416</v>
      </c>
    </row>
    <row r="79">
      <c r="A79" s="2" t="n"/>
      <c r="B79" s="3" t="n"/>
      <c r="C79" s="4" t="n"/>
      <c r="D79" s="5" t="n">
        <v>565096314</v>
      </c>
      <c r="E79" s="6" t="inlineStr">
        <is>
          <t>HF552241760</t>
        </is>
      </c>
      <c r="F79" s="6" t="inlineStr">
        <is>
          <t>06/01/2026</t>
        </is>
      </c>
      <c r="G79" s="6" t="inlineStr">
        <is>
          <t>Mercy Care Plan (AHCCCS) - Complete Care &amp; Long Term Care (LTC)</t>
        </is>
      </c>
      <c r="H79" s="6" t="inlineStr">
        <is>
          <t>Mercy Care Plan (AHCCCS) - Complete Care &amp; Long Term Care (LTC)</t>
        </is>
      </c>
      <c r="I79" s="6" t="inlineStr">
        <is>
          <t>No Payer</t>
        </is>
      </c>
      <c r="J79" s="6" t="inlineStr">
        <is>
          <t>75710</t>
        </is>
      </c>
      <c r="K79" s="4" t="n"/>
      <c r="L79" s="5">
        <f>IF($M79="","",$M79-TODAY())</f>
        <v/>
      </c>
      <c r="M79" s="7" t="n">
        <v>46354</v>
      </c>
      <c r="N79" s="6" t="inlineStr">
        <is>
          <t>180 days</t>
        </is>
      </c>
      <c r="O79" s="6" t="inlineStr">
        <is>
          <t>MERCY CARE MEDICAID</t>
        </is>
      </c>
      <c r="P79" s="6" t="inlineStr">
        <is>
          <t>XU</t>
        </is>
      </c>
      <c r="Q79" s="6" t="inlineStr">
        <is>
          <t>RT</t>
        </is>
      </c>
      <c r="R79" s="6" t="n"/>
      <c r="S79" s="5" t="n">
        <v>1</v>
      </c>
      <c r="T79" s="8" t="n">
        <v>1037.19</v>
      </c>
      <c r="U79" s="8" t="n">
        <v>0</v>
      </c>
      <c r="V79" s="8" t="n">
        <v>0</v>
      </c>
      <c r="W79" s="6" t="n"/>
      <c r="X79" s="8" t="n">
        <v>1037.19</v>
      </c>
      <c r="Y79" s="5" t="n">
        <v>68</v>
      </c>
      <c r="Z79" s="6" t="inlineStr">
        <is>
          <t>M1711</t>
        </is>
      </c>
      <c r="AA79" s="6" t="inlineStr">
        <is>
          <t>I798</t>
        </is>
      </c>
      <c r="AB79" s="6" t="inlineStr">
        <is>
          <t>M25561</t>
        </is>
      </c>
      <c r="AC79" s="6" t="n"/>
      <c r="AD79" s="5" t="n"/>
      <c r="AE79" s="6" t="inlineStr">
        <is>
          <t>HUNTER, DREW</t>
        </is>
      </c>
      <c r="AF79" s="6" t="inlineStr">
        <is>
          <t>ASAP - Gilbert</t>
        </is>
      </c>
      <c r="AG79" s="6" t="inlineStr">
        <is>
          <t>07/13/2026</t>
        </is>
      </c>
      <c r="AH79" s="6" t="inlineStr">
        <is>
          <t>GAE</t>
        </is>
      </c>
      <c r="AI79" s="9" t="n"/>
      <c r="AJ79" s="5" t="n">
        <v>417</v>
      </c>
    </row>
    <row r="80">
      <c r="A80" s="2" t="n"/>
      <c r="B80" s="3" t="n"/>
      <c r="C80" s="4" t="n"/>
      <c r="D80" s="5" t="n">
        <v>565096314</v>
      </c>
      <c r="E80" s="6" t="inlineStr">
        <is>
          <t>HF552241760</t>
        </is>
      </c>
      <c r="F80" s="6" t="inlineStr">
        <is>
          <t>06/01/2026</t>
        </is>
      </c>
      <c r="G80" s="6" t="inlineStr">
        <is>
          <t>Mercy Care Plan (AHCCCS) - Complete Care &amp; Long Term Care (LTC)</t>
        </is>
      </c>
      <c r="H80" s="6" t="inlineStr">
        <is>
          <t>Mercy Care Plan (AHCCCS) - Complete Care &amp; Long Term Care (LTC)</t>
        </is>
      </c>
      <c r="I80" s="6" t="inlineStr">
        <is>
          <t>No Payer</t>
        </is>
      </c>
      <c r="J80" s="6" t="inlineStr">
        <is>
          <t>75774</t>
        </is>
      </c>
      <c r="K80" s="4" t="n"/>
      <c r="L80" s="5">
        <f>IF($M80="","",$M80-TODAY())</f>
        <v/>
      </c>
      <c r="M80" s="7" t="n">
        <v>46354</v>
      </c>
      <c r="N80" s="6" t="inlineStr">
        <is>
          <t>180 days</t>
        </is>
      </c>
      <c r="O80" s="6" t="inlineStr">
        <is>
          <t>MERCY CARE MEDICAID</t>
        </is>
      </c>
      <c r="P80" s="6" t="inlineStr">
        <is>
          <t>XU</t>
        </is>
      </c>
      <c r="Q80" s="6" t="n"/>
      <c r="R80" s="6" t="n"/>
      <c r="S80" s="5" t="n">
        <v>5</v>
      </c>
      <c r="T80" s="8" t="n">
        <v>3356.5</v>
      </c>
      <c r="U80" s="8" t="n">
        <v>0</v>
      </c>
      <c r="V80" s="8" t="n">
        <v>0</v>
      </c>
      <c r="W80" s="6" t="n"/>
      <c r="X80" s="8" t="n">
        <v>3356.5</v>
      </c>
      <c r="Y80" s="5" t="n">
        <v>68</v>
      </c>
      <c r="Z80" s="6" t="inlineStr">
        <is>
          <t>M1711</t>
        </is>
      </c>
      <c r="AA80" s="6" t="inlineStr">
        <is>
          <t>I798</t>
        </is>
      </c>
      <c r="AB80" s="6" t="inlineStr">
        <is>
          <t>M25561</t>
        </is>
      </c>
      <c r="AC80" s="6" t="n"/>
      <c r="AD80" s="5" t="n"/>
      <c r="AE80" s="6" t="inlineStr">
        <is>
          <t>HUNTER, DREW</t>
        </is>
      </c>
      <c r="AF80" s="6" t="inlineStr">
        <is>
          <t>ASAP - Gilbert</t>
        </is>
      </c>
      <c r="AG80" s="6" t="inlineStr">
        <is>
          <t>07/13/2026</t>
        </is>
      </c>
      <c r="AH80" s="6" t="inlineStr">
        <is>
          <t>GAE</t>
        </is>
      </c>
      <c r="AI80" s="9" t="n"/>
      <c r="AJ80" s="5" t="n">
        <v>418</v>
      </c>
    </row>
    <row r="81">
      <c r="A81" s="2" t="n"/>
      <c r="B81" s="3" t="n"/>
      <c r="C81" s="4" t="n"/>
      <c r="D81" s="5" t="n">
        <v>565096314</v>
      </c>
      <c r="E81" s="6" t="inlineStr">
        <is>
          <t>HF552241760</t>
        </is>
      </c>
      <c r="F81" s="6" t="inlineStr">
        <is>
          <t>06/01/2026</t>
        </is>
      </c>
      <c r="G81" s="6" t="inlineStr">
        <is>
          <t>Mercy Care Plan (AHCCCS) - Complete Care &amp; Long Term Care (LTC)</t>
        </is>
      </c>
      <c r="H81" s="6" t="inlineStr">
        <is>
          <t>Mercy Care Plan (AHCCCS) - Complete Care &amp; Long Term Care (LTC)</t>
        </is>
      </c>
      <c r="I81" s="6" t="inlineStr">
        <is>
          <t>No Payer</t>
        </is>
      </c>
      <c r="J81" s="6" t="inlineStr">
        <is>
          <t>76937</t>
        </is>
      </c>
      <c r="K81" s="4" t="n"/>
      <c r="L81" s="5">
        <f>IF($M81="","",$M81-TODAY())</f>
        <v/>
      </c>
      <c r="M81" s="7" t="n">
        <v>46354</v>
      </c>
      <c r="N81" s="6" t="inlineStr">
        <is>
          <t>180 days</t>
        </is>
      </c>
      <c r="O81" s="6" t="inlineStr">
        <is>
          <t>MERCY CARE MEDICAID</t>
        </is>
      </c>
      <c r="P81" s="6" t="n"/>
      <c r="Q81" s="6" t="n"/>
      <c r="R81" s="6" t="n"/>
      <c r="S81" s="5" t="n">
        <v>1</v>
      </c>
      <c r="T81" s="8" t="n">
        <v>271.18</v>
      </c>
      <c r="U81" s="8" t="n">
        <v>0</v>
      </c>
      <c r="V81" s="8" t="n">
        <v>0</v>
      </c>
      <c r="W81" s="6" t="n"/>
      <c r="X81" s="8" t="n">
        <v>271.18</v>
      </c>
      <c r="Y81" s="5" t="n">
        <v>68</v>
      </c>
      <c r="Z81" s="6" t="inlineStr">
        <is>
          <t>M1711</t>
        </is>
      </c>
      <c r="AA81" s="6" t="inlineStr">
        <is>
          <t>I798</t>
        </is>
      </c>
      <c r="AB81" s="6" t="inlineStr">
        <is>
          <t>M25561</t>
        </is>
      </c>
      <c r="AC81" s="6" t="n"/>
      <c r="AD81" s="5" t="n"/>
      <c r="AE81" s="6" t="inlineStr">
        <is>
          <t>HUNTER, DREW</t>
        </is>
      </c>
      <c r="AF81" s="6" t="inlineStr">
        <is>
          <t>ASAP - Gilbert</t>
        </is>
      </c>
      <c r="AG81" s="6" t="inlineStr">
        <is>
          <t>07/13/2026</t>
        </is>
      </c>
      <c r="AH81" s="6" t="inlineStr">
        <is>
          <t>GAE</t>
        </is>
      </c>
      <c r="AI81" s="9" t="n"/>
      <c r="AJ81" s="5" t="n">
        <v>419</v>
      </c>
    </row>
    <row r="82">
      <c r="A82" s="2" t="n"/>
      <c r="B82" s="3" t="n"/>
      <c r="C82" s="4" t="n"/>
      <c r="D82" s="5" t="n">
        <v>565096314</v>
      </c>
      <c r="E82" s="6" t="inlineStr">
        <is>
          <t>HF552241760</t>
        </is>
      </c>
      <c r="F82" s="6" t="inlineStr">
        <is>
          <t>06/01/2026</t>
        </is>
      </c>
      <c r="G82" s="6" t="inlineStr">
        <is>
          <t>Mercy Care Plan (AHCCCS) - Complete Care &amp; Long Term Care (LTC)</t>
        </is>
      </c>
      <c r="H82" s="6" t="inlineStr">
        <is>
          <t>Mercy Care Plan (AHCCCS) - Complete Care &amp; Long Term Care (LTC)</t>
        </is>
      </c>
      <c r="I82" s="6" t="inlineStr">
        <is>
          <t>No Payer</t>
        </is>
      </c>
      <c r="J82" s="6" t="inlineStr">
        <is>
          <t>36246</t>
        </is>
      </c>
      <c r="K82" s="4" t="n"/>
      <c r="L82" s="5">
        <f>IF($M82="","",$M82-TODAY())</f>
        <v/>
      </c>
      <c r="M82" s="7" t="n">
        <v>46354</v>
      </c>
      <c r="N82" s="6" t="inlineStr">
        <is>
          <t>180 days</t>
        </is>
      </c>
      <c r="O82" s="6" t="inlineStr">
        <is>
          <t>MERCY CARE MEDICAID</t>
        </is>
      </c>
      <c r="P82" s="6" t="inlineStr">
        <is>
          <t>59</t>
        </is>
      </c>
      <c r="Q82" s="6" t="inlineStr">
        <is>
          <t>RT</t>
        </is>
      </c>
      <c r="R82" s="6" t="n"/>
      <c r="S82" s="5" t="n">
        <v>1</v>
      </c>
      <c r="T82" s="8" t="n">
        <v>5741.19</v>
      </c>
      <c r="U82" s="8" t="n">
        <v>0</v>
      </c>
      <c r="V82" s="8" t="n">
        <v>0</v>
      </c>
      <c r="W82" s="6" t="n"/>
      <c r="X82" s="8" t="n">
        <v>5741.19</v>
      </c>
      <c r="Y82" s="5" t="n">
        <v>68</v>
      </c>
      <c r="Z82" s="6" t="inlineStr">
        <is>
          <t>M1711</t>
        </is>
      </c>
      <c r="AA82" s="6" t="inlineStr">
        <is>
          <t>I798</t>
        </is>
      </c>
      <c r="AB82" s="6" t="inlineStr">
        <is>
          <t>M25561</t>
        </is>
      </c>
      <c r="AC82" s="6" t="n"/>
      <c r="AD82" s="5" t="n"/>
      <c r="AE82" s="6" t="inlineStr">
        <is>
          <t>HUNTER, DREW</t>
        </is>
      </c>
      <c r="AF82" s="6" t="inlineStr">
        <is>
          <t>ASAP - Gilbert</t>
        </is>
      </c>
      <c r="AG82" s="6" t="inlineStr">
        <is>
          <t>07/13/2026</t>
        </is>
      </c>
      <c r="AH82" s="6" t="inlineStr">
        <is>
          <t>GAE</t>
        </is>
      </c>
      <c r="AI82" s="9" t="n"/>
      <c r="AJ82" s="5" t="n">
        <v>420</v>
      </c>
    </row>
    <row r="83">
      <c r="A83" s="2" t="n"/>
      <c r="B83" s="3" t="n"/>
      <c r="C83" s="4" t="n"/>
      <c r="D83" s="5" t="n">
        <v>565096314</v>
      </c>
      <c r="E83" s="6" t="inlineStr">
        <is>
          <t>HF552241760</t>
        </is>
      </c>
      <c r="F83" s="6" t="inlineStr">
        <is>
          <t>06/01/2026</t>
        </is>
      </c>
      <c r="G83" s="6" t="inlineStr">
        <is>
          <t>Mercy Care Plan (AHCCCS) - Complete Care &amp; Long Term Care (LTC)</t>
        </is>
      </c>
      <c r="H83" s="6" t="inlineStr">
        <is>
          <t>Mercy Care Plan (AHCCCS) - Complete Care &amp; Long Term Care (LTC)</t>
        </is>
      </c>
      <c r="I83" s="6" t="inlineStr">
        <is>
          <t>No Payer</t>
        </is>
      </c>
      <c r="J83" s="6" t="inlineStr">
        <is>
          <t>36248</t>
        </is>
      </c>
      <c r="K83" s="4" t="n"/>
      <c r="L83" s="5">
        <f>IF($M83="","",$M83-TODAY())</f>
        <v/>
      </c>
      <c r="M83" s="7" t="n">
        <v>46354</v>
      </c>
      <c r="N83" s="6" t="inlineStr">
        <is>
          <t>180 days</t>
        </is>
      </c>
      <c r="O83" s="6" t="inlineStr">
        <is>
          <t>MERCY CARE MEDICAID</t>
        </is>
      </c>
      <c r="P83" s="6" t="inlineStr">
        <is>
          <t>59</t>
        </is>
      </c>
      <c r="Q83" s="6" t="n"/>
      <c r="R83" s="6" t="n"/>
      <c r="S83" s="5" t="n">
        <v>3</v>
      </c>
      <c r="T83" s="8" t="n">
        <v>2422.77</v>
      </c>
      <c r="U83" s="8" t="n">
        <v>0</v>
      </c>
      <c r="V83" s="8" t="n">
        <v>0</v>
      </c>
      <c r="W83" s="6" t="n"/>
      <c r="X83" s="8" t="n">
        <v>2422.77</v>
      </c>
      <c r="Y83" s="5" t="n">
        <v>68</v>
      </c>
      <c r="Z83" s="6" t="inlineStr">
        <is>
          <t>M1711</t>
        </is>
      </c>
      <c r="AA83" s="6" t="inlineStr">
        <is>
          <t>I798</t>
        </is>
      </c>
      <c r="AB83" s="6" t="inlineStr">
        <is>
          <t>M25561</t>
        </is>
      </c>
      <c r="AC83" s="6" t="n"/>
      <c r="AD83" s="5" t="n"/>
      <c r="AE83" s="6" t="inlineStr">
        <is>
          <t>HUNTER, DREW</t>
        </is>
      </c>
      <c r="AF83" s="6" t="inlineStr">
        <is>
          <t>ASAP - Gilbert</t>
        </is>
      </c>
      <c r="AG83" s="6" t="inlineStr">
        <is>
          <t>07/13/2026</t>
        </is>
      </c>
      <c r="AH83" s="6" t="inlineStr">
        <is>
          <t>GAE</t>
        </is>
      </c>
      <c r="AI83" s="9" t="n"/>
      <c r="AJ83" s="5" t="n">
        <v>421</v>
      </c>
    </row>
    <row r="84">
      <c r="A84" s="2" t="n"/>
      <c r="B84" s="3" t="n"/>
      <c r="C84" s="4" t="n"/>
      <c r="D84" s="5" t="n">
        <v>565096314</v>
      </c>
      <c r="E84" s="6" t="inlineStr">
        <is>
          <t>HF552241760</t>
        </is>
      </c>
      <c r="F84" s="6" t="inlineStr">
        <is>
          <t>06/01/2026</t>
        </is>
      </c>
      <c r="G84" s="6" t="inlineStr">
        <is>
          <t>Mercy Care Plan (AHCCCS) - Complete Care &amp; Long Term Care (LTC)</t>
        </is>
      </c>
      <c r="H84" s="6" t="inlineStr">
        <is>
          <t>Mercy Care Plan (AHCCCS) - Complete Care &amp; Long Term Care (LTC)</t>
        </is>
      </c>
      <c r="I84" s="6" t="inlineStr">
        <is>
          <t>No Payer</t>
        </is>
      </c>
      <c r="J84" s="6" t="inlineStr">
        <is>
          <t>36245</t>
        </is>
      </c>
      <c r="K84" s="4" t="n"/>
      <c r="L84" s="5">
        <f>IF($M84="","",$M84-TODAY())</f>
        <v/>
      </c>
      <c r="M84" s="7" t="n">
        <v>46354</v>
      </c>
      <c r="N84" s="6" t="inlineStr">
        <is>
          <t>180 days</t>
        </is>
      </c>
      <c r="O84" s="6" t="inlineStr">
        <is>
          <t>MERCY CARE MEDICAID</t>
        </is>
      </c>
      <c r="P84" s="6" t="inlineStr">
        <is>
          <t>59</t>
        </is>
      </c>
      <c r="Q84" s="6" t="n"/>
      <c r="R84" s="6" t="n"/>
      <c r="S84" s="5" t="n">
        <v>1</v>
      </c>
      <c r="T84" s="8" t="n">
        <v>8566.040000000001</v>
      </c>
      <c r="U84" s="8" t="n">
        <v>0</v>
      </c>
      <c r="V84" s="8" t="n">
        <v>0</v>
      </c>
      <c r="W84" s="6" t="n"/>
      <c r="X84" s="8" t="n">
        <v>8566.040000000001</v>
      </c>
      <c r="Y84" s="5" t="n">
        <v>68</v>
      </c>
      <c r="Z84" s="6" t="inlineStr">
        <is>
          <t>M1711</t>
        </is>
      </c>
      <c r="AA84" s="6" t="inlineStr">
        <is>
          <t>I798</t>
        </is>
      </c>
      <c r="AB84" s="6" t="inlineStr">
        <is>
          <t>M25561</t>
        </is>
      </c>
      <c r="AC84" s="6" t="n"/>
      <c r="AD84" s="5" t="n"/>
      <c r="AE84" s="6" t="inlineStr">
        <is>
          <t>HUNTER, DREW</t>
        </is>
      </c>
      <c r="AF84" s="6" t="inlineStr">
        <is>
          <t>ASAP - Gilbert</t>
        </is>
      </c>
      <c r="AG84" s="6" t="inlineStr">
        <is>
          <t>07/13/2026</t>
        </is>
      </c>
      <c r="AH84" s="6" t="inlineStr">
        <is>
          <t>GAE</t>
        </is>
      </c>
      <c r="AI84" s="9" t="n"/>
      <c r="AJ84" s="5" t="n">
        <v>726</v>
      </c>
    </row>
    <row r="85">
      <c r="A85" s="2" t="n"/>
      <c r="B85" s="3" t="n"/>
      <c r="C85" s="4" t="n"/>
      <c r="D85" s="5" t="n">
        <v>565105811</v>
      </c>
      <c r="E85" s="6" t="inlineStr">
        <is>
          <t>HF494572444</t>
        </is>
      </c>
      <c r="F85" s="6" t="inlineStr">
        <is>
          <t>06/15/2026</t>
        </is>
      </c>
      <c r="G85" s="6" t="inlineStr">
        <is>
          <t>Mercy Care Plan (AHCCCS) - Complete Care &amp; Long Term Care (LTC)</t>
        </is>
      </c>
      <c r="H85" s="6" t="inlineStr">
        <is>
          <t>Mercy Care Plan (AHCCCS) - Complete Care &amp; Long Term Care (LTC)</t>
        </is>
      </c>
      <c r="I85" s="6" t="inlineStr">
        <is>
          <t>No Payer</t>
        </is>
      </c>
      <c r="J85" s="6" t="inlineStr">
        <is>
          <t>75710</t>
        </is>
      </c>
      <c r="K85" s="4" t="n"/>
      <c r="L85" s="5">
        <f>IF($M85="","",$M85-TODAY())</f>
        <v/>
      </c>
      <c r="M85" s="7" t="n">
        <v>46368</v>
      </c>
      <c r="N85" s="6" t="inlineStr">
        <is>
          <t>180 days</t>
        </is>
      </c>
      <c r="O85" s="6" t="inlineStr">
        <is>
          <t>MERCY CARE MEDICAID</t>
        </is>
      </c>
      <c r="P85" s="6" t="inlineStr">
        <is>
          <t>26</t>
        </is>
      </c>
      <c r="Q85" s="6" t="inlineStr">
        <is>
          <t>XU</t>
        </is>
      </c>
      <c r="R85" s="6" t="inlineStr">
        <is>
          <t>LT</t>
        </is>
      </c>
      <c r="S85" s="5" t="n">
        <v>1</v>
      </c>
      <c r="T85" s="8" t="n">
        <v>1037.19</v>
      </c>
      <c r="U85" s="8" t="n">
        <v>0</v>
      </c>
      <c r="V85" s="8" t="n">
        <v>0</v>
      </c>
      <c r="W85" s="6" t="n"/>
      <c r="X85" s="8" t="n">
        <v>1037.19</v>
      </c>
      <c r="Y85" s="5" t="n">
        <v>54</v>
      </c>
      <c r="Z85" s="6" t="inlineStr">
        <is>
          <t>M1712</t>
        </is>
      </c>
      <c r="AA85" s="6" t="inlineStr">
        <is>
          <t>I798</t>
        </is>
      </c>
      <c r="AB85" s="6" t="inlineStr">
        <is>
          <t>M25562</t>
        </is>
      </c>
      <c r="AC85" s="6" t="n"/>
      <c r="AD85" s="5" t="n"/>
      <c r="AE85" s="6" t="inlineStr">
        <is>
          <t>HUNTER, DREW</t>
        </is>
      </c>
      <c r="AF85" s="6" t="inlineStr">
        <is>
          <t>Premier Endoscopy Center, LLC</t>
        </is>
      </c>
      <c r="AG85" s="6" t="inlineStr">
        <is>
          <t>07/13/2026</t>
        </is>
      </c>
      <c r="AH85" s="6" t="inlineStr">
        <is>
          <t>GAE</t>
        </is>
      </c>
      <c r="AI85" s="9" t="n"/>
      <c r="AJ85" s="5" t="n">
        <v>959</v>
      </c>
    </row>
    <row r="86">
      <c r="A86" s="2" t="n"/>
      <c r="B86" s="3" t="n"/>
      <c r="C86" s="4" t="n"/>
      <c r="D86" s="5" t="n">
        <v>565105811</v>
      </c>
      <c r="E86" s="6" t="inlineStr">
        <is>
          <t>HF494572444</t>
        </is>
      </c>
      <c r="F86" s="6" t="inlineStr">
        <is>
          <t>06/15/2026</t>
        </is>
      </c>
      <c r="G86" s="6" t="inlineStr">
        <is>
          <t>Mercy Care Plan (AHCCCS) - Complete Care &amp; Long Term Care (LTC)</t>
        </is>
      </c>
      <c r="H86" s="6" t="inlineStr">
        <is>
          <t>Mercy Care Plan (AHCCCS) - Complete Care &amp; Long Term Care (LTC)</t>
        </is>
      </c>
      <c r="I86" s="6" t="inlineStr">
        <is>
          <t>No Payer</t>
        </is>
      </c>
      <c r="J86" s="6" t="inlineStr">
        <is>
          <t>76937</t>
        </is>
      </c>
      <c r="K86" s="4" t="n"/>
      <c r="L86" s="5">
        <f>IF($M86="","",$M86-TODAY())</f>
        <v/>
      </c>
      <c r="M86" s="7" t="n">
        <v>46368</v>
      </c>
      <c r="N86" s="6" t="inlineStr">
        <is>
          <t>180 days</t>
        </is>
      </c>
      <c r="O86" s="6" t="inlineStr">
        <is>
          <t>MERCY CARE MEDICAID</t>
        </is>
      </c>
      <c r="P86" s="6" t="inlineStr">
        <is>
          <t>26</t>
        </is>
      </c>
      <c r="Q86" s="6" t="n"/>
      <c r="R86" s="6" t="n"/>
      <c r="S86" s="5" t="n">
        <v>1</v>
      </c>
      <c r="T86" s="8" t="n">
        <v>271.18</v>
      </c>
      <c r="U86" s="8" t="n">
        <v>0</v>
      </c>
      <c r="V86" s="8" t="n">
        <v>0</v>
      </c>
      <c r="W86" s="6" t="n"/>
      <c r="X86" s="8" t="n">
        <v>271.18</v>
      </c>
      <c r="Y86" s="5" t="n">
        <v>54</v>
      </c>
      <c r="Z86" s="6" t="inlineStr">
        <is>
          <t>M1712</t>
        </is>
      </c>
      <c r="AA86" s="6" t="inlineStr">
        <is>
          <t>I798</t>
        </is>
      </c>
      <c r="AB86" s="6" t="inlineStr">
        <is>
          <t>M25562</t>
        </is>
      </c>
      <c r="AC86" s="6" t="n"/>
      <c r="AD86" s="5" t="n"/>
      <c r="AE86" s="6" t="inlineStr">
        <is>
          <t>HUNTER, DREW</t>
        </is>
      </c>
      <c r="AF86" s="6" t="inlineStr">
        <is>
          <t>Premier Endoscopy Center, LLC</t>
        </is>
      </c>
      <c r="AG86" s="6" t="inlineStr">
        <is>
          <t>07/13/2026</t>
        </is>
      </c>
      <c r="AH86" s="6" t="inlineStr">
        <is>
          <t>GAE</t>
        </is>
      </c>
      <c r="AI86" s="9" t="n"/>
      <c r="AJ86" s="5" t="n">
        <v>960</v>
      </c>
    </row>
    <row r="87">
      <c r="A87" s="2" t="n"/>
      <c r="B87" s="3" t="n"/>
      <c r="C87" s="4" t="n"/>
      <c r="D87" s="5" t="n">
        <v>565105811</v>
      </c>
      <c r="E87" s="6" t="inlineStr">
        <is>
          <t>HF494572444</t>
        </is>
      </c>
      <c r="F87" s="6" t="inlineStr">
        <is>
          <t>06/15/2026</t>
        </is>
      </c>
      <c r="G87" s="6" t="inlineStr">
        <is>
          <t>Mercy Care Plan (AHCCCS) - Complete Care &amp; Long Term Care (LTC)</t>
        </is>
      </c>
      <c r="H87" s="6" t="inlineStr">
        <is>
          <t>Mercy Care Plan (AHCCCS) - Complete Care &amp; Long Term Care (LTC)</t>
        </is>
      </c>
      <c r="I87" s="6" t="inlineStr">
        <is>
          <t>No Payer</t>
        </is>
      </c>
      <c r="J87" s="6" t="inlineStr">
        <is>
          <t>36246</t>
        </is>
      </c>
      <c r="K87" s="4" t="n"/>
      <c r="L87" s="5">
        <f>IF($M87="","",$M87-TODAY())</f>
        <v/>
      </c>
      <c r="M87" s="7" t="n">
        <v>46368</v>
      </c>
      <c r="N87" s="6" t="inlineStr">
        <is>
          <t>180 days</t>
        </is>
      </c>
      <c r="O87" s="6" t="inlineStr">
        <is>
          <t>MERCY CARE MEDICAID</t>
        </is>
      </c>
      <c r="P87" s="6" t="inlineStr">
        <is>
          <t>59</t>
        </is>
      </c>
      <c r="Q87" s="6" t="inlineStr">
        <is>
          <t>LT</t>
        </is>
      </c>
      <c r="R87" s="6" t="n"/>
      <c r="S87" s="5" t="n">
        <v>1</v>
      </c>
      <c r="T87" s="8" t="n">
        <v>5741.19</v>
      </c>
      <c r="U87" s="8" t="n">
        <v>0</v>
      </c>
      <c r="V87" s="8" t="n">
        <v>0</v>
      </c>
      <c r="W87" s="6" t="n"/>
      <c r="X87" s="8" t="n">
        <v>5741.19</v>
      </c>
      <c r="Y87" s="5" t="n">
        <v>54</v>
      </c>
      <c r="Z87" s="6" t="inlineStr">
        <is>
          <t>M1712</t>
        </is>
      </c>
      <c r="AA87" s="6" t="inlineStr">
        <is>
          <t>I798</t>
        </is>
      </c>
      <c r="AB87" s="6" t="inlineStr">
        <is>
          <t>M25562</t>
        </is>
      </c>
      <c r="AC87" s="6" t="n"/>
      <c r="AD87" s="5" t="n"/>
      <c r="AE87" s="6" t="inlineStr">
        <is>
          <t>HUNTER, DREW</t>
        </is>
      </c>
      <c r="AF87" s="6" t="inlineStr">
        <is>
          <t>Premier Endoscopy Center, LLC</t>
        </is>
      </c>
      <c r="AG87" s="6" t="inlineStr">
        <is>
          <t>07/13/2026</t>
        </is>
      </c>
      <c r="AH87" s="6" t="inlineStr">
        <is>
          <t>GAE</t>
        </is>
      </c>
      <c r="AI87" s="9" t="n"/>
      <c r="AJ87" s="5" t="n">
        <v>961</v>
      </c>
    </row>
    <row r="88">
      <c r="A88" s="2" t="n"/>
      <c r="B88" s="3" t="n"/>
      <c r="C88" s="4" t="n"/>
      <c r="D88" s="5" t="n">
        <v>565105811</v>
      </c>
      <c r="E88" s="6" t="inlineStr">
        <is>
          <t>HF494572444</t>
        </is>
      </c>
      <c r="F88" s="6" t="inlineStr">
        <is>
          <t>06/15/2026</t>
        </is>
      </c>
      <c r="G88" s="6" t="inlineStr">
        <is>
          <t>Mercy Care Plan (AHCCCS) - Complete Care &amp; Long Term Care (LTC)</t>
        </is>
      </c>
      <c r="H88" s="6" t="inlineStr">
        <is>
          <t>Mercy Care Plan (AHCCCS) - Complete Care &amp; Long Term Care (LTC)</t>
        </is>
      </c>
      <c r="I88" s="6" t="inlineStr">
        <is>
          <t>No Payer</t>
        </is>
      </c>
      <c r="J88" s="6" t="inlineStr">
        <is>
          <t>37242</t>
        </is>
      </c>
      <c r="K88" s="4" t="n"/>
      <c r="L88" s="5">
        <f>IF($M88="","",$M88-TODAY())</f>
        <v/>
      </c>
      <c r="M88" s="7" t="n">
        <v>46368</v>
      </c>
      <c r="N88" s="6" t="inlineStr">
        <is>
          <t>180 days</t>
        </is>
      </c>
      <c r="O88" s="6" t="inlineStr">
        <is>
          <t>MERCY CARE MEDICAID</t>
        </is>
      </c>
      <c r="P88" s="6" t="n"/>
      <c r="Q88" s="6" t="n"/>
      <c r="R88" s="6" t="n"/>
      <c r="S88" s="5" t="n">
        <v>1</v>
      </c>
      <c r="T88" s="8" t="n">
        <v>49162.82</v>
      </c>
      <c r="U88" s="8" t="n">
        <v>0</v>
      </c>
      <c r="V88" s="8" t="n">
        <v>0</v>
      </c>
      <c r="W88" s="6" t="n"/>
      <c r="X88" s="8" t="n">
        <v>49162.82</v>
      </c>
      <c r="Y88" s="5" t="n">
        <v>54</v>
      </c>
      <c r="Z88" s="6" t="inlineStr">
        <is>
          <t>M1712</t>
        </is>
      </c>
      <c r="AA88" s="6" t="inlineStr">
        <is>
          <t>I798</t>
        </is>
      </c>
      <c r="AB88" s="6" t="inlineStr">
        <is>
          <t>M25562</t>
        </is>
      </c>
      <c r="AC88" s="6" t="n"/>
      <c r="AD88" s="5" t="n"/>
      <c r="AE88" s="6" t="inlineStr">
        <is>
          <t>HUNTER, DREW</t>
        </is>
      </c>
      <c r="AF88" s="6" t="inlineStr">
        <is>
          <t>Premier Endoscopy Center, LLC</t>
        </is>
      </c>
      <c r="AG88" s="6" t="inlineStr">
        <is>
          <t>07/13/2026</t>
        </is>
      </c>
      <c r="AH88" s="6" t="inlineStr">
        <is>
          <t>GAE</t>
        </is>
      </c>
      <c r="AI88" s="9" t="n"/>
      <c r="AJ88" s="5" t="n">
        <v>962</v>
      </c>
    </row>
    <row r="89">
      <c r="A89" s="2" t="n"/>
      <c r="B89" s="3" t="n"/>
      <c r="C89" s="4" t="n"/>
      <c r="D89" s="5" t="n">
        <v>565105811</v>
      </c>
      <c r="E89" s="6" t="inlineStr">
        <is>
          <t>HF494572444</t>
        </is>
      </c>
      <c r="F89" s="6" t="inlineStr">
        <is>
          <t>06/15/2026</t>
        </is>
      </c>
      <c r="G89" s="6" t="inlineStr">
        <is>
          <t>Mercy Care Plan (AHCCCS) - Complete Care &amp; Long Term Care (LTC)</t>
        </is>
      </c>
      <c r="H89" s="6" t="inlineStr">
        <is>
          <t>Mercy Care Plan (AHCCCS) - Complete Care &amp; Long Term Care (LTC)</t>
        </is>
      </c>
      <c r="I89" s="6" t="inlineStr">
        <is>
          <t>No Payer</t>
        </is>
      </c>
      <c r="J89" s="6" t="inlineStr">
        <is>
          <t>36245</t>
        </is>
      </c>
      <c r="K89" s="4" t="n"/>
      <c r="L89" s="5">
        <f>IF($M89="","",$M89-TODAY())</f>
        <v/>
      </c>
      <c r="M89" s="7" t="n">
        <v>46368</v>
      </c>
      <c r="N89" s="6" t="inlineStr">
        <is>
          <t>180 days</t>
        </is>
      </c>
      <c r="O89" s="6" t="inlineStr">
        <is>
          <t>MERCY CARE MEDICAID</t>
        </is>
      </c>
      <c r="P89" s="6" t="inlineStr">
        <is>
          <t>59</t>
        </is>
      </c>
      <c r="Q89" s="6" t="n"/>
      <c r="R89" s="6" t="n"/>
      <c r="S89" s="5" t="n">
        <v>1</v>
      </c>
      <c r="T89" s="8" t="n">
        <v>8566.040000000001</v>
      </c>
      <c r="U89" s="8" t="n">
        <v>0</v>
      </c>
      <c r="V89" s="8" t="n">
        <v>0</v>
      </c>
      <c r="W89" s="6" t="n"/>
      <c r="X89" s="8" t="n">
        <v>8566.040000000001</v>
      </c>
      <c r="Y89" s="5" t="n">
        <v>54</v>
      </c>
      <c r="Z89" s="6" t="inlineStr">
        <is>
          <t>M1712</t>
        </is>
      </c>
      <c r="AA89" s="6" t="inlineStr">
        <is>
          <t>I798</t>
        </is>
      </c>
      <c r="AB89" s="6" t="inlineStr">
        <is>
          <t>M25562</t>
        </is>
      </c>
      <c r="AC89" s="6" t="n"/>
      <c r="AD89" s="5" t="n"/>
      <c r="AE89" s="6" t="inlineStr">
        <is>
          <t>HUNTER, DREW</t>
        </is>
      </c>
      <c r="AF89" s="6" t="inlineStr">
        <is>
          <t>Premier Endoscopy Center, LLC</t>
        </is>
      </c>
      <c r="AG89" s="6" t="inlineStr">
        <is>
          <t>07/13/2026</t>
        </is>
      </c>
      <c r="AH89" s="6" t="inlineStr">
        <is>
          <t>GAE</t>
        </is>
      </c>
      <c r="AI89" s="9" t="n"/>
      <c r="AJ89" s="5" t="n">
        <v>964</v>
      </c>
    </row>
    <row r="90">
      <c r="A90" s="2" t="n"/>
      <c r="B90" s="3" t="n"/>
      <c r="C90" s="4" t="n"/>
      <c r="D90" s="5" t="n">
        <v>565105811</v>
      </c>
      <c r="E90" s="6" t="inlineStr">
        <is>
          <t>HF494572444</t>
        </is>
      </c>
      <c r="F90" s="6" t="inlineStr">
        <is>
          <t>06/15/2026</t>
        </is>
      </c>
      <c r="G90" s="6" t="inlineStr">
        <is>
          <t>Mercy Care Plan (AHCCCS) - Complete Care &amp; Long Term Care (LTC)</t>
        </is>
      </c>
      <c r="H90" s="6" t="inlineStr">
        <is>
          <t>Mercy Care Plan (AHCCCS) - Complete Care &amp; Long Term Care (LTC)</t>
        </is>
      </c>
      <c r="I90" s="6" t="inlineStr">
        <is>
          <t>No Payer</t>
        </is>
      </c>
      <c r="J90" s="6" t="inlineStr">
        <is>
          <t>75774</t>
        </is>
      </c>
      <c r="K90" s="4" t="n"/>
      <c r="L90" s="5">
        <f>IF($M90="","",$M90-TODAY())</f>
        <v/>
      </c>
      <c r="M90" s="7" t="n">
        <v>46368</v>
      </c>
      <c r="N90" s="6" t="inlineStr">
        <is>
          <t>180 days</t>
        </is>
      </c>
      <c r="O90" s="6" t="inlineStr">
        <is>
          <t>MERCY CARE MEDICAID</t>
        </is>
      </c>
      <c r="P90" s="6" t="inlineStr">
        <is>
          <t>26</t>
        </is>
      </c>
      <c r="Q90" s="6" t="inlineStr">
        <is>
          <t>XU</t>
        </is>
      </c>
      <c r="R90" s="6" t="n"/>
      <c r="S90" s="5" t="n">
        <v>4</v>
      </c>
      <c r="T90" s="8" t="n">
        <v>2685.2</v>
      </c>
      <c r="U90" s="8" t="n">
        <v>0</v>
      </c>
      <c r="V90" s="8" t="n">
        <v>0</v>
      </c>
      <c r="W90" s="6" t="n"/>
      <c r="X90" s="8" t="n">
        <v>2685.2</v>
      </c>
      <c r="Y90" s="5" t="n">
        <v>54</v>
      </c>
      <c r="Z90" s="6" t="inlineStr">
        <is>
          <t>M1712</t>
        </is>
      </c>
      <c r="AA90" s="6" t="inlineStr">
        <is>
          <t>I798</t>
        </is>
      </c>
      <c r="AB90" s="6" t="inlineStr">
        <is>
          <t>M25562</t>
        </is>
      </c>
      <c r="AC90" s="6" t="n"/>
      <c r="AD90" s="5" t="n"/>
      <c r="AE90" s="6" t="inlineStr">
        <is>
          <t>HUNTER, DREW</t>
        </is>
      </c>
      <c r="AF90" s="6" t="inlineStr">
        <is>
          <t>Premier Endoscopy Center, LLC</t>
        </is>
      </c>
      <c r="AG90" s="6" t="inlineStr">
        <is>
          <t>07/13/2026</t>
        </is>
      </c>
      <c r="AH90" s="6" t="inlineStr">
        <is>
          <t>GAE</t>
        </is>
      </c>
      <c r="AI90" s="9" t="n"/>
      <c r="AJ90" s="5" t="n">
        <v>965</v>
      </c>
    </row>
    <row r="91">
      <c r="A91" s="2" t="n"/>
      <c r="B91" s="3" t="n"/>
      <c r="C91" s="4" t="n"/>
      <c r="D91" s="5" t="n">
        <v>565105811</v>
      </c>
      <c r="E91" s="6" t="inlineStr">
        <is>
          <t>HF494572444</t>
        </is>
      </c>
      <c r="F91" s="6" t="inlineStr">
        <is>
          <t>06/15/2026</t>
        </is>
      </c>
      <c r="G91" s="6" t="inlineStr">
        <is>
          <t>Mercy Care Plan (AHCCCS) - Complete Care &amp; Long Term Care (LTC)</t>
        </is>
      </c>
      <c r="H91" s="6" t="inlineStr">
        <is>
          <t>Mercy Care Plan (AHCCCS) - Complete Care &amp; Long Term Care (LTC)</t>
        </is>
      </c>
      <c r="I91" s="6" t="inlineStr">
        <is>
          <t>No Payer</t>
        </is>
      </c>
      <c r="J91" s="6" t="inlineStr">
        <is>
          <t>36248</t>
        </is>
      </c>
      <c r="K91" s="4" t="n"/>
      <c r="L91" s="5">
        <f>IF($M91="","",$M91-TODAY())</f>
        <v/>
      </c>
      <c r="M91" s="7" t="n">
        <v>46368</v>
      </c>
      <c r="N91" s="6" t="inlineStr">
        <is>
          <t>180 days</t>
        </is>
      </c>
      <c r="O91" s="6" t="inlineStr">
        <is>
          <t>MERCY CARE MEDICAID</t>
        </is>
      </c>
      <c r="P91" s="6" t="inlineStr">
        <is>
          <t>59</t>
        </is>
      </c>
      <c r="Q91" s="6" t="n"/>
      <c r="R91" s="6" t="n"/>
      <c r="S91" s="5" t="n">
        <v>2</v>
      </c>
      <c r="T91" s="8" t="n">
        <v>1615.18</v>
      </c>
      <c r="U91" s="8" t="n">
        <v>0</v>
      </c>
      <c r="V91" s="8" t="n">
        <v>0</v>
      </c>
      <c r="W91" s="6" t="n"/>
      <c r="X91" s="8" t="n">
        <v>1615.18</v>
      </c>
      <c r="Y91" s="5" t="n">
        <v>54</v>
      </c>
      <c r="Z91" s="6" t="inlineStr">
        <is>
          <t>M1712</t>
        </is>
      </c>
      <c r="AA91" s="6" t="inlineStr">
        <is>
          <t>I798</t>
        </is>
      </c>
      <c r="AB91" s="6" t="inlineStr">
        <is>
          <t>M25562</t>
        </is>
      </c>
      <c r="AC91" s="6" t="n"/>
      <c r="AD91" s="5" t="n"/>
      <c r="AE91" s="6" t="inlineStr">
        <is>
          <t>HUNTER, DREW</t>
        </is>
      </c>
      <c r="AF91" s="6" t="inlineStr">
        <is>
          <t>Premier Endoscopy Center, LLC</t>
        </is>
      </c>
      <c r="AG91" s="6" t="inlineStr">
        <is>
          <t>07/13/2026</t>
        </is>
      </c>
      <c r="AH91" s="6" t="inlineStr">
        <is>
          <t>GAE</t>
        </is>
      </c>
      <c r="AI91" s="9" t="n"/>
      <c r="AJ91" s="5" t="n">
        <v>966</v>
      </c>
    </row>
    <row r="92">
      <c r="A92" s="2" t="n"/>
      <c r="B92" s="3" t="n"/>
      <c r="C92" s="4" t="n"/>
      <c r="D92" s="5" t="n">
        <v>565108232</v>
      </c>
      <c r="E92" s="6" t="inlineStr">
        <is>
          <t>HF495515510</t>
        </is>
      </c>
      <c r="F92" s="6" t="inlineStr">
        <is>
          <t>06/22/2026</t>
        </is>
      </c>
      <c r="G92" s="6" t="inlineStr">
        <is>
          <t>Health Choice Arizona</t>
        </is>
      </c>
      <c r="H92" s="6" t="inlineStr">
        <is>
          <t>Health Choice Arizona</t>
        </is>
      </c>
      <c r="I92" s="6" t="inlineStr">
        <is>
          <t>No Payer</t>
        </is>
      </c>
      <c r="J92" s="6" t="inlineStr">
        <is>
          <t>75710</t>
        </is>
      </c>
      <c r="K92" s="4" t="n"/>
      <c r="L92" s="5">
        <f>IF($M92="","",$M92-TODAY())</f>
        <v/>
      </c>
      <c r="M92" s="7" t="n">
        <v>46409</v>
      </c>
      <c r="N92" s="6" t="inlineStr">
        <is>
          <t>7 months</t>
        </is>
      </c>
      <c r="O92" s="6" t="inlineStr">
        <is>
          <t>HEALTH CHOICE MEDICAID</t>
        </is>
      </c>
      <c r="P92" s="6" t="inlineStr">
        <is>
          <t>XU</t>
        </is>
      </c>
      <c r="Q92" s="6" t="inlineStr">
        <is>
          <t>LT</t>
        </is>
      </c>
      <c r="R92" s="6" t="n"/>
      <c r="S92" s="5" t="n">
        <v>1</v>
      </c>
      <c r="T92" s="8" t="n">
        <v>1037.19</v>
      </c>
      <c r="U92" s="8" t="n">
        <v>0</v>
      </c>
      <c r="V92" s="8" t="n">
        <v>0</v>
      </c>
      <c r="W92" s="6" t="inlineStr">
        <is>
          <t>07/22/2026</t>
        </is>
      </c>
      <c r="X92" s="8" t="n">
        <v>1037.19</v>
      </c>
      <c r="Y92" s="5" t="n">
        <v>47</v>
      </c>
      <c r="Z92" s="6" t="inlineStr">
        <is>
          <t>M1712</t>
        </is>
      </c>
      <c r="AA92" s="6" t="inlineStr">
        <is>
          <t>I798</t>
        </is>
      </c>
      <c r="AB92" s="6" t="inlineStr">
        <is>
          <t>M25562</t>
        </is>
      </c>
      <c r="AC92" s="6" t="n"/>
      <c r="AD92" s="5" t="n"/>
      <c r="AE92" s="6" t="inlineStr">
        <is>
          <t>HUNTER, DREW</t>
        </is>
      </c>
      <c r="AF92" s="6" t="inlineStr">
        <is>
          <t>ASAP - DEER VALLEY</t>
        </is>
      </c>
      <c r="AG92" s="6" t="inlineStr">
        <is>
          <t>07/13/2026</t>
        </is>
      </c>
      <c r="AH92" s="6" t="inlineStr">
        <is>
          <t>GAE</t>
        </is>
      </c>
      <c r="AI92" s="9" t="inlineStr">
        <is>
          <t>7 months because Health Choice is the primary payer here (6 months when it is not). Counted in calendar months.</t>
        </is>
      </c>
      <c r="AJ92" s="5" t="n">
        <v>948</v>
      </c>
    </row>
    <row r="93">
      <c r="A93" s="2" t="n"/>
      <c r="B93" s="3" t="n"/>
      <c r="C93" s="4" t="n"/>
      <c r="D93" s="5" t="n">
        <v>565108232</v>
      </c>
      <c r="E93" s="6" t="inlineStr">
        <is>
          <t>HF495515510</t>
        </is>
      </c>
      <c r="F93" s="6" t="inlineStr">
        <is>
          <t>06/22/2026</t>
        </is>
      </c>
      <c r="G93" s="6" t="inlineStr">
        <is>
          <t>Health Choice Arizona</t>
        </is>
      </c>
      <c r="H93" s="6" t="inlineStr">
        <is>
          <t>Health Choice Arizona</t>
        </is>
      </c>
      <c r="I93" s="6" t="inlineStr">
        <is>
          <t>No Payer</t>
        </is>
      </c>
      <c r="J93" s="6" t="inlineStr">
        <is>
          <t>75774</t>
        </is>
      </c>
      <c r="K93" s="4" t="n"/>
      <c r="L93" s="5">
        <f>IF($M93="","",$M93-TODAY())</f>
        <v/>
      </c>
      <c r="M93" s="7" t="n">
        <v>46409</v>
      </c>
      <c r="N93" s="6" t="inlineStr">
        <is>
          <t>7 months</t>
        </is>
      </c>
      <c r="O93" s="6" t="inlineStr">
        <is>
          <t>HEALTH CHOICE MEDICAID</t>
        </is>
      </c>
      <c r="P93" s="6" t="inlineStr">
        <is>
          <t>XU</t>
        </is>
      </c>
      <c r="Q93" s="6" t="n"/>
      <c r="R93" s="6" t="n"/>
      <c r="S93" s="5" t="n">
        <v>5</v>
      </c>
      <c r="T93" s="8" t="n">
        <v>3356.5</v>
      </c>
      <c r="U93" s="8" t="n">
        <v>0</v>
      </c>
      <c r="V93" s="8" t="n">
        <v>0</v>
      </c>
      <c r="W93" s="6" t="inlineStr">
        <is>
          <t>07/22/2026</t>
        </is>
      </c>
      <c r="X93" s="8" t="n">
        <v>3356.5</v>
      </c>
      <c r="Y93" s="5" t="n">
        <v>47</v>
      </c>
      <c r="Z93" s="6" t="inlineStr">
        <is>
          <t>M1712</t>
        </is>
      </c>
      <c r="AA93" s="6" t="inlineStr">
        <is>
          <t>I798</t>
        </is>
      </c>
      <c r="AB93" s="6" t="inlineStr">
        <is>
          <t>M25562</t>
        </is>
      </c>
      <c r="AC93" s="6" t="n"/>
      <c r="AD93" s="5" t="n"/>
      <c r="AE93" s="6" t="inlineStr">
        <is>
          <t>HUNTER, DREW</t>
        </is>
      </c>
      <c r="AF93" s="6" t="inlineStr">
        <is>
          <t>ASAP - DEER VALLEY</t>
        </is>
      </c>
      <c r="AG93" s="6" t="inlineStr">
        <is>
          <t>07/13/2026</t>
        </is>
      </c>
      <c r="AH93" s="6" t="inlineStr">
        <is>
          <t>GAE</t>
        </is>
      </c>
      <c r="AI93" s="9" t="inlineStr">
        <is>
          <t>7 months because Health Choice is the primary payer here (6 months when it is not). Counted in calendar months.</t>
        </is>
      </c>
      <c r="AJ93" s="5" t="n">
        <v>949</v>
      </c>
    </row>
    <row r="94">
      <c r="A94" s="2" t="n"/>
      <c r="B94" s="3" t="n"/>
      <c r="C94" s="4" t="n"/>
      <c r="D94" s="5" t="n">
        <v>562932709</v>
      </c>
      <c r="E94" s="6" t="inlineStr">
        <is>
          <t>HF456620712</t>
        </is>
      </c>
      <c r="F94" s="6" t="inlineStr">
        <is>
          <t>06/01/2026</t>
        </is>
      </c>
      <c r="G94" s="6" t="inlineStr">
        <is>
          <t>United HealthCare Dual Complete</t>
        </is>
      </c>
      <c r="H94" s="6" t="inlineStr">
        <is>
          <t>United HealthCare Dual Complete</t>
        </is>
      </c>
      <c r="I94" s="6" t="inlineStr">
        <is>
          <t>UnitedHealthcare Community Plan / Arizona Long Term Care</t>
        </is>
      </c>
      <c r="J94" s="6" t="inlineStr">
        <is>
          <t>75774</t>
        </is>
      </c>
      <c r="K94" s="4" t="n"/>
      <c r="L94" s="5">
        <f>IF($M94="","",$M94-TODAY())</f>
        <v/>
      </c>
      <c r="M94" s="7" t="n">
        <v>46539</v>
      </c>
      <c r="N94" s="6" t="inlineStr">
        <is>
          <t>365 days</t>
        </is>
      </c>
      <c r="O94" s="6" t="inlineStr">
        <is>
          <t>UHC DUAL COMPLETE</t>
        </is>
      </c>
      <c r="P94" s="6" t="inlineStr">
        <is>
          <t>26</t>
        </is>
      </c>
      <c r="Q94" s="6" t="inlineStr">
        <is>
          <t>XU</t>
        </is>
      </c>
      <c r="R94" s="6" t="n"/>
      <c r="S94" s="5" t="n">
        <v>3</v>
      </c>
      <c r="T94" s="8" t="n">
        <v>2013.9</v>
      </c>
      <c r="U94" s="8" t="n">
        <v>0</v>
      </c>
      <c r="V94" s="8" t="n">
        <v>0</v>
      </c>
      <c r="W94" s="6" t="inlineStr">
        <is>
          <t>07/22/2026</t>
        </is>
      </c>
      <c r="X94" s="8" t="n">
        <v>2013.9</v>
      </c>
      <c r="Y94" s="5" t="n">
        <v>68</v>
      </c>
      <c r="Z94" s="6" t="inlineStr">
        <is>
          <t>M1712</t>
        </is>
      </c>
      <c r="AA94" s="6" t="inlineStr">
        <is>
          <t>I798</t>
        </is>
      </c>
      <c r="AB94" s="6" t="inlineStr">
        <is>
          <t>M25562</t>
        </is>
      </c>
      <c r="AC94" s="6" t="n"/>
      <c r="AD94" s="5" t="n"/>
      <c r="AE94" s="6" t="inlineStr">
        <is>
          <t>HUNTER, DREW</t>
        </is>
      </c>
      <c r="AF94" s="6" t="inlineStr">
        <is>
          <t>Premier Endoscopy Center, LLC</t>
        </is>
      </c>
      <c r="AG94" s="6" t="inlineStr">
        <is>
          <t>06/20/2026</t>
        </is>
      </c>
      <c r="AH94" s="6" t="inlineStr">
        <is>
          <t>GAE</t>
        </is>
      </c>
      <c r="AI94" s="9" t="n"/>
      <c r="AJ94" s="5" t="n">
        <v>189</v>
      </c>
    </row>
    <row r="95">
      <c r="A95" s="2" t="n"/>
      <c r="B95" s="3" t="n"/>
      <c r="C95" s="4" t="n"/>
      <c r="D95" s="5" t="n">
        <v>562932709</v>
      </c>
      <c r="E95" s="6" t="inlineStr">
        <is>
          <t>HF456620712</t>
        </is>
      </c>
      <c r="F95" s="6" t="inlineStr">
        <is>
          <t>06/01/2026</t>
        </is>
      </c>
      <c r="G95" s="6" t="inlineStr">
        <is>
          <t>United HealthCare Dual Complete</t>
        </is>
      </c>
      <c r="H95" s="6" t="inlineStr">
        <is>
          <t>United HealthCare Dual Complete</t>
        </is>
      </c>
      <c r="I95" s="6" t="inlineStr">
        <is>
          <t>UnitedHealthcare Community Plan / Arizona Long Term Care</t>
        </is>
      </c>
      <c r="J95" s="6" t="inlineStr">
        <is>
          <t>76937</t>
        </is>
      </c>
      <c r="K95" s="4" t="n"/>
      <c r="L95" s="5">
        <f>IF($M95="","",$M95-TODAY())</f>
        <v/>
      </c>
      <c r="M95" s="7" t="n">
        <v>46539</v>
      </c>
      <c r="N95" s="6" t="inlineStr">
        <is>
          <t>365 days</t>
        </is>
      </c>
      <c r="O95" s="6" t="inlineStr">
        <is>
          <t>UHC DUAL COMPLETE</t>
        </is>
      </c>
      <c r="P95" s="6" t="inlineStr">
        <is>
          <t>26</t>
        </is>
      </c>
      <c r="Q95" s="6" t="n"/>
      <c r="R95" s="6" t="n"/>
      <c r="S95" s="5" t="n">
        <v>1</v>
      </c>
      <c r="T95" s="8" t="n">
        <v>271.18</v>
      </c>
      <c r="U95" s="8" t="n">
        <v>0</v>
      </c>
      <c r="V95" s="8" t="n">
        <v>0</v>
      </c>
      <c r="W95" s="6" t="inlineStr">
        <is>
          <t>07/22/2026</t>
        </is>
      </c>
      <c r="X95" s="8" t="n">
        <v>271.18</v>
      </c>
      <c r="Y95" s="5" t="n">
        <v>68</v>
      </c>
      <c r="Z95" s="6" t="inlineStr">
        <is>
          <t>M1712</t>
        </is>
      </c>
      <c r="AA95" s="6" t="inlineStr">
        <is>
          <t>I798</t>
        </is>
      </c>
      <c r="AB95" s="6" t="inlineStr">
        <is>
          <t>M25562</t>
        </is>
      </c>
      <c r="AC95" s="6" t="n"/>
      <c r="AD95" s="5" t="n"/>
      <c r="AE95" s="6" t="inlineStr">
        <is>
          <t>HUNTER, DREW</t>
        </is>
      </c>
      <c r="AF95" s="6" t="inlineStr">
        <is>
          <t>Premier Endoscopy Center, LLC</t>
        </is>
      </c>
      <c r="AG95" s="6" t="inlineStr">
        <is>
          <t>06/20/2026</t>
        </is>
      </c>
      <c r="AH95" s="6" t="inlineStr">
        <is>
          <t>GAE</t>
        </is>
      </c>
      <c r="AI95" s="9" t="n"/>
      <c r="AJ95" s="5" t="n">
        <v>190</v>
      </c>
    </row>
    <row r="96">
      <c r="A96" s="2" t="n"/>
      <c r="B96" s="3" t="n"/>
      <c r="C96" s="4" t="n"/>
      <c r="D96" s="5" t="n">
        <v>562932709</v>
      </c>
      <c r="E96" s="6" t="inlineStr">
        <is>
          <t>HF456620712</t>
        </is>
      </c>
      <c r="F96" s="6" t="inlineStr">
        <is>
          <t>06/01/2026</t>
        </is>
      </c>
      <c r="G96" s="6" t="inlineStr">
        <is>
          <t>United HealthCare Dual Complete</t>
        </is>
      </c>
      <c r="H96" s="6" t="inlineStr">
        <is>
          <t>United HealthCare Dual Complete</t>
        </is>
      </c>
      <c r="I96" s="6" t="inlineStr">
        <is>
          <t>UnitedHealthcare Community Plan / Arizona Long Term Care</t>
        </is>
      </c>
      <c r="J96" s="6" t="inlineStr">
        <is>
          <t>36248</t>
        </is>
      </c>
      <c r="K96" s="4" t="n"/>
      <c r="L96" s="5">
        <f>IF($M96="","",$M96-TODAY())</f>
        <v/>
      </c>
      <c r="M96" s="7" t="n">
        <v>46539</v>
      </c>
      <c r="N96" s="6" t="inlineStr">
        <is>
          <t>365 days</t>
        </is>
      </c>
      <c r="O96" s="6" t="inlineStr">
        <is>
          <t>UHC DUAL COMPLETE</t>
        </is>
      </c>
      <c r="P96" s="6" t="inlineStr">
        <is>
          <t>59</t>
        </is>
      </c>
      <c r="Q96" s="6" t="n"/>
      <c r="R96" s="6" t="n"/>
      <c r="S96" s="5" t="n">
        <v>1</v>
      </c>
      <c r="T96" s="8" t="n">
        <v>807.59</v>
      </c>
      <c r="U96" s="8" t="n">
        <v>0</v>
      </c>
      <c r="V96" s="8" t="n">
        <v>0</v>
      </c>
      <c r="W96" s="6" t="inlineStr">
        <is>
          <t>07/22/2026</t>
        </is>
      </c>
      <c r="X96" s="8" t="n">
        <v>807.59</v>
      </c>
      <c r="Y96" s="5" t="n">
        <v>68</v>
      </c>
      <c r="Z96" s="6" t="inlineStr">
        <is>
          <t>M1712</t>
        </is>
      </c>
      <c r="AA96" s="6" t="inlineStr">
        <is>
          <t>I798</t>
        </is>
      </c>
      <c r="AB96" s="6" t="inlineStr">
        <is>
          <t>M25562</t>
        </is>
      </c>
      <c r="AC96" s="6" t="n"/>
      <c r="AD96" s="5" t="n"/>
      <c r="AE96" s="6" t="inlineStr">
        <is>
          <t>HUNTER, DREW</t>
        </is>
      </c>
      <c r="AF96" s="6" t="inlineStr">
        <is>
          <t>Premier Endoscopy Center, LLC</t>
        </is>
      </c>
      <c r="AG96" s="6" t="inlineStr">
        <is>
          <t>06/20/2026</t>
        </is>
      </c>
      <c r="AH96" s="6" t="inlineStr">
        <is>
          <t>GAE</t>
        </is>
      </c>
      <c r="AI96" s="9" t="n"/>
      <c r="AJ96" s="5" t="n">
        <v>191</v>
      </c>
    </row>
    <row r="97">
      <c r="A97" s="2" t="n"/>
      <c r="B97" s="3" t="n"/>
      <c r="C97" s="4" t="n"/>
      <c r="D97" s="5" t="n">
        <v>562932709</v>
      </c>
      <c r="E97" s="6" t="inlineStr">
        <is>
          <t>HF456620712</t>
        </is>
      </c>
      <c r="F97" s="6" t="inlineStr">
        <is>
          <t>06/01/2026</t>
        </is>
      </c>
      <c r="G97" s="6" t="inlineStr">
        <is>
          <t>United HealthCare Dual Complete</t>
        </is>
      </c>
      <c r="H97" s="6" t="inlineStr">
        <is>
          <t>United HealthCare Dual Complete</t>
        </is>
      </c>
      <c r="I97" s="6" t="inlineStr">
        <is>
          <t>UnitedHealthcare Community Plan / Arizona Long Term Care</t>
        </is>
      </c>
      <c r="J97" s="6" t="inlineStr">
        <is>
          <t>37242</t>
        </is>
      </c>
      <c r="K97" s="4" t="n"/>
      <c r="L97" s="5">
        <f>IF($M97="","",$M97-TODAY())</f>
        <v/>
      </c>
      <c r="M97" s="7" t="n">
        <v>46539</v>
      </c>
      <c r="N97" s="6" t="inlineStr">
        <is>
          <t>365 days</t>
        </is>
      </c>
      <c r="O97" s="6" t="inlineStr">
        <is>
          <t>UHC DUAL COMPLETE</t>
        </is>
      </c>
      <c r="P97" s="6" t="n"/>
      <c r="Q97" s="6" t="n"/>
      <c r="R97" s="6" t="n"/>
      <c r="S97" s="5" t="n">
        <v>1</v>
      </c>
      <c r="T97" s="8" t="n">
        <v>49162.82</v>
      </c>
      <c r="U97" s="8" t="n">
        <v>0</v>
      </c>
      <c r="V97" s="8" t="n">
        <v>0</v>
      </c>
      <c r="W97" s="6" t="inlineStr">
        <is>
          <t>07/22/2026</t>
        </is>
      </c>
      <c r="X97" s="8" t="n">
        <v>49162.82</v>
      </c>
      <c r="Y97" s="5" t="n">
        <v>68</v>
      </c>
      <c r="Z97" s="6" t="inlineStr">
        <is>
          <t>M1712</t>
        </is>
      </c>
      <c r="AA97" s="6" t="inlineStr">
        <is>
          <t>I798</t>
        </is>
      </c>
      <c r="AB97" s="6" t="inlineStr">
        <is>
          <t>M25562</t>
        </is>
      </c>
      <c r="AC97" s="6" t="n"/>
      <c r="AD97" s="5" t="n"/>
      <c r="AE97" s="6" t="inlineStr">
        <is>
          <t>HUNTER, DREW</t>
        </is>
      </c>
      <c r="AF97" s="6" t="inlineStr">
        <is>
          <t>Premier Endoscopy Center, LLC</t>
        </is>
      </c>
      <c r="AG97" s="6" t="inlineStr">
        <is>
          <t>06/20/2026</t>
        </is>
      </c>
      <c r="AH97" s="6" t="inlineStr">
        <is>
          <t>GAE</t>
        </is>
      </c>
      <c r="AI97" s="9" t="n"/>
      <c r="AJ97" s="5" t="n">
        <v>203</v>
      </c>
    </row>
    <row r="98">
      <c r="A98" s="2" t="n"/>
      <c r="B98" s="3" t="n"/>
      <c r="C98" s="4" t="n"/>
      <c r="D98" s="5" t="n">
        <v>562932709</v>
      </c>
      <c r="E98" s="6" t="inlineStr">
        <is>
          <t>HF456620712</t>
        </is>
      </c>
      <c r="F98" s="6" t="inlineStr">
        <is>
          <t>06/01/2026</t>
        </is>
      </c>
      <c r="G98" s="6" t="inlineStr">
        <is>
          <t>United HealthCare Dual Complete</t>
        </is>
      </c>
      <c r="H98" s="6" t="inlineStr">
        <is>
          <t>United HealthCare Dual Complete</t>
        </is>
      </c>
      <c r="I98" s="6" t="inlineStr">
        <is>
          <t>UnitedHealthcare Community Plan / Arizona Long Term Care</t>
        </is>
      </c>
      <c r="J98" s="6" t="inlineStr">
        <is>
          <t>36245</t>
        </is>
      </c>
      <c r="K98" s="4" t="n"/>
      <c r="L98" s="5">
        <f>IF($M98="","",$M98-TODAY())</f>
        <v/>
      </c>
      <c r="M98" s="7" t="n">
        <v>46539</v>
      </c>
      <c r="N98" s="6" t="inlineStr">
        <is>
          <t>365 days</t>
        </is>
      </c>
      <c r="O98" s="6" t="inlineStr">
        <is>
          <t>UHC DUAL COMPLETE</t>
        </is>
      </c>
      <c r="P98" s="6" t="inlineStr">
        <is>
          <t>59</t>
        </is>
      </c>
      <c r="Q98" s="6" t="n"/>
      <c r="R98" s="6" t="n"/>
      <c r="S98" s="5" t="n">
        <v>1</v>
      </c>
      <c r="T98" s="8" t="n">
        <v>8566.040000000001</v>
      </c>
      <c r="U98" s="8" t="n">
        <v>0</v>
      </c>
      <c r="V98" s="8" t="n">
        <v>0</v>
      </c>
      <c r="W98" s="6" t="inlineStr">
        <is>
          <t>07/22/2026</t>
        </is>
      </c>
      <c r="X98" s="8" t="n">
        <v>8566.040000000001</v>
      </c>
      <c r="Y98" s="5" t="n">
        <v>68</v>
      </c>
      <c r="Z98" s="6" t="inlineStr">
        <is>
          <t>M1712</t>
        </is>
      </c>
      <c r="AA98" s="6" t="inlineStr">
        <is>
          <t>I798</t>
        </is>
      </c>
      <c r="AB98" s="6" t="inlineStr">
        <is>
          <t>M25562</t>
        </is>
      </c>
      <c r="AC98" s="6" t="n"/>
      <c r="AD98" s="5" t="n"/>
      <c r="AE98" s="6" t="inlineStr">
        <is>
          <t>HUNTER, DREW</t>
        </is>
      </c>
      <c r="AF98" s="6" t="inlineStr">
        <is>
          <t>Premier Endoscopy Center, LLC</t>
        </is>
      </c>
      <c r="AG98" s="6" t="inlineStr">
        <is>
          <t>06/20/2026</t>
        </is>
      </c>
      <c r="AH98" s="6" t="inlineStr">
        <is>
          <t>GAE</t>
        </is>
      </c>
      <c r="AI98" s="9" t="n"/>
      <c r="AJ98" s="5" t="n">
        <v>204</v>
      </c>
    </row>
    <row r="99">
      <c r="A99" s="2" t="n"/>
      <c r="B99" s="3" t="n"/>
      <c r="C99" s="4" t="n"/>
      <c r="D99" s="5" t="n">
        <v>562932709</v>
      </c>
      <c r="E99" s="6" t="inlineStr">
        <is>
          <t>HF456620712</t>
        </is>
      </c>
      <c r="F99" s="6" t="inlineStr">
        <is>
          <t>06/01/2026</t>
        </is>
      </c>
      <c r="G99" s="6" t="inlineStr">
        <is>
          <t>United HealthCare Dual Complete</t>
        </is>
      </c>
      <c r="H99" s="6" t="inlineStr">
        <is>
          <t>United HealthCare Dual Complete</t>
        </is>
      </c>
      <c r="I99" s="6" t="inlineStr">
        <is>
          <t>UnitedHealthcare Community Plan / Arizona Long Term Care</t>
        </is>
      </c>
      <c r="J99" s="6" t="inlineStr">
        <is>
          <t>36246</t>
        </is>
      </c>
      <c r="K99" s="4" t="n"/>
      <c r="L99" s="5">
        <f>IF($M99="","",$M99-TODAY())</f>
        <v/>
      </c>
      <c r="M99" s="7" t="n">
        <v>46539</v>
      </c>
      <c r="N99" s="6" t="inlineStr">
        <is>
          <t>365 days</t>
        </is>
      </c>
      <c r="O99" s="6" t="inlineStr">
        <is>
          <t>UHC DUAL COMPLETE</t>
        </is>
      </c>
      <c r="P99" s="6" t="inlineStr">
        <is>
          <t>59</t>
        </is>
      </c>
      <c r="Q99" s="6" t="inlineStr">
        <is>
          <t>LT</t>
        </is>
      </c>
      <c r="R99" s="6" t="n"/>
      <c r="S99" s="5" t="n">
        <v>1</v>
      </c>
      <c r="T99" s="8" t="n">
        <v>5741.19</v>
      </c>
      <c r="U99" s="8" t="n">
        <v>0</v>
      </c>
      <c r="V99" s="8" t="n">
        <v>0</v>
      </c>
      <c r="W99" s="6" t="inlineStr">
        <is>
          <t>07/22/2026</t>
        </is>
      </c>
      <c r="X99" s="8" t="n">
        <v>5741.19</v>
      </c>
      <c r="Y99" s="5" t="n">
        <v>68</v>
      </c>
      <c r="Z99" s="6" t="inlineStr">
        <is>
          <t>M1712</t>
        </is>
      </c>
      <c r="AA99" s="6" t="inlineStr">
        <is>
          <t>I798</t>
        </is>
      </c>
      <c r="AB99" s="6" t="inlineStr">
        <is>
          <t>M25562</t>
        </is>
      </c>
      <c r="AC99" s="6" t="n"/>
      <c r="AD99" s="5" t="n"/>
      <c r="AE99" s="6" t="inlineStr">
        <is>
          <t>HUNTER, DREW</t>
        </is>
      </c>
      <c r="AF99" s="6" t="inlineStr">
        <is>
          <t>Premier Endoscopy Center, LLC</t>
        </is>
      </c>
      <c r="AG99" s="6" t="inlineStr">
        <is>
          <t>06/20/2026</t>
        </is>
      </c>
      <c r="AH99" s="6" t="inlineStr">
        <is>
          <t>GAE</t>
        </is>
      </c>
      <c r="AI99" s="9" t="n"/>
      <c r="AJ99" s="5" t="n">
        <v>205</v>
      </c>
    </row>
    <row r="100">
      <c r="A100" s="2" t="n"/>
      <c r="B100" s="3" t="n"/>
      <c r="C100" s="4" t="n"/>
      <c r="D100" s="5" t="n">
        <v>562932709</v>
      </c>
      <c r="E100" s="6" t="inlineStr">
        <is>
          <t>HF456620712</t>
        </is>
      </c>
      <c r="F100" s="6" t="inlineStr">
        <is>
          <t>06/01/2026</t>
        </is>
      </c>
      <c r="G100" s="6" t="inlineStr">
        <is>
          <t>United HealthCare Dual Complete</t>
        </is>
      </c>
      <c r="H100" s="6" t="inlineStr">
        <is>
          <t>United HealthCare Dual Complete</t>
        </is>
      </c>
      <c r="I100" s="6" t="inlineStr">
        <is>
          <t>UnitedHealthcare Community Plan / Arizona Long Term Care</t>
        </is>
      </c>
      <c r="J100" s="6" t="inlineStr">
        <is>
          <t>75710</t>
        </is>
      </c>
      <c r="K100" s="4" t="n"/>
      <c r="L100" s="5">
        <f>IF($M100="","",$M100-TODAY())</f>
        <v/>
      </c>
      <c r="M100" s="7" t="n">
        <v>46539</v>
      </c>
      <c r="N100" s="6" t="inlineStr">
        <is>
          <t>365 days</t>
        </is>
      </c>
      <c r="O100" s="6" t="inlineStr">
        <is>
          <t>UHC DUAL COMPLETE</t>
        </is>
      </c>
      <c r="P100" s="6" t="inlineStr">
        <is>
          <t>26</t>
        </is>
      </c>
      <c r="Q100" s="6" t="inlineStr">
        <is>
          <t>XU</t>
        </is>
      </c>
      <c r="R100" s="6" t="inlineStr">
        <is>
          <t>LT</t>
        </is>
      </c>
      <c r="S100" s="5" t="n">
        <v>1</v>
      </c>
      <c r="T100" s="8" t="n">
        <v>1037.19</v>
      </c>
      <c r="U100" s="8" t="n">
        <v>0</v>
      </c>
      <c r="V100" s="8" t="n">
        <v>0</v>
      </c>
      <c r="W100" s="6" t="inlineStr">
        <is>
          <t>07/22/2026</t>
        </is>
      </c>
      <c r="X100" s="8" t="n">
        <v>1037.19</v>
      </c>
      <c r="Y100" s="5" t="n">
        <v>68</v>
      </c>
      <c r="Z100" s="6" t="inlineStr">
        <is>
          <t>M1712</t>
        </is>
      </c>
      <c r="AA100" s="6" t="inlineStr">
        <is>
          <t>I798</t>
        </is>
      </c>
      <c r="AB100" s="6" t="inlineStr">
        <is>
          <t>M25562</t>
        </is>
      </c>
      <c r="AC100" s="6" t="n"/>
      <c r="AD100" s="5" t="n"/>
      <c r="AE100" s="6" t="inlineStr">
        <is>
          <t>HUNTER, DREW</t>
        </is>
      </c>
      <c r="AF100" s="6" t="inlineStr">
        <is>
          <t>Premier Endoscopy Center, LLC</t>
        </is>
      </c>
      <c r="AG100" s="6" t="inlineStr">
        <is>
          <t>06/20/2026</t>
        </is>
      </c>
      <c r="AH100" s="6" t="inlineStr">
        <is>
          <t>GAE</t>
        </is>
      </c>
      <c r="AI100" s="9" t="n"/>
      <c r="AJ100" s="5" t="n">
        <v>206</v>
      </c>
    </row>
    <row r="101">
      <c r="A101" s="2" t="n"/>
      <c r="B101" s="3" t="n"/>
      <c r="C101" s="4" t="n"/>
      <c r="D101" s="5" t="n">
        <v>565105413</v>
      </c>
      <c r="E101" s="6" t="inlineStr">
        <is>
          <t>HF556732512</t>
        </is>
      </c>
      <c r="F101" s="6" t="inlineStr">
        <is>
          <t>06/15/2026</t>
        </is>
      </c>
      <c r="G101" s="6" t="inlineStr">
        <is>
          <t>Medicare Part B Arizona *</t>
        </is>
      </c>
      <c r="H101" s="6" t="inlineStr">
        <is>
          <t>Medicare Part B Arizona *</t>
        </is>
      </c>
      <c r="I101" s="6" t="inlineStr">
        <is>
          <t>CIGNA</t>
        </is>
      </c>
      <c r="J101" s="6" t="inlineStr">
        <is>
          <t>36246</t>
        </is>
      </c>
      <c r="K101" s="4" t="n"/>
      <c r="L101" s="5">
        <f>IF($M101="","",$M101-TODAY())</f>
        <v/>
      </c>
      <c r="M101" s="7" t="n">
        <v>46553</v>
      </c>
      <c r="N101" s="6" t="inlineStr">
        <is>
          <t>365 days</t>
        </is>
      </c>
      <c r="O101" s="6" t="inlineStr">
        <is>
          <t>MEDICARE</t>
        </is>
      </c>
      <c r="P101" s="6" t="inlineStr">
        <is>
          <t>59</t>
        </is>
      </c>
      <c r="Q101" s="6" t="inlineStr">
        <is>
          <t>RT</t>
        </is>
      </c>
      <c r="R101" s="6" t="n"/>
      <c r="S101" s="5" t="n">
        <v>1</v>
      </c>
      <c r="T101" s="8" t="n">
        <v>5741.19</v>
      </c>
      <c r="U101" s="8" t="n">
        <v>0</v>
      </c>
      <c r="V101" s="8" t="n">
        <v>0</v>
      </c>
      <c r="W101" s="6" t="n"/>
      <c r="X101" s="8" t="n">
        <v>5741.19</v>
      </c>
      <c r="Y101" s="5" t="n">
        <v>54</v>
      </c>
      <c r="Z101" s="6" t="inlineStr">
        <is>
          <t>M1711</t>
        </is>
      </c>
      <c r="AA101" s="6" t="inlineStr">
        <is>
          <t>I798</t>
        </is>
      </c>
      <c r="AB101" s="6" t="inlineStr">
        <is>
          <t>M25561</t>
        </is>
      </c>
      <c r="AC101" s="6" t="n"/>
      <c r="AD101" s="5" t="n"/>
      <c r="AE101" s="6" t="inlineStr">
        <is>
          <t>HUNTER, DREW</t>
        </is>
      </c>
      <c r="AF101" s="6" t="inlineStr">
        <is>
          <t>Premier Endoscopy Center, LLC</t>
        </is>
      </c>
      <c r="AG101" s="6" t="inlineStr">
        <is>
          <t>07/13/2026</t>
        </is>
      </c>
      <c r="AH101" s="6" t="inlineStr">
        <is>
          <t>GAE</t>
        </is>
      </c>
      <c r="AI101" s="9" t="n"/>
      <c r="AJ101" s="5" t="n">
        <v>877</v>
      </c>
    </row>
    <row r="102">
      <c r="A102" s="2" t="n"/>
      <c r="B102" s="3" t="n"/>
      <c r="C102" s="4" t="n"/>
      <c r="D102" s="5" t="n">
        <v>565105413</v>
      </c>
      <c r="E102" s="6" t="inlineStr">
        <is>
          <t>HF556732512</t>
        </is>
      </c>
      <c r="F102" s="6" t="inlineStr">
        <is>
          <t>06/15/2026</t>
        </is>
      </c>
      <c r="G102" s="6" t="inlineStr">
        <is>
          <t>Medicare Part B Arizona *</t>
        </is>
      </c>
      <c r="H102" s="6" t="inlineStr">
        <is>
          <t>Medicare Part B Arizona *</t>
        </is>
      </c>
      <c r="I102" s="6" t="inlineStr">
        <is>
          <t>CIGNA</t>
        </is>
      </c>
      <c r="J102" s="6" t="inlineStr">
        <is>
          <t>36248</t>
        </is>
      </c>
      <c r="K102" s="4" t="n"/>
      <c r="L102" s="5">
        <f>IF($M102="","",$M102-TODAY())</f>
        <v/>
      </c>
      <c r="M102" s="7" t="n">
        <v>46553</v>
      </c>
      <c r="N102" s="6" t="inlineStr">
        <is>
          <t>365 days</t>
        </is>
      </c>
      <c r="O102" s="6" t="inlineStr">
        <is>
          <t>MEDICARE</t>
        </is>
      </c>
      <c r="P102" s="6" t="inlineStr">
        <is>
          <t>59</t>
        </is>
      </c>
      <c r="Q102" s="6" t="n"/>
      <c r="R102" s="6" t="n"/>
      <c r="S102" s="5" t="n">
        <v>3</v>
      </c>
      <c r="T102" s="8" t="n">
        <v>2422.77</v>
      </c>
      <c r="U102" s="8" t="n">
        <v>0</v>
      </c>
      <c r="V102" s="8" t="n">
        <v>0</v>
      </c>
      <c r="W102" s="6" t="n"/>
      <c r="X102" s="8" t="n">
        <v>2422.77</v>
      </c>
      <c r="Y102" s="5" t="n">
        <v>54</v>
      </c>
      <c r="Z102" s="6" t="inlineStr">
        <is>
          <t>M1711</t>
        </is>
      </c>
      <c r="AA102" s="6" t="inlineStr">
        <is>
          <t>I798</t>
        </is>
      </c>
      <c r="AB102" s="6" t="inlineStr">
        <is>
          <t>M25561</t>
        </is>
      </c>
      <c r="AC102" s="6" t="n"/>
      <c r="AD102" s="5" t="n"/>
      <c r="AE102" s="6" t="inlineStr">
        <is>
          <t>HUNTER, DREW</t>
        </is>
      </c>
      <c r="AF102" s="6" t="inlineStr">
        <is>
          <t>Premier Endoscopy Center, LLC</t>
        </is>
      </c>
      <c r="AG102" s="6" t="inlineStr">
        <is>
          <t>07/13/2026</t>
        </is>
      </c>
      <c r="AH102" s="6" t="inlineStr">
        <is>
          <t>GAE</t>
        </is>
      </c>
      <c r="AI102" s="9" t="n"/>
      <c r="AJ102" s="5" t="n">
        <v>878</v>
      </c>
    </row>
    <row r="103">
      <c r="A103" s="2" t="n"/>
      <c r="B103" s="3" t="n"/>
      <c r="C103" s="4" t="n"/>
      <c r="D103" s="5" t="n">
        <v>565105413</v>
      </c>
      <c r="E103" s="6" t="inlineStr">
        <is>
          <t>HF556732512</t>
        </is>
      </c>
      <c r="F103" s="6" t="inlineStr">
        <is>
          <t>06/15/2026</t>
        </is>
      </c>
      <c r="G103" s="6" t="inlineStr">
        <is>
          <t>Medicare Part B Arizona *</t>
        </is>
      </c>
      <c r="H103" s="6" t="inlineStr">
        <is>
          <t>Medicare Part B Arizona *</t>
        </is>
      </c>
      <c r="I103" s="6" t="inlineStr">
        <is>
          <t>CIGNA</t>
        </is>
      </c>
      <c r="J103" s="6" t="inlineStr">
        <is>
          <t>37242</t>
        </is>
      </c>
      <c r="K103" s="4" t="n"/>
      <c r="L103" s="5">
        <f>IF($M103="","",$M103-TODAY())</f>
        <v/>
      </c>
      <c r="M103" s="7" t="n">
        <v>46553</v>
      </c>
      <c r="N103" s="6" t="inlineStr">
        <is>
          <t>365 days</t>
        </is>
      </c>
      <c r="O103" s="6" t="inlineStr">
        <is>
          <t>MEDICARE</t>
        </is>
      </c>
      <c r="P103" s="6" t="n"/>
      <c r="Q103" s="6" t="n"/>
      <c r="R103" s="6" t="n"/>
      <c r="S103" s="5" t="n">
        <v>1</v>
      </c>
      <c r="T103" s="8" t="n">
        <v>49162.82</v>
      </c>
      <c r="U103" s="8" t="n">
        <v>0</v>
      </c>
      <c r="V103" s="8" t="n">
        <v>0</v>
      </c>
      <c r="W103" s="6" t="n"/>
      <c r="X103" s="8" t="n">
        <v>49162.82</v>
      </c>
      <c r="Y103" s="5" t="n">
        <v>54</v>
      </c>
      <c r="Z103" s="6" t="inlineStr">
        <is>
          <t>M1711</t>
        </is>
      </c>
      <c r="AA103" s="6" t="inlineStr">
        <is>
          <t>I798</t>
        </is>
      </c>
      <c r="AB103" s="6" t="inlineStr">
        <is>
          <t>M25561</t>
        </is>
      </c>
      <c r="AC103" s="6" t="n"/>
      <c r="AD103" s="5" t="n"/>
      <c r="AE103" s="6" t="inlineStr">
        <is>
          <t>HUNTER, DREW</t>
        </is>
      </c>
      <c r="AF103" s="6" t="inlineStr">
        <is>
          <t>Premier Endoscopy Center, LLC</t>
        </is>
      </c>
      <c r="AG103" s="6" t="inlineStr">
        <is>
          <t>07/13/2026</t>
        </is>
      </c>
      <c r="AH103" s="6" t="inlineStr">
        <is>
          <t>GAE</t>
        </is>
      </c>
      <c r="AI103" s="9" t="n"/>
      <c r="AJ103" s="5" t="n">
        <v>920</v>
      </c>
    </row>
    <row r="104">
      <c r="A104" s="2" t="n"/>
      <c r="B104" s="3" t="n"/>
      <c r="C104" s="4" t="n"/>
      <c r="D104" s="5" t="n">
        <v>565105413</v>
      </c>
      <c r="E104" s="6" t="inlineStr">
        <is>
          <t>HF556732512</t>
        </is>
      </c>
      <c r="F104" s="6" t="inlineStr">
        <is>
          <t>06/15/2026</t>
        </is>
      </c>
      <c r="G104" s="6" t="inlineStr">
        <is>
          <t>Medicare Part B Arizona *</t>
        </is>
      </c>
      <c r="H104" s="6" t="inlineStr">
        <is>
          <t>Medicare Part B Arizona *</t>
        </is>
      </c>
      <c r="I104" s="6" t="inlineStr">
        <is>
          <t>CIGNA</t>
        </is>
      </c>
      <c r="J104" s="6" t="inlineStr">
        <is>
          <t>76937</t>
        </is>
      </c>
      <c r="K104" s="4" t="n"/>
      <c r="L104" s="5">
        <f>IF($M104="","",$M104-TODAY())</f>
        <v/>
      </c>
      <c r="M104" s="7" t="n">
        <v>46553</v>
      </c>
      <c r="N104" s="6" t="inlineStr">
        <is>
          <t>365 days</t>
        </is>
      </c>
      <c r="O104" s="6" t="inlineStr">
        <is>
          <t>MEDICARE</t>
        </is>
      </c>
      <c r="P104" s="6" t="inlineStr">
        <is>
          <t>26</t>
        </is>
      </c>
      <c r="Q104" s="6" t="n"/>
      <c r="R104" s="6" t="n"/>
      <c r="S104" s="5" t="n">
        <v>1</v>
      </c>
      <c r="T104" s="8" t="n">
        <v>271.18</v>
      </c>
      <c r="U104" s="8" t="n">
        <v>0</v>
      </c>
      <c r="V104" s="8" t="n">
        <v>0</v>
      </c>
      <c r="W104" s="6" t="n"/>
      <c r="X104" s="8" t="n">
        <v>271.18</v>
      </c>
      <c r="Y104" s="5" t="n">
        <v>54</v>
      </c>
      <c r="Z104" s="6" t="inlineStr">
        <is>
          <t>M1711</t>
        </is>
      </c>
      <c r="AA104" s="6" t="inlineStr">
        <is>
          <t>I798</t>
        </is>
      </c>
      <c r="AB104" s="6" t="inlineStr">
        <is>
          <t>M25561</t>
        </is>
      </c>
      <c r="AC104" s="6" t="n"/>
      <c r="AD104" s="5" t="n"/>
      <c r="AE104" s="6" t="inlineStr">
        <is>
          <t>HUNTER, DREW</t>
        </is>
      </c>
      <c r="AF104" s="6" t="inlineStr">
        <is>
          <t>Premier Endoscopy Center, LLC</t>
        </is>
      </c>
      <c r="AG104" s="6" t="inlineStr">
        <is>
          <t>07/13/2026</t>
        </is>
      </c>
      <c r="AH104" s="6" t="inlineStr">
        <is>
          <t>GAE</t>
        </is>
      </c>
      <c r="AI104" s="9" t="n"/>
      <c r="AJ104" s="5" t="n">
        <v>921</v>
      </c>
    </row>
    <row r="105">
      <c r="A105" s="2" t="n"/>
      <c r="B105" s="3" t="n"/>
      <c r="C105" s="4" t="n"/>
      <c r="D105" s="5" t="n">
        <v>565105413</v>
      </c>
      <c r="E105" s="6" t="inlineStr">
        <is>
          <t>HF556732512</t>
        </is>
      </c>
      <c r="F105" s="6" t="inlineStr">
        <is>
          <t>06/15/2026</t>
        </is>
      </c>
      <c r="G105" s="6" t="inlineStr">
        <is>
          <t>Medicare Part B Arizona *</t>
        </is>
      </c>
      <c r="H105" s="6" t="inlineStr">
        <is>
          <t>Medicare Part B Arizona *</t>
        </is>
      </c>
      <c r="I105" s="6" t="inlineStr">
        <is>
          <t>CIGNA</t>
        </is>
      </c>
      <c r="J105" s="6" t="inlineStr">
        <is>
          <t>75774</t>
        </is>
      </c>
      <c r="K105" s="4" t="n"/>
      <c r="L105" s="5">
        <f>IF($M105="","",$M105-TODAY())</f>
        <v/>
      </c>
      <c r="M105" s="7" t="n">
        <v>46553</v>
      </c>
      <c r="N105" s="6" t="inlineStr">
        <is>
          <t>365 days</t>
        </is>
      </c>
      <c r="O105" s="6" t="inlineStr">
        <is>
          <t>MEDICARE</t>
        </is>
      </c>
      <c r="P105" s="6" t="inlineStr">
        <is>
          <t>26</t>
        </is>
      </c>
      <c r="Q105" s="6" t="inlineStr">
        <is>
          <t>XU</t>
        </is>
      </c>
      <c r="R105" s="6" t="n"/>
      <c r="S105" s="5" t="n">
        <v>5</v>
      </c>
      <c r="T105" s="8" t="n">
        <v>3356.5</v>
      </c>
      <c r="U105" s="8" t="n">
        <v>0</v>
      </c>
      <c r="V105" s="8" t="n">
        <v>0</v>
      </c>
      <c r="W105" s="6" t="n"/>
      <c r="X105" s="8" t="n">
        <v>3356.5</v>
      </c>
      <c r="Y105" s="5" t="n">
        <v>54</v>
      </c>
      <c r="Z105" s="6" t="inlineStr">
        <is>
          <t>M1711</t>
        </is>
      </c>
      <c r="AA105" s="6" t="inlineStr">
        <is>
          <t>I798</t>
        </is>
      </c>
      <c r="AB105" s="6" t="inlineStr">
        <is>
          <t>M25561</t>
        </is>
      </c>
      <c r="AC105" s="6" t="n"/>
      <c r="AD105" s="5" t="n"/>
      <c r="AE105" s="6" t="inlineStr">
        <is>
          <t>HUNTER, DREW</t>
        </is>
      </c>
      <c r="AF105" s="6" t="inlineStr">
        <is>
          <t>Premier Endoscopy Center, LLC</t>
        </is>
      </c>
      <c r="AG105" s="6" t="inlineStr">
        <is>
          <t>07/13/2026</t>
        </is>
      </c>
      <c r="AH105" s="6" t="inlineStr">
        <is>
          <t>GAE</t>
        </is>
      </c>
      <c r="AI105" s="9" t="n"/>
      <c r="AJ105" s="5" t="n">
        <v>922</v>
      </c>
    </row>
    <row r="106">
      <c r="A106" s="2" t="n"/>
      <c r="B106" s="3" t="n"/>
      <c r="C106" s="4" t="n"/>
      <c r="D106" s="5" t="n">
        <v>565105413</v>
      </c>
      <c r="E106" s="6" t="inlineStr">
        <is>
          <t>HF556732512</t>
        </is>
      </c>
      <c r="F106" s="6" t="inlineStr">
        <is>
          <t>06/15/2026</t>
        </is>
      </c>
      <c r="G106" s="6" t="inlineStr">
        <is>
          <t>Medicare Part B Arizona *</t>
        </is>
      </c>
      <c r="H106" s="6" t="inlineStr">
        <is>
          <t>Medicare Part B Arizona *</t>
        </is>
      </c>
      <c r="I106" s="6" t="inlineStr">
        <is>
          <t>CIGNA</t>
        </is>
      </c>
      <c r="J106" s="6" t="inlineStr">
        <is>
          <t>75710</t>
        </is>
      </c>
      <c r="K106" s="4" t="n"/>
      <c r="L106" s="5">
        <f>IF($M106="","",$M106-TODAY())</f>
        <v/>
      </c>
      <c r="M106" s="7" t="n">
        <v>46553</v>
      </c>
      <c r="N106" s="6" t="inlineStr">
        <is>
          <t>365 days</t>
        </is>
      </c>
      <c r="O106" s="6" t="inlineStr">
        <is>
          <t>MEDICARE</t>
        </is>
      </c>
      <c r="P106" s="6" t="inlineStr">
        <is>
          <t>26</t>
        </is>
      </c>
      <c r="Q106" s="6" t="inlineStr">
        <is>
          <t>XU</t>
        </is>
      </c>
      <c r="R106" s="6" t="inlineStr">
        <is>
          <t>RT</t>
        </is>
      </c>
      <c r="S106" s="5" t="n">
        <v>1</v>
      </c>
      <c r="T106" s="8" t="n">
        <v>1037.19</v>
      </c>
      <c r="U106" s="8" t="n">
        <v>0</v>
      </c>
      <c r="V106" s="8" t="n">
        <v>0</v>
      </c>
      <c r="W106" s="6" t="n"/>
      <c r="X106" s="8" t="n">
        <v>1037.19</v>
      </c>
      <c r="Y106" s="5" t="n">
        <v>54</v>
      </c>
      <c r="Z106" s="6" t="inlineStr">
        <is>
          <t>M1711</t>
        </is>
      </c>
      <c r="AA106" s="6" t="inlineStr">
        <is>
          <t>I798</t>
        </is>
      </c>
      <c r="AB106" s="6" t="inlineStr">
        <is>
          <t>M25561</t>
        </is>
      </c>
      <c r="AC106" s="6" t="n"/>
      <c r="AD106" s="5" t="n"/>
      <c r="AE106" s="6" t="inlineStr">
        <is>
          <t>HUNTER, DREW</t>
        </is>
      </c>
      <c r="AF106" s="6" t="inlineStr">
        <is>
          <t>Premier Endoscopy Center, LLC</t>
        </is>
      </c>
      <c r="AG106" s="6" t="inlineStr">
        <is>
          <t>07/13/2026</t>
        </is>
      </c>
      <c r="AH106" s="6" t="inlineStr">
        <is>
          <t>GAE</t>
        </is>
      </c>
      <c r="AI106" s="9" t="n"/>
      <c r="AJ106" s="5" t="n">
        <v>923</v>
      </c>
    </row>
    <row r="107">
      <c r="A107" s="2" t="n"/>
      <c r="B107" s="3" t="n"/>
      <c r="C107" s="4" t="n"/>
      <c r="D107" s="5" t="n">
        <v>565105413</v>
      </c>
      <c r="E107" s="6" t="inlineStr">
        <is>
          <t>HF556732512</t>
        </is>
      </c>
      <c r="F107" s="6" t="inlineStr">
        <is>
          <t>06/15/2026</t>
        </is>
      </c>
      <c r="G107" s="6" t="inlineStr">
        <is>
          <t>Medicare Part B Arizona *</t>
        </is>
      </c>
      <c r="H107" s="6" t="inlineStr">
        <is>
          <t>Medicare Part B Arizona *</t>
        </is>
      </c>
      <c r="I107" s="6" t="inlineStr">
        <is>
          <t>CIGNA</t>
        </is>
      </c>
      <c r="J107" s="6" t="inlineStr">
        <is>
          <t>36245</t>
        </is>
      </c>
      <c r="K107" s="4" t="n"/>
      <c r="L107" s="5">
        <f>IF($M107="","",$M107-TODAY())</f>
        <v/>
      </c>
      <c r="M107" s="7" t="n">
        <v>46553</v>
      </c>
      <c r="N107" s="6" t="inlineStr">
        <is>
          <t>365 days</t>
        </is>
      </c>
      <c r="O107" s="6" t="inlineStr">
        <is>
          <t>MEDICARE</t>
        </is>
      </c>
      <c r="P107" s="6" t="inlineStr">
        <is>
          <t>59</t>
        </is>
      </c>
      <c r="Q107" s="6" t="n"/>
      <c r="R107" s="6" t="n"/>
      <c r="S107" s="5" t="n">
        <v>1</v>
      </c>
      <c r="T107" s="8" t="n">
        <v>8566.040000000001</v>
      </c>
      <c r="U107" s="8" t="n">
        <v>0</v>
      </c>
      <c r="V107" s="8" t="n">
        <v>0</v>
      </c>
      <c r="W107" s="6" t="n"/>
      <c r="X107" s="8" t="n">
        <v>8566.040000000001</v>
      </c>
      <c r="Y107" s="5" t="n">
        <v>54</v>
      </c>
      <c r="Z107" s="6" t="inlineStr">
        <is>
          <t>M1711</t>
        </is>
      </c>
      <c r="AA107" s="6" t="inlineStr">
        <is>
          <t>I798</t>
        </is>
      </c>
      <c r="AB107" s="6" t="inlineStr">
        <is>
          <t>M25561</t>
        </is>
      </c>
      <c r="AC107" s="6" t="n"/>
      <c r="AD107" s="5" t="n"/>
      <c r="AE107" s="6" t="inlineStr">
        <is>
          <t>HUNTER, DREW</t>
        </is>
      </c>
      <c r="AF107" s="6" t="inlineStr">
        <is>
          <t>Premier Endoscopy Center, LLC</t>
        </is>
      </c>
      <c r="AG107" s="6" t="inlineStr">
        <is>
          <t>07/13/2026</t>
        </is>
      </c>
      <c r="AH107" s="6" t="inlineStr">
        <is>
          <t>GAE</t>
        </is>
      </c>
      <c r="AI107" s="9" t="n"/>
      <c r="AJ107" s="5" t="n">
        <v>924</v>
      </c>
    </row>
    <row r="108">
      <c r="A108" s="2" t="n"/>
      <c r="B108" s="3" t="n"/>
      <c r="C108" s="4" t="n"/>
      <c r="D108" s="5" t="n">
        <v>565103359</v>
      </c>
      <c r="E108" s="6" t="inlineStr">
        <is>
          <t>HF541743150</t>
        </is>
      </c>
      <c r="F108" s="6" t="inlineStr">
        <is>
          <t>06/22/2026</t>
        </is>
      </c>
      <c r="G108" s="6" t="inlineStr">
        <is>
          <t>Medicare Part B Arizona *</t>
        </is>
      </c>
      <c r="H108" s="6" t="inlineStr">
        <is>
          <t>Medicare Part B Arizona *</t>
        </is>
      </c>
      <c r="I108" s="6" t="inlineStr">
        <is>
          <t>Cigna Medicare Supplemental Benefit Plans - Relay Health 13193</t>
        </is>
      </c>
      <c r="J108" s="6" t="inlineStr">
        <is>
          <t>36245</t>
        </is>
      </c>
      <c r="K108" s="4" t="n"/>
      <c r="L108" s="5">
        <f>IF($M108="","",$M108-TODAY())</f>
        <v/>
      </c>
      <c r="M108" s="7" t="n">
        <v>46560</v>
      </c>
      <c r="N108" s="6" t="inlineStr">
        <is>
          <t>365 days</t>
        </is>
      </c>
      <c r="O108" s="6" t="inlineStr">
        <is>
          <t>MEDICARE</t>
        </is>
      </c>
      <c r="P108" s="6" t="inlineStr">
        <is>
          <t>59</t>
        </is>
      </c>
      <c r="Q108" s="6" t="n"/>
      <c r="R108" s="6" t="n"/>
      <c r="S108" s="5" t="n">
        <v>5</v>
      </c>
      <c r="T108" s="8" t="n">
        <v>42830.2</v>
      </c>
      <c r="U108" s="8" t="n">
        <v>0</v>
      </c>
      <c r="V108" s="8" t="n">
        <v>0</v>
      </c>
      <c r="W108" s="6" t="n"/>
      <c r="X108" s="8" t="n">
        <v>42830.2</v>
      </c>
      <c r="Y108" s="5" t="n">
        <v>47</v>
      </c>
      <c r="Z108" s="6" t="inlineStr">
        <is>
          <t>M1711</t>
        </is>
      </c>
      <c r="AA108" s="6" t="inlineStr">
        <is>
          <t>I798</t>
        </is>
      </c>
      <c r="AB108" s="6" t="inlineStr">
        <is>
          <t>M25561</t>
        </is>
      </c>
      <c r="AC108" s="6" t="n"/>
      <c r="AD108" s="5" t="n"/>
      <c r="AE108" s="6" t="inlineStr">
        <is>
          <t>HUNTER, DREW</t>
        </is>
      </c>
      <c r="AF108" s="6" t="inlineStr">
        <is>
          <t>ASAP Surgery Centers North Valley LLC</t>
        </is>
      </c>
      <c r="AG108" s="6" t="inlineStr">
        <is>
          <t>07/13/2026</t>
        </is>
      </c>
      <c r="AH108" s="6" t="inlineStr">
        <is>
          <t>GAE</t>
        </is>
      </c>
      <c r="AI108" s="9" t="n"/>
      <c r="AJ108" s="5" t="n">
        <v>308</v>
      </c>
    </row>
    <row r="109">
      <c r="A109" s="2" t="n"/>
      <c r="B109" s="3" t="n"/>
      <c r="C109" s="4" t="n"/>
      <c r="D109" s="5" t="n">
        <v>565103359</v>
      </c>
      <c r="E109" s="6" t="inlineStr">
        <is>
          <t>HF541743150</t>
        </is>
      </c>
      <c r="F109" s="6" t="inlineStr">
        <is>
          <t>06/22/2026</t>
        </is>
      </c>
      <c r="G109" s="6" t="inlineStr">
        <is>
          <t>Medicare Part B Arizona *</t>
        </is>
      </c>
      <c r="H109" s="6" t="inlineStr">
        <is>
          <t>Medicare Part B Arizona *</t>
        </is>
      </c>
      <c r="I109" s="6" t="inlineStr">
        <is>
          <t>Cigna Medicare Supplemental Benefit Plans - Relay Health 13193</t>
        </is>
      </c>
      <c r="J109" s="6" t="inlineStr">
        <is>
          <t>75774</t>
        </is>
      </c>
      <c r="K109" s="4" t="n"/>
      <c r="L109" s="5">
        <f>IF($M109="","",$M109-TODAY())</f>
        <v/>
      </c>
      <c r="M109" s="7" t="n">
        <v>46560</v>
      </c>
      <c r="N109" s="6" t="inlineStr">
        <is>
          <t>365 days</t>
        </is>
      </c>
      <c r="O109" s="6" t="inlineStr">
        <is>
          <t>MEDICARE</t>
        </is>
      </c>
      <c r="P109" s="6" t="inlineStr">
        <is>
          <t>26</t>
        </is>
      </c>
      <c r="Q109" s="6" t="inlineStr">
        <is>
          <t>XU</t>
        </is>
      </c>
      <c r="R109" s="6" t="n"/>
      <c r="S109" s="5" t="n">
        <v>5</v>
      </c>
      <c r="T109" s="8" t="n">
        <v>3356.5</v>
      </c>
      <c r="U109" s="8" t="n">
        <v>0</v>
      </c>
      <c r="V109" s="8" t="n">
        <v>0</v>
      </c>
      <c r="W109" s="6" t="n"/>
      <c r="X109" s="8" t="n">
        <v>3356.5</v>
      </c>
      <c r="Y109" s="5" t="n">
        <v>47</v>
      </c>
      <c r="Z109" s="6" t="inlineStr">
        <is>
          <t>M1711</t>
        </is>
      </c>
      <c r="AA109" s="6" t="inlineStr">
        <is>
          <t>I798</t>
        </is>
      </c>
      <c r="AB109" s="6" t="inlineStr">
        <is>
          <t>M25561</t>
        </is>
      </c>
      <c r="AC109" s="6" t="n"/>
      <c r="AD109" s="5" t="n"/>
      <c r="AE109" s="6" t="inlineStr">
        <is>
          <t>HUNTER, DREW</t>
        </is>
      </c>
      <c r="AF109" s="6" t="inlineStr">
        <is>
          <t>ASAP Surgery Centers North Valley LLC</t>
        </is>
      </c>
      <c r="AG109" s="6" t="inlineStr">
        <is>
          <t>07/13/2026</t>
        </is>
      </c>
      <c r="AH109" s="6" t="inlineStr">
        <is>
          <t>GAE</t>
        </is>
      </c>
      <c r="AI109" s="9" t="n"/>
      <c r="AJ109" s="5" t="n">
        <v>309</v>
      </c>
    </row>
    <row r="110">
      <c r="A110" s="2" t="n"/>
      <c r="B110" s="3" t="n"/>
      <c r="C110" s="4" t="n"/>
      <c r="D110" s="5" t="n">
        <v>565103359</v>
      </c>
      <c r="E110" s="6" t="inlineStr">
        <is>
          <t>HF541743150</t>
        </is>
      </c>
      <c r="F110" s="6" t="inlineStr">
        <is>
          <t>06/22/2026</t>
        </is>
      </c>
      <c r="G110" s="6" t="inlineStr">
        <is>
          <t>Medicare Part B Arizona *</t>
        </is>
      </c>
      <c r="H110" s="6" t="inlineStr">
        <is>
          <t>Medicare Part B Arizona *</t>
        </is>
      </c>
      <c r="I110" s="6" t="inlineStr">
        <is>
          <t>Cigna Medicare Supplemental Benefit Plans - Relay Health 13193</t>
        </is>
      </c>
      <c r="J110" s="6" t="inlineStr">
        <is>
          <t>75710</t>
        </is>
      </c>
      <c r="K110" s="4" t="n"/>
      <c r="L110" s="5">
        <f>IF($M110="","",$M110-TODAY())</f>
        <v/>
      </c>
      <c r="M110" s="7" t="n">
        <v>46560</v>
      </c>
      <c r="N110" s="6" t="inlineStr">
        <is>
          <t>365 days</t>
        </is>
      </c>
      <c r="O110" s="6" t="inlineStr">
        <is>
          <t>MEDICARE</t>
        </is>
      </c>
      <c r="P110" s="6" t="inlineStr">
        <is>
          <t>26</t>
        </is>
      </c>
      <c r="Q110" s="6" t="inlineStr">
        <is>
          <t>XU</t>
        </is>
      </c>
      <c r="R110" s="6" t="inlineStr">
        <is>
          <t>RT</t>
        </is>
      </c>
      <c r="S110" s="5" t="n">
        <v>1</v>
      </c>
      <c r="T110" s="8" t="n">
        <v>1037.19</v>
      </c>
      <c r="U110" s="8" t="n">
        <v>0</v>
      </c>
      <c r="V110" s="8" t="n">
        <v>0</v>
      </c>
      <c r="W110" s="6" t="n"/>
      <c r="X110" s="8" t="n">
        <v>1037.19</v>
      </c>
      <c r="Y110" s="5" t="n">
        <v>47</v>
      </c>
      <c r="Z110" s="6" t="inlineStr">
        <is>
          <t>M1711</t>
        </is>
      </c>
      <c r="AA110" s="6" t="inlineStr">
        <is>
          <t>I798</t>
        </is>
      </c>
      <c r="AB110" s="6" t="inlineStr">
        <is>
          <t>M25561</t>
        </is>
      </c>
      <c r="AC110" s="6" t="n"/>
      <c r="AD110" s="5" t="n"/>
      <c r="AE110" s="6" t="inlineStr">
        <is>
          <t>HUNTER, DREW</t>
        </is>
      </c>
      <c r="AF110" s="6" t="inlineStr">
        <is>
          <t>ASAP Surgery Centers North Valley LLC</t>
        </is>
      </c>
      <c r="AG110" s="6" t="inlineStr">
        <is>
          <t>07/13/2026</t>
        </is>
      </c>
      <c r="AH110" s="6" t="inlineStr">
        <is>
          <t>GAE</t>
        </is>
      </c>
      <c r="AI110" s="9" t="n"/>
      <c r="AJ110" s="5" t="n">
        <v>312</v>
      </c>
    </row>
    <row r="111">
      <c r="A111" s="2" t="n"/>
      <c r="B111" s="3" t="n"/>
      <c r="C111" s="4" t="n"/>
      <c r="D111" s="5" t="n">
        <v>565103359</v>
      </c>
      <c r="E111" s="6" t="inlineStr">
        <is>
          <t>HF541743150</t>
        </is>
      </c>
      <c r="F111" s="6" t="inlineStr">
        <is>
          <t>06/22/2026</t>
        </is>
      </c>
      <c r="G111" s="6" t="inlineStr">
        <is>
          <t>Medicare Part B Arizona *</t>
        </is>
      </c>
      <c r="H111" s="6" t="inlineStr">
        <is>
          <t>Medicare Part B Arizona *</t>
        </is>
      </c>
      <c r="I111" s="6" t="inlineStr">
        <is>
          <t>Cigna Medicare Supplemental Benefit Plans - Relay Health 13193</t>
        </is>
      </c>
      <c r="J111" s="6" t="inlineStr">
        <is>
          <t>76937</t>
        </is>
      </c>
      <c r="K111" s="4" t="n"/>
      <c r="L111" s="5">
        <f>IF($M111="","",$M111-TODAY())</f>
        <v/>
      </c>
      <c r="M111" s="7" t="n">
        <v>46560</v>
      </c>
      <c r="N111" s="6" t="inlineStr">
        <is>
          <t>365 days</t>
        </is>
      </c>
      <c r="O111" s="6" t="inlineStr">
        <is>
          <t>MEDICARE</t>
        </is>
      </c>
      <c r="P111" s="6" t="inlineStr">
        <is>
          <t>26</t>
        </is>
      </c>
      <c r="Q111" s="6" t="n"/>
      <c r="R111" s="6" t="n"/>
      <c r="S111" s="5" t="n">
        <v>1</v>
      </c>
      <c r="T111" s="8" t="n">
        <v>271.18</v>
      </c>
      <c r="U111" s="8" t="n">
        <v>0</v>
      </c>
      <c r="V111" s="8" t="n">
        <v>0</v>
      </c>
      <c r="W111" s="6" t="n"/>
      <c r="X111" s="8" t="n">
        <v>271.18</v>
      </c>
      <c r="Y111" s="5" t="n">
        <v>47</v>
      </c>
      <c r="Z111" s="6" t="inlineStr">
        <is>
          <t>M1711</t>
        </is>
      </c>
      <c r="AA111" s="6" t="inlineStr">
        <is>
          <t>I798</t>
        </is>
      </c>
      <c r="AB111" s="6" t="inlineStr">
        <is>
          <t>M25561</t>
        </is>
      </c>
      <c r="AC111" s="6" t="n"/>
      <c r="AD111" s="5" t="n"/>
      <c r="AE111" s="6" t="inlineStr">
        <is>
          <t>HUNTER, DREW</t>
        </is>
      </c>
      <c r="AF111" s="6" t="inlineStr">
        <is>
          <t>ASAP Surgery Centers North Valley LLC</t>
        </is>
      </c>
      <c r="AG111" s="6" t="inlineStr">
        <is>
          <t>07/13/2026</t>
        </is>
      </c>
      <c r="AH111" s="6" t="inlineStr">
        <is>
          <t>GAE</t>
        </is>
      </c>
      <c r="AI111" s="9" t="n"/>
      <c r="AJ111" s="5" t="n">
        <v>313</v>
      </c>
    </row>
    <row r="112">
      <c r="A112" s="2" t="n"/>
      <c r="B112" s="3" t="n"/>
      <c r="C112" s="4" t="n"/>
      <c r="D112" s="5" t="n">
        <v>565103359</v>
      </c>
      <c r="E112" s="6" t="inlineStr">
        <is>
          <t>HF541743150</t>
        </is>
      </c>
      <c r="F112" s="6" t="inlineStr">
        <is>
          <t>06/22/2026</t>
        </is>
      </c>
      <c r="G112" s="6" t="inlineStr">
        <is>
          <t>Medicare Part B Arizona *</t>
        </is>
      </c>
      <c r="H112" s="6" t="inlineStr">
        <is>
          <t>Medicare Part B Arizona *</t>
        </is>
      </c>
      <c r="I112" s="6" t="inlineStr">
        <is>
          <t>Cigna Medicare Supplemental Benefit Plans - Relay Health 13193</t>
        </is>
      </c>
      <c r="J112" s="6" t="inlineStr">
        <is>
          <t>37242</t>
        </is>
      </c>
      <c r="K112" s="4" t="n"/>
      <c r="L112" s="5">
        <f>IF($M112="","",$M112-TODAY())</f>
        <v/>
      </c>
      <c r="M112" s="7" t="n">
        <v>46560</v>
      </c>
      <c r="N112" s="6" t="inlineStr">
        <is>
          <t>365 days</t>
        </is>
      </c>
      <c r="O112" s="6" t="inlineStr">
        <is>
          <t>MEDICARE</t>
        </is>
      </c>
      <c r="P112" s="6" t="n"/>
      <c r="Q112" s="6" t="n"/>
      <c r="R112" s="6" t="n"/>
      <c r="S112" s="5" t="n">
        <v>1</v>
      </c>
      <c r="T112" s="8" t="n">
        <v>49162.82</v>
      </c>
      <c r="U112" s="8" t="n">
        <v>0</v>
      </c>
      <c r="V112" s="8" t="n">
        <v>0</v>
      </c>
      <c r="W112" s="6" t="n"/>
      <c r="X112" s="8" t="n">
        <v>49162.82</v>
      </c>
      <c r="Y112" s="5" t="n">
        <v>47</v>
      </c>
      <c r="Z112" s="6" t="inlineStr">
        <is>
          <t>M1711</t>
        </is>
      </c>
      <c r="AA112" s="6" t="inlineStr">
        <is>
          <t>I798</t>
        </is>
      </c>
      <c r="AB112" s="6" t="inlineStr">
        <is>
          <t>M25561</t>
        </is>
      </c>
      <c r="AC112" s="6" t="n"/>
      <c r="AD112" s="5" t="n"/>
      <c r="AE112" s="6" t="inlineStr">
        <is>
          <t>HUNTER, DREW</t>
        </is>
      </c>
      <c r="AF112" s="6" t="inlineStr">
        <is>
          <t>ASAP Surgery Centers North Valley LLC</t>
        </is>
      </c>
      <c r="AG112" s="6" t="inlineStr">
        <is>
          <t>07/13/2026</t>
        </is>
      </c>
      <c r="AH112" s="6" t="inlineStr">
        <is>
          <t>GAE</t>
        </is>
      </c>
      <c r="AI112" s="9" t="n"/>
      <c r="AJ112" s="5" t="n">
        <v>314</v>
      </c>
    </row>
    <row r="113">
      <c r="A113" s="2" t="n"/>
      <c r="B113" s="3" t="n"/>
      <c r="C113" s="4" t="n"/>
      <c r="D113" s="5" t="n">
        <v>566102944</v>
      </c>
      <c r="E113" s="6" t="inlineStr">
        <is>
          <t>HF562630958</t>
        </is>
      </c>
      <c r="F113" s="6" t="inlineStr">
        <is>
          <t>06/29/2026</t>
        </is>
      </c>
      <c r="G113" s="6" t="inlineStr">
        <is>
          <t>Medicare Part B Arizona *</t>
        </is>
      </c>
      <c r="H113" s="6" t="inlineStr">
        <is>
          <t>Medicare Part B Arizona *</t>
        </is>
      </c>
      <c r="I113" s="6" t="inlineStr">
        <is>
          <t>USAA Life Insurance Company</t>
        </is>
      </c>
      <c r="J113" s="6" t="inlineStr">
        <is>
          <t>36247</t>
        </is>
      </c>
      <c r="K113" s="4" t="n"/>
      <c r="L113" s="5">
        <f>IF($M113="","",$M113-TODAY())</f>
        <v/>
      </c>
      <c r="M113" s="7" t="n">
        <v>46567</v>
      </c>
      <c r="N113" s="6" t="inlineStr">
        <is>
          <t>365 days</t>
        </is>
      </c>
      <c r="O113" s="6" t="inlineStr">
        <is>
          <t>MEDICARE</t>
        </is>
      </c>
      <c r="P113" s="6" t="inlineStr">
        <is>
          <t>59</t>
        </is>
      </c>
      <c r="Q113" s="6" t="inlineStr">
        <is>
          <t>RT</t>
        </is>
      </c>
      <c r="R113" s="6" t="n"/>
      <c r="S113" s="5" t="n">
        <v>1</v>
      </c>
      <c r="T113" s="8" t="n">
        <v>9796.99</v>
      </c>
      <c r="U113" s="8" t="n">
        <v>0</v>
      </c>
      <c r="V113" s="8" t="n">
        <v>0</v>
      </c>
      <c r="W113" s="6" t="n"/>
      <c r="X113" s="8" t="n">
        <v>9796.99</v>
      </c>
      <c r="Y113" s="5" t="n">
        <v>40</v>
      </c>
      <c r="Z113" s="6" t="inlineStr">
        <is>
          <t>M1711</t>
        </is>
      </c>
      <c r="AA113" s="6" t="inlineStr">
        <is>
          <t>I798</t>
        </is>
      </c>
      <c r="AB113" s="6" t="inlineStr">
        <is>
          <t>M25561</t>
        </is>
      </c>
      <c r="AC113" s="6" t="n"/>
      <c r="AD113" s="5" t="n"/>
      <c r="AE113" s="6" t="inlineStr">
        <is>
          <t>HUNTER, DREW</t>
        </is>
      </c>
      <c r="AF113" s="6" t="inlineStr">
        <is>
          <t>Premier Endoscopy Center, LLC</t>
        </is>
      </c>
      <c r="AG113" s="6" t="inlineStr">
        <is>
          <t>07/13/2026</t>
        </is>
      </c>
      <c r="AH113" s="6" t="inlineStr">
        <is>
          <t>GAE</t>
        </is>
      </c>
      <c r="AI113" s="9" t="n"/>
      <c r="AJ113" s="5" t="n">
        <v>950</v>
      </c>
    </row>
    <row r="114">
      <c r="A114" s="2" t="n"/>
      <c r="B114" s="3" t="n"/>
      <c r="C114" s="4" t="n"/>
      <c r="D114" s="5" t="n">
        <v>566102944</v>
      </c>
      <c r="E114" s="6" t="inlineStr">
        <is>
          <t>HF562630958</t>
        </is>
      </c>
      <c r="F114" s="6" t="inlineStr">
        <is>
          <t>06/29/2026</t>
        </is>
      </c>
      <c r="G114" s="6" t="inlineStr">
        <is>
          <t>Medicare Part B Arizona *</t>
        </is>
      </c>
      <c r="H114" s="6" t="inlineStr">
        <is>
          <t>Medicare Part B Arizona *</t>
        </is>
      </c>
      <c r="I114" s="6" t="inlineStr">
        <is>
          <t>USAA Life Insurance Company</t>
        </is>
      </c>
      <c r="J114" s="6" t="inlineStr">
        <is>
          <t>76937</t>
        </is>
      </c>
      <c r="K114" s="4" t="n"/>
      <c r="L114" s="5">
        <f>IF($M114="","",$M114-TODAY())</f>
        <v/>
      </c>
      <c r="M114" s="7" t="n">
        <v>46567</v>
      </c>
      <c r="N114" s="6" t="inlineStr">
        <is>
          <t>365 days</t>
        </is>
      </c>
      <c r="O114" s="6" t="inlineStr">
        <is>
          <t>MEDICARE</t>
        </is>
      </c>
      <c r="P114" s="6" t="inlineStr">
        <is>
          <t>26</t>
        </is>
      </c>
      <c r="Q114" s="6" t="n"/>
      <c r="R114" s="6" t="n"/>
      <c r="S114" s="5" t="n">
        <v>1</v>
      </c>
      <c r="T114" s="8" t="n">
        <v>271.18</v>
      </c>
      <c r="U114" s="8" t="n">
        <v>0</v>
      </c>
      <c r="V114" s="8" t="n">
        <v>0</v>
      </c>
      <c r="W114" s="6" t="n"/>
      <c r="X114" s="8" t="n">
        <v>271.18</v>
      </c>
      <c r="Y114" s="5" t="n">
        <v>40</v>
      </c>
      <c r="Z114" s="6" t="inlineStr">
        <is>
          <t>M1711</t>
        </is>
      </c>
      <c r="AA114" s="6" t="inlineStr">
        <is>
          <t>I798</t>
        </is>
      </c>
      <c r="AB114" s="6" t="inlineStr">
        <is>
          <t>M25561</t>
        </is>
      </c>
      <c r="AC114" s="6" t="n"/>
      <c r="AD114" s="5" t="n"/>
      <c r="AE114" s="6" t="inlineStr">
        <is>
          <t>HUNTER, DREW</t>
        </is>
      </c>
      <c r="AF114" s="6" t="inlineStr">
        <is>
          <t>Premier Endoscopy Center, LLC</t>
        </is>
      </c>
      <c r="AG114" s="6" t="inlineStr">
        <is>
          <t>07/13/2026</t>
        </is>
      </c>
      <c r="AH114" s="6" t="inlineStr">
        <is>
          <t>GAE</t>
        </is>
      </c>
      <c r="AI114" s="9" t="n"/>
      <c r="AJ114" s="5" t="n">
        <v>1021</v>
      </c>
    </row>
    <row r="115">
      <c r="A115" s="2" t="n"/>
      <c r="B115" s="3" t="n"/>
      <c r="C115" s="4" t="n"/>
      <c r="D115" s="5" t="n">
        <v>566102944</v>
      </c>
      <c r="E115" s="6" t="inlineStr">
        <is>
          <t>HF562630958</t>
        </is>
      </c>
      <c r="F115" s="6" t="inlineStr">
        <is>
          <t>06/29/2026</t>
        </is>
      </c>
      <c r="G115" s="6" t="inlineStr">
        <is>
          <t>Medicare Part B Arizona *</t>
        </is>
      </c>
      <c r="H115" s="6" t="inlineStr">
        <is>
          <t>Medicare Part B Arizona *</t>
        </is>
      </c>
      <c r="I115" s="6" t="inlineStr">
        <is>
          <t>USAA Life Insurance Company</t>
        </is>
      </c>
      <c r="J115" s="6" t="inlineStr">
        <is>
          <t>37242</t>
        </is>
      </c>
      <c r="K115" s="4" t="n"/>
      <c r="L115" s="5">
        <f>IF($M115="","",$M115-TODAY())</f>
        <v/>
      </c>
      <c r="M115" s="7" t="n">
        <v>46567</v>
      </c>
      <c r="N115" s="6" t="inlineStr">
        <is>
          <t>365 days</t>
        </is>
      </c>
      <c r="O115" s="6" t="inlineStr">
        <is>
          <t>MEDICARE</t>
        </is>
      </c>
      <c r="P115" s="6" t="n"/>
      <c r="Q115" s="6" t="n"/>
      <c r="R115" s="6" t="n"/>
      <c r="S115" s="5" t="n">
        <v>1</v>
      </c>
      <c r="T115" s="8" t="n">
        <v>49162.82</v>
      </c>
      <c r="U115" s="8" t="n">
        <v>0</v>
      </c>
      <c r="V115" s="8" t="n">
        <v>0</v>
      </c>
      <c r="W115" s="6" t="n"/>
      <c r="X115" s="8" t="n">
        <v>49162.82</v>
      </c>
      <c r="Y115" s="5" t="n">
        <v>40</v>
      </c>
      <c r="Z115" s="6" t="inlineStr">
        <is>
          <t>M1711</t>
        </is>
      </c>
      <c r="AA115" s="6" t="inlineStr">
        <is>
          <t>I798</t>
        </is>
      </c>
      <c r="AB115" s="6" t="inlineStr">
        <is>
          <t>M25561</t>
        </is>
      </c>
      <c r="AC115" s="6" t="n"/>
      <c r="AD115" s="5" t="n"/>
      <c r="AE115" s="6" t="inlineStr">
        <is>
          <t>HUNTER, DREW</t>
        </is>
      </c>
      <c r="AF115" s="6" t="inlineStr">
        <is>
          <t>Premier Endoscopy Center, LLC</t>
        </is>
      </c>
      <c r="AG115" s="6" t="inlineStr">
        <is>
          <t>07/13/2026</t>
        </is>
      </c>
      <c r="AH115" s="6" t="inlineStr">
        <is>
          <t>GAE</t>
        </is>
      </c>
      <c r="AI115" s="9" t="n"/>
      <c r="AJ115" s="5" t="n">
        <v>1022</v>
      </c>
    </row>
    <row r="116">
      <c r="A116" s="2" t="n"/>
      <c r="B116" s="3" t="n"/>
      <c r="C116" s="4" t="n"/>
      <c r="D116" s="5" t="n">
        <v>566102944</v>
      </c>
      <c r="E116" s="6" t="inlineStr">
        <is>
          <t>HF562630958</t>
        </is>
      </c>
      <c r="F116" s="6" t="inlineStr">
        <is>
          <t>06/29/2026</t>
        </is>
      </c>
      <c r="G116" s="6" t="inlineStr">
        <is>
          <t>Medicare Part B Arizona *</t>
        </is>
      </c>
      <c r="H116" s="6" t="inlineStr">
        <is>
          <t>Medicare Part B Arizona *</t>
        </is>
      </c>
      <c r="I116" s="6" t="inlineStr">
        <is>
          <t>USAA Life Insurance Company</t>
        </is>
      </c>
      <c r="J116" s="6" t="inlineStr">
        <is>
          <t>75710</t>
        </is>
      </c>
      <c r="K116" s="4" t="n"/>
      <c r="L116" s="5">
        <f>IF($M116="","",$M116-TODAY())</f>
        <v/>
      </c>
      <c r="M116" s="7" t="n">
        <v>46567</v>
      </c>
      <c r="N116" s="6" t="inlineStr">
        <is>
          <t>365 days</t>
        </is>
      </c>
      <c r="O116" s="6" t="inlineStr">
        <is>
          <t>MEDICARE</t>
        </is>
      </c>
      <c r="P116" s="6" t="inlineStr">
        <is>
          <t>26</t>
        </is>
      </c>
      <c r="Q116" s="6" t="inlineStr">
        <is>
          <t>XU</t>
        </is>
      </c>
      <c r="R116" s="6" t="inlineStr">
        <is>
          <t>RT</t>
        </is>
      </c>
      <c r="S116" s="5" t="n">
        <v>1</v>
      </c>
      <c r="T116" s="8" t="n">
        <v>1037.19</v>
      </c>
      <c r="U116" s="8" t="n">
        <v>0</v>
      </c>
      <c r="V116" s="8" t="n">
        <v>0</v>
      </c>
      <c r="W116" s="6" t="n"/>
      <c r="X116" s="8" t="n">
        <v>1037.19</v>
      </c>
      <c r="Y116" s="5" t="n">
        <v>40</v>
      </c>
      <c r="Z116" s="6" t="inlineStr">
        <is>
          <t>M1711</t>
        </is>
      </c>
      <c r="AA116" s="6" t="inlineStr">
        <is>
          <t>I798</t>
        </is>
      </c>
      <c r="AB116" s="6" t="inlineStr">
        <is>
          <t>M25561</t>
        </is>
      </c>
      <c r="AC116" s="6" t="n"/>
      <c r="AD116" s="5" t="n"/>
      <c r="AE116" s="6" t="inlineStr">
        <is>
          <t>HUNTER, DREW</t>
        </is>
      </c>
      <c r="AF116" s="6" t="inlineStr">
        <is>
          <t>Premier Endoscopy Center, LLC</t>
        </is>
      </c>
      <c r="AG116" s="6" t="inlineStr">
        <is>
          <t>07/13/2026</t>
        </is>
      </c>
      <c r="AH116" s="6" t="inlineStr">
        <is>
          <t>GAE</t>
        </is>
      </c>
      <c r="AI116" s="9" t="n"/>
      <c r="AJ116" s="5" t="n">
        <v>1023</v>
      </c>
    </row>
    <row r="117">
      <c r="A117" s="2" t="n"/>
      <c r="B117" s="3" t="n"/>
      <c r="C117" s="4" t="n"/>
      <c r="D117" s="5" t="n">
        <v>566102944</v>
      </c>
      <c r="E117" s="6" t="inlineStr">
        <is>
          <t>HF562630958</t>
        </is>
      </c>
      <c r="F117" s="6" t="inlineStr">
        <is>
          <t>06/29/2026</t>
        </is>
      </c>
      <c r="G117" s="6" t="inlineStr">
        <is>
          <t>Medicare Part B Arizona *</t>
        </is>
      </c>
      <c r="H117" s="6" t="inlineStr">
        <is>
          <t>Medicare Part B Arizona *</t>
        </is>
      </c>
      <c r="I117" s="6" t="inlineStr">
        <is>
          <t>USAA Life Insurance Company</t>
        </is>
      </c>
      <c r="J117" s="6" t="inlineStr">
        <is>
          <t>36248</t>
        </is>
      </c>
      <c r="K117" s="4" t="n"/>
      <c r="L117" s="5">
        <f>IF($M117="","",$M117-TODAY())</f>
        <v/>
      </c>
      <c r="M117" s="7" t="n">
        <v>46567</v>
      </c>
      <c r="N117" s="6" t="inlineStr">
        <is>
          <t>365 days</t>
        </is>
      </c>
      <c r="O117" s="6" t="inlineStr">
        <is>
          <t>MEDICARE</t>
        </is>
      </c>
      <c r="P117" s="6" t="inlineStr">
        <is>
          <t>59</t>
        </is>
      </c>
      <c r="Q117" s="6" t="n"/>
      <c r="R117" s="6" t="n"/>
      <c r="S117" s="5" t="n">
        <v>4</v>
      </c>
      <c r="T117" s="8" t="n">
        <v>3230.36</v>
      </c>
      <c r="U117" s="8" t="n">
        <v>0</v>
      </c>
      <c r="V117" s="8" t="n">
        <v>0</v>
      </c>
      <c r="W117" s="6" t="n"/>
      <c r="X117" s="8" t="n">
        <v>3230.36</v>
      </c>
      <c r="Y117" s="5" t="n">
        <v>40</v>
      </c>
      <c r="Z117" s="6" t="inlineStr">
        <is>
          <t>M1711</t>
        </is>
      </c>
      <c r="AA117" s="6" t="inlineStr">
        <is>
          <t>I798</t>
        </is>
      </c>
      <c r="AB117" s="6" t="inlineStr">
        <is>
          <t>M25561</t>
        </is>
      </c>
      <c r="AC117" s="6" t="n"/>
      <c r="AD117" s="5" t="n"/>
      <c r="AE117" s="6" t="inlineStr">
        <is>
          <t>HUNTER, DREW</t>
        </is>
      </c>
      <c r="AF117" s="6" t="inlineStr">
        <is>
          <t>Premier Endoscopy Center, LLC</t>
        </is>
      </c>
      <c r="AG117" s="6" t="inlineStr">
        <is>
          <t>07/13/2026</t>
        </is>
      </c>
      <c r="AH117" s="6" t="inlineStr">
        <is>
          <t>GAE</t>
        </is>
      </c>
      <c r="AI117" s="9" t="n"/>
      <c r="AJ117" s="5" t="n">
        <v>1024</v>
      </c>
    </row>
    <row r="118">
      <c r="A118" s="2" t="n"/>
      <c r="B118" s="3" t="n"/>
      <c r="C118" s="4" t="n"/>
      <c r="D118" s="5" t="n">
        <v>566102944</v>
      </c>
      <c r="E118" s="6" t="inlineStr">
        <is>
          <t>HF562630958</t>
        </is>
      </c>
      <c r="F118" s="6" t="inlineStr">
        <is>
          <t>06/29/2026</t>
        </is>
      </c>
      <c r="G118" s="6" t="inlineStr">
        <is>
          <t>Medicare Part B Arizona *</t>
        </is>
      </c>
      <c r="H118" s="6" t="inlineStr">
        <is>
          <t>Medicare Part B Arizona *</t>
        </is>
      </c>
      <c r="I118" s="6" t="inlineStr">
        <is>
          <t>USAA Life Insurance Company</t>
        </is>
      </c>
      <c r="J118" s="6" t="inlineStr">
        <is>
          <t>75774</t>
        </is>
      </c>
      <c r="K118" s="4" t="n"/>
      <c r="L118" s="5">
        <f>IF($M118="","",$M118-TODAY())</f>
        <v/>
      </c>
      <c r="M118" s="7" t="n">
        <v>46567</v>
      </c>
      <c r="N118" s="6" t="inlineStr">
        <is>
          <t>365 days</t>
        </is>
      </c>
      <c r="O118" s="6" t="inlineStr">
        <is>
          <t>MEDICARE</t>
        </is>
      </c>
      <c r="P118" s="6" t="inlineStr">
        <is>
          <t>26</t>
        </is>
      </c>
      <c r="Q118" s="6" t="inlineStr">
        <is>
          <t>XU</t>
        </is>
      </c>
      <c r="R118" s="6" t="n"/>
      <c r="S118" s="5" t="n">
        <v>5</v>
      </c>
      <c r="T118" s="8" t="n">
        <v>3356.5</v>
      </c>
      <c r="U118" s="8" t="n">
        <v>0</v>
      </c>
      <c r="V118" s="8" t="n">
        <v>0</v>
      </c>
      <c r="W118" s="6" t="n"/>
      <c r="X118" s="8" t="n">
        <v>3356.5</v>
      </c>
      <c r="Y118" s="5" t="n">
        <v>40</v>
      </c>
      <c r="Z118" s="6" t="inlineStr">
        <is>
          <t>M1711</t>
        </is>
      </c>
      <c r="AA118" s="6" t="inlineStr">
        <is>
          <t>I798</t>
        </is>
      </c>
      <c r="AB118" s="6" t="inlineStr">
        <is>
          <t>M25561</t>
        </is>
      </c>
      <c r="AC118" s="6" t="n"/>
      <c r="AD118" s="5" t="n"/>
      <c r="AE118" s="6" t="inlineStr">
        <is>
          <t>HUNTER, DREW</t>
        </is>
      </c>
      <c r="AF118" s="6" t="inlineStr">
        <is>
          <t>Premier Endoscopy Center, LLC</t>
        </is>
      </c>
      <c r="AG118" s="6" t="inlineStr">
        <is>
          <t>07/13/2026</t>
        </is>
      </c>
      <c r="AH118" s="6" t="inlineStr">
        <is>
          <t>GAE</t>
        </is>
      </c>
      <c r="AI118" s="9" t="n"/>
      <c r="AJ118" s="5" t="n">
        <v>1025</v>
      </c>
    </row>
    <row r="119">
      <c r="A119" s="2" t="n"/>
      <c r="B119" s="3" t="n"/>
      <c r="C119" s="4" t="n"/>
      <c r="D119" s="5" t="n">
        <v>565099868</v>
      </c>
      <c r="E119" s="6" t="inlineStr">
        <is>
          <t>HF548665870</t>
        </is>
      </c>
      <c r="F119" s="6" t="inlineStr">
        <is>
          <t>06/01/2026</t>
        </is>
      </c>
      <c r="G119" s="6" t="inlineStr">
        <is>
          <t>Devoted Health Plan</t>
        </is>
      </c>
      <c r="H119" s="6" t="inlineStr">
        <is>
          <t>Devoted Health Plan</t>
        </is>
      </c>
      <c r="I119" s="6" t="inlineStr">
        <is>
          <t>No Payer</t>
        </is>
      </c>
      <c r="J119" s="6" t="inlineStr">
        <is>
          <t>36246</t>
        </is>
      </c>
      <c r="K119" s="4" t="n"/>
      <c r="L119" s="5">
        <f>IF($M119="","",$M119-TODAY())</f>
        <v/>
      </c>
      <c r="M119" s="7" t="n">
        <v>46234</v>
      </c>
      <c r="N119" s="6" t="inlineStr">
        <is>
          <t>60 days</t>
        </is>
      </c>
      <c r="O119" s="6" t="inlineStr">
        <is>
          <t>DEVOTED</t>
        </is>
      </c>
      <c r="P119" s="6" t="inlineStr">
        <is>
          <t>59</t>
        </is>
      </c>
      <c r="Q119" s="6" t="inlineStr">
        <is>
          <t>RT</t>
        </is>
      </c>
      <c r="R119" s="6" t="n"/>
      <c r="S119" s="5" t="n">
        <v>1</v>
      </c>
      <c r="T119" s="8" t="n">
        <v>5741.19</v>
      </c>
      <c r="U119" s="8" t="n">
        <v>0</v>
      </c>
      <c r="V119" s="8" t="n">
        <v>0</v>
      </c>
      <c r="W119" s="6" t="inlineStr">
        <is>
          <t>07/20/2026</t>
        </is>
      </c>
      <c r="X119" s="8" t="n">
        <v>5741.19</v>
      </c>
      <c r="Y119" s="5" t="n">
        <v>68</v>
      </c>
      <c r="Z119" s="6" t="inlineStr">
        <is>
          <t>M1711</t>
        </is>
      </c>
      <c r="AA119" s="6" t="inlineStr">
        <is>
          <t>I798</t>
        </is>
      </c>
      <c r="AB119" s="6" t="inlineStr">
        <is>
          <t>M25561</t>
        </is>
      </c>
      <c r="AC119" s="6" t="n"/>
      <c r="AD119" s="5" t="n"/>
      <c r="AE119" s="6" t="inlineStr">
        <is>
          <t>HUNTER, DREW</t>
        </is>
      </c>
      <c r="AF119" s="6" t="inlineStr">
        <is>
          <t>Premier Endoscopy Center, LLC</t>
        </is>
      </c>
      <c r="AG119" s="6" t="inlineStr">
        <is>
          <t>07/13/2026</t>
        </is>
      </c>
      <c r="AH119" s="6" t="inlineStr">
        <is>
          <t>GAE</t>
        </is>
      </c>
      <c r="AI119" s="9" t="n"/>
      <c r="AJ119" s="5" t="n">
        <v>533</v>
      </c>
    </row>
    <row r="120">
      <c r="A120" s="2" t="n"/>
      <c r="B120" s="3" t="n"/>
      <c r="C120" s="4" t="n"/>
      <c r="D120" s="5" t="n">
        <v>565099868</v>
      </c>
      <c r="E120" s="6" t="inlineStr">
        <is>
          <t>HF548665870</t>
        </is>
      </c>
      <c r="F120" s="6" t="inlineStr">
        <is>
          <t>06/01/2026</t>
        </is>
      </c>
      <c r="G120" s="6" t="inlineStr">
        <is>
          <t>Devoted Health Plan</t>
        </is>
      </c>
      <c r="H120" s="6" t="inlineStr">
        <is>
          <t>Devoted Health Plan</t>
        </is>
      </c>
      <c r="I120" s="6" t="inlineStr">
        <is>
          <t>No Payer</t>
        </is>
      </c>
      <c r="J120" s="6" t="inlineStr">
        <is>
          <t>36245</t>
        </is>
      </c>
      <c r="K120" s="4" t="n"/>
      <c r="L120" s="5">
        <f>IF($M120="","",$M120-TODAY())</f>
        <v/>
      </c>
      <c r="M120" s="7" t="n">
        <v>46234</v>
      </c>
      <c r="N120" s="6" t="inlineStr">
        <is>
          <t>60 days</t>
        </is>
      </c>
      <c r="O120" s="6" t="inlineStr">
        <is>
          <t>DEVOTED</t>
        </is>
      </c>
      <c r="P120" s="6" t="inlineStr">
        <is>
          <t>59</t>
        </is>
      </c>
      <c r="Q120" s="6" t="n"/>
      <c r="R120" s="6" t="n"/>
      <c r="S120" s="5" t="n">
        <v>1</v>
      </c>
      <c r="T120" s="8" t="n">
        <v>8566.040000000001</v>
      </c>
      <c r="U120" s="8" t="n">
        <v>0</v>
      </c>
      <c r="V120" s="8" t="n">
        <v>0</v>
      </c>
      <c r="W120" s="6" t="inlineStr">
        <is>
          <t>07/20/2026</t>
        </is>
      </c>
      <c r="X120" s="8" t="n">
        <v>8566.040000000001</v>
      </c>
      <c r="Y120" s="5" t="n">
        <v>68</v>
      </c>
      <c r="Z120" s="6" t="inlineStr">
        <is>
          <t>M1711</t>
        </is>
      </c>
      <c r="AA120" s="6" t="inlineStr">
        <is>
          <t>I798</t>
        </is>
      </c>
      <c r="AB120" s="6" t="inlineStr">
        <is>
          <t>M25561</t>
        </is>
      </c>
      <c r="AC120" s="6" t="n"/>
      <c r="AD120" s="5" t="n"/>
      <c r="AE120" s="6" t="inlineStr">
        <is>
          <t>HUNTER, DREW</t>
        </is>
      </c>
      <c r="AF120" s="6" t="inlineStr">
        <is>
          <t>Premier Endoscopy Center, LLC</t>
        </is>
      </c>
      <c r="AG120" s="6" t="inlineStr">
        <is>
          <t>07/13/2026</t>
        </is>
      </c>
      <c r="AH120" s="6" t="inlineStr">
        <is>
          <t>GAE</t>
        </is>
      </c>
      <c r="AI120" s="9" t="n"/>
      <c r="AJ120" s="5" t="n">
        <v>534</v>
      </c>
    </row>
    <row r="121">
      <c r="A121" s="2" t="n"/>
      <c r="B121" s="3" t="n"/>
      <c r="C121" s="4" t="n"/>
      <c r="D121" s="5" t="n">
        <v>565099868</v>
      </c>
      <c r="E121" s="6" t="inlineStr">
        <is>
          <t>HF548665870</t>
        </is>
      </c>
      <c r="F121" s="6" t="inlineStr">
        <is>
          <t>06/01/2026</t>
        </is>
      </c>
      <c r="G121" s="6" t="inlineStr">
        <is>
          <t>Devoted Health Plan</t>
        </is>
      </c>
      <c r="H121" s="6" t="inlineStr">
        <is>
          <t>Devoted Health Plan</t>
        </is>
      </c>
      <c r="I121" s="6" t="inlineStr">
        <is>
          <t>No Payer</t>
        </is>
      </c>
      <c r="J121" s="6" t="inlineStr">
        <is>
          <t>75710</t>
        </is>
      </c>
      <c r="K121" s="4" t="n"/>
      <c r="L121" s="5">
        <f>IF($M121="","",$M121-TODAY())</f>
        <v/>
      </c>
      <c r="M121" s="7" t="n">
        <v>46234</v>
      </c>
      <c r="N121" s="6" t="inlineStr">
        <is>
          <t>60 days</t>
        </is>
      </c>
      <c r="O121" s="6" t="inlineStr">
        <is>
          <t>DEVOTED</t>
        </is>
      </c>
      <c r="P121" s="6" t="inlineStr">
        <is>
          <t>26</t>
        </is>
      </c>
      <c r="Q121" s="6" t="inlineStr">
        <is>
          <t>XU</t>
        </is>
      </c>
      <c r="R121" s="6" t="inlineStr">
        <is>
          <t>RT</t>
        </is>
      </c>
      <c r="S121" s="5" t="n">
        <v>1</v>
      </c>
      <c r="T121" s="8" t="n">
        <v>1037.19</v>
      </c>
      <c r="U121" s="8" t="n">
        <v>0</v>
      </c>
      <c r="V121" s="8" t="n">
        <v>0</v>
      </c>
      <c r="W121" s="6" t="inlineStr">
        <is>
          <t>07/20/2026</t>
        </is>
      </c>
      <c r="X121" s="8" t="n">
        <v>1037.19</v>
      </c>
      <c r="Y121" s="5" t="n">
        <v>68</v>
      </c>
      <c r="Z121" s="6" t="inlineStr">
        <is>
          <t>M1711</t>
        </is>
      </c>
      <c r="AA121" s="6" t="inlineStr">
        <is>
          <t>I798</t>
        </is>
      </c>
      <c r="AB121" s="6" t="inlineStr">
        <is>
          <t>M25561</t>
        </is>
      </c>
      <c r="AC121" s="6" t="n"/>
      <c r="AD121" s="5" t="n"/>
      <c r="AE121" s="6" t="inlineStr">
        <is>
          <t>HUNTER, DREW</t>
        </is>
      </c>
      <c r="AF121" s="6" t="inlineStr">
        <is>
          <t>Premier Endoscopy Center, LLC</t>
        </is>
      </c>
      <c r="AG121" s="6" t="inlineStr">
        <is>
          <t>07/13/2026</t>
        </is>
      </c>
      <c r="AH121" s="6" t="inlineStr">
        <is>
          <t>GAE</t>
        </is>
      </c>
      <c r="AI121" s="9" t="n"/>
      <c r="AJ121" s="5" t="n">
        <v>535</v>
      </c>
    </row>
    <row r="122">
      <c r="A122" s="2" t="n"/>
      <c r="B122" s="3" t="n"/>
      <c r="C122" s="4" t="n"/>
      <c r="D122" s="5" t="n">
        <v>565099868</v>
      </c>
      <c r="E122" s="6" t="inlineStr">
        <is>
          <t>HF548665870</t>
        </is>
      </c>
      <c r="F122" s="6" t="inlineStr">
        <is>
          <t>06/01/2026</t>
        </is>
      </c>
      <c r="G122" s="6" t="inlineStr">
        <is>
          <t>Devoted Health Plan</t>
        </is>
      </c>
      <c r="H122" s="6" t="inlineStr">
        <is>
          <t>Devoted Health Plan</t>
        </is>
      </c>
      <c r="I122" s="6" t="inlineStr">
        <is>
          <t>No Payer</t>
        </is>
      </c>
      <c r="J122" s="6" t="inlineStr">
        <is>
          <t>37242</t>
        </is>
      </c>
      <c r="K122" s="4" t="n"/>
      <c r="L122" s="5">
        <f>IF($M122="","",$M122-TODAY())</f>
        <v/>
      </c>
      <c r="M122" s="7" t="n">
        <v>46234</v>
      </c>
      <c r="N122" s="6" t="inlineStr">
        <is>
          <t>60 days</t>
        </is>
      </c>
      <c r="O122" s="6" t="inlineStr">
        <is>
          <t>DEVOTED</t>
        </is>
      </c>
      <c r="P122" s="6" t="n"/>
      <c r="Q122" s="6" t="n"/>
      <c r="R122" s="6" t="n"/>
      <c r="S122" s="5" t="n">
        <v>1</v>
      </c>
      <c r="T122" s="8" t="n">
        <v>49162.82</v>
      </c>
      <c r="U122" s="8" t="n">
        <v>0</v>
      </c>
      <c r="V122" s="8" t="n">
        <v>0</v>
      </c>
      <c r="W122" s="6" t="inlineStr">
        <is>
          <t>07/20/2026</t>
        </is>
      </c>
      <c r="X122" s="8" t="n">
        <v>49162.82</v>
      </c>
      <c r="Y122" s="5" t="n">
        <v>68</v>
      </c>
      <c r="Z122" s="6" t="inlineStr">
        <is>
          <t>M1711</t>
        </is>
      </c>
      <c r="AA122" s="6" t="inlineStr">
        <is>
          <t>I798</t>
        </is>
      </c>
      <c r="AB122" s="6" t="inlineStr">
        <is>
          <t>M25561</t>
        </is>
      </c>
      <c r="AC122" s="6" t="n"/>
      <c r="AD122" s="5" t="n"/>
      <c r="AE122" s="6" t="inlineStr">
        <is>
          <t>HUNTER, DREW</t>
        </is>
      </c>
      <c r="AF122" s="6" t="inlineStr">
        <is>
          <t>Premier Endoscopy Center, LLC</t>
        </is>
      </c>
      <c r="AG122" s="6" t="inlineStr">
        <is>
          <t>07/13/2026</t>
        </is>
      </c>
      <c r="AH122" s="6" t="inlineStr">
        <is>
          <t>GAE</t>
        </is>
      </c>
      <c r="AI122" s="9" t="n"/>
      <c r="AJ122" s="5" t="n">
        <v>536</v>
      </c>
    </row>
    <row r="123">
      <c r="A123" s="2" t="n"/>
      <c r="B123" s="3" t="n"/>
      <c r="C123" s="4" t="n"/>
      <c r="D123" s="5" t="n">
        <v>565099868</v>
      </c>
      <c r="E123" s="6" t="inlineStr">
        <is>
          <t>HF548665870</t>
        </is>
      </c>
      <c r="F123" s="6" t="inlineStr">
        <is>
          <t>06/01/2026</t>
        </is>
      </c>
      <c r="G123" s="6" t="inlineStr">
        <is>
          <t>Devoted Health Plan</t>
        </is>
      </c>
      <c r="H123" s="6" t="inlineStr">
        <is>
          <t>Devoted Health Plan</t>
        </is>
      </c>
      <c r="I123" s="6" t="inlineStr">
        <is>
          <t>No Payer</t>
        </is>
      </c>
      <c r="J123" s="6" t="inlineStr">
        <is>
          <t>36248</t>
        </is>
      </c>
      <c r="K123" s="4" t="n"/>
      <c r="L123" s="5">
        <f>IF($M123="","",$M123-TODAY())</f>
        <v/>
      </c>
      <c r="M123" s="7" t="n">
        <v>46234</v>
      </c>
      <c r="N123" s="6" t="inlineStr">
        <is>
          <t>60 days</t>
        </is>
      </c>
      <c r="O123" s="6" t="inlineStr">
        <is>
          <t>DEVOTED</t>
        </is>
      </c>
      <c r="P123" s="6" t="inlineStr">
        <is>
          <t>59</t>
        </is>
      </c>
      <c r="Q123" s="6" t="n"/>
      <c r="R123" s="6" t="n"/>
      <c r="S123" s="5" t="n">
        <v>3</v>
      </c>
      <c r="T123" s="8" t="n">
        <v>2422.77</v>
      </c>
      <c r="U123" s="8" t="n">
        <v>0</v>
      </c>
      <c r="V123" s="8" t="n">
        <v>0</v>
      </c>
      <c r="W123" s="6" t="inlineStr">
        <is>
          <t>07/20/2026</t>
        </is>
      </c>
      <c r="X123" s="8" t="n">
        <v>2422.77</v>
      </c>
      <c r="Y123" s="5" t="n">
        <v>68</v>
      </c>
      <c r="Z123" s="6" t="inlineStr">
        <is>
          <t>M1711</t>
        </is>
      </c>
      <c r="AA123" s="6" t="inlineStr">
        <is>
          <t>I798</t>
        </is>
      </c>
      <c r="AB123" s="6" t="inlineStr">
        <is>
          <t>M25561</t>
        </is>
      </c>
      <c r="AC123" s="6" t="n"/>
      <c r="AD123" s="5" t="n"/>
      <c r="AE123" s="6" t="inlineStr">
        <is>
          <t>HUNTER, DREW</t>
        </is>
      </c>
      <c r="AF123" s="6" t="inlineStr">
        <is>
          <t>Premier Endoscopy Center, LLC</t>
        </is>
      </c>
      <c r="AG123" s="6" t="inlineStr">
        <is>
          <t>07/13/2026</t>
        </is>
      </c>
      <c r="AH123" s="6" t="inlineStr">
        <is>
          <t>GAE</t>
        </is>
      </c>
      <c r="AI123" s="9" t="n"/>
      <c r="AJ123" s="5" t="n">
        <v>537</v>
      </c>
    </row>
    <row r="124">
      <c r="A124" s="2" t="n"/>
      <c r="B124" s="3" t="n"/>
      <c r="C124" s="4" t="n"/>
      <c r="D124" s="5" t="n">
        <v>565099868</v>
      </c>
      <c r="E124" s="6" t="inlineStr">
        <is>
          <t>HF548665870</t>
        </is>
      </c>
      <c r="F124" s="6" t="inlineStr">
        <is>
          <t>06/01/2026</t>
        </is>
      </c>
      <c r="G124" s="6" t="inlineStr">
        <is>
          <t>Devoted Health Plan</t>
        </is>
      </c>
      <c r="H124" s="6" t="inlineStr">
        <is>
          <t>Devoted Health Plan</t>
        </is>
      </c>
      <c r="I124" s="6" t="inlineStr">
        <is>
          <t>No Payer</t>
        </is>
      </c>
      <c r="J124" s="6" t="inlineStr">
        <is>
          <t>76937</t>
        </is>
      </c>
      <c r="K124" s="4" t="n"/>
      <c r="L124" s="5">
        <f>IF($M124="","",$M124-TODAY())</f>
        <v/>
      </c>
      <c r="M124" s="7" t="n">
        <v>46234</v>
      </c>
      <c r="N124" s="6" t="inlineStr">
        <is>
          <t>60 days</t>
        </is>
      </c>
      <c r="O124" s="6" t="inlineStr">
        <is>
          <t>DEVOTED</t>
        </is>
      </c>
      <c r="P124" s="6" t="inlineStr">
        <is>
          <t>26</t>
        </is>
      </c>
      <c r="Q124" s="6" t="n"/>
      <c r="R124" s="6" t="n"/>
      <c r="S124" s="5" t="n">
        <v>1</v>
      </c>
      <c r="T124" s="8" t="n">
        <v>271.18</v>
      </c>
      <c r="U124" s="8" t="n">
        <v>0</v>
      </c>
      <c r="V124" s="8" t="n">
        <v>0</v>
      </c>
      <c r="W124" s="6" t="inlineStr">
        <is>
          <t>07/20/2026</t>
        </is>
      </c>
      <c r="X124" s="8" t="n">
        <v>271.18</v>
      </c>
      <c r="Y124" s="5" t="n">
        <v>68</v>
      </c>
      <c r="Z124" s="6" t="inlineStr">
        <is>
          <t>M1711</t>
        </is>
      </c>
      <c r="AA124" s="6" t="inlineStr">
        <is>
          <t>I798</t>
        </is>
      </c>
      <c r="AB124" s="6" t="inlineStr">
        <is>
          <t>M25561</t>
        </is>
      </c>
      <c r="AC124" s="6" t="n"/>
      <c r="AD124" s="5" t="n"/>
      <c r="AE124" s="6" t="inlineStr">
        <is>
          <t>HUNTER, DREW</t>
        </is>
      </c>
      <c r="AF124" s="6" t="inlineStr">
        <is>
          <t>Premier Endoscopy Center, LLC</t>
        </is>
      </c>
      <c r="AG124" s="6" t="inlineStr">
        <is>
          <t>07/13/2026</t>
        </is>
      </c>
      <c r="AH124" s="6" t="inlineStr">
        <is>
          <t>GAE</t>
        </is>
      </c>
      <c r="AI124" s="9" t="n"/>
      <c r="AJ124" s="5" t="n">
        <v>538</v>
      </c>
    </row>
    <row r="125">
      <c r="A125" s="2" t="n"/>
      <c r="B125" s="3" t="n"/>
      <c r="C125" s="4" t="n"/>
      <c r="D125" s="5" t="n">
        <v>565099868</v>
      </c>
      <c r="E125" s="6" t="inlineStr">
        <is>
          <t>HF548665870</t>
        </is>
      </c>
      <c r="F125" s="6" t="inlineStr">
        <is>
          <t>06/01/2026</t>
        </is>
      </c>
      <c r="G125" s="6" t="inlineStr">
        <is>
          <t>Devoted Health Plan</t>
        </is>
      </c>
      <c r="H125" s="6" t="inlineStr">
        <is>
          <t>Devoted Health Plan</t>
        </is>
      </c>
      <c r="I125" s="6" t="inlineStr">
        <is>
          <t>No Payer</t>
        </is>
      </c>
      <c r="J125" s="6" t="inlineStr">
        <is>
          <t>75774</t>
        </is>
      </c>
      <c r="K125" s="4" t="n"/>
      <c r="L125" s="5">
        <f>IF($M125="","",$M125-TODAY())</f>
        <v/>
      </c>
      <c r="M125" s="7" t="n">
        <v>46234</v>
      </c>
      <c r="N125" s="6" t="inlineStr">
        <is>
          <t>60 days</t>
        </is>
      </c>
      <c r="O125" s="6" t="inlineStr">
        <is>
          <t>DEVOTED</t>
        </is>
      </c>
      <c r="P125" s="6" t="inlineStr">
        <is>
          <t>26</t>
        </is>
      </c>
      <c r="Q125" s="6" t="inlineStr">
        <is>
          <t>XU</t>
        </is>
      </c>
      <c r="R125" s="6" t="n"/>
      <c r="S125" s="5" t="n">
        <v>5</v>
      </c>
      <c r="T125" s="8" t="n">
        <v>3356.5</v>
      </c>
      <c r="U125" s="8" t="n">
        <v>0</v>
      </c>
      <c r="V125" s="8" t="n">
        <v>0</v>
      </c>
      <c r="W125" s="6" t="inlineStr">
        <is>
          <t>07/20/2026</t>
        </is>
      </c>
      <c r="X125" s="8" t="n">
        <v>3356.5</v>
      </c>
      <c r="Y125" s="5" t="n">
        <v>68</v>
      </c>
      <c r="Z125" s="6" t="inlineStr">
        <is>
          <t>M1711</t>
        </is>
      </c>
      <c r="AA125" s="6" t="inlineStr">
        <is>
          <t>I798</t>
        </is>
      </c>
      <c r="AB125" s="6" t="inlineStr">
        <is>
          <t>M25561</t>
        </is>
      </c>
      <c r="AC125" s="6" t="n"/>
      <c r="AD125" s="5" t="n"/>
      <c r="AE125" s="6" t="inlineStr">
        <is>
          <t>HUNTER, DREW</t>
        </is>
      </c>
      <c r="AF125" s="6" t="inlineStr">
        <is>
          <t>Premier Endoscopy Center, LLC</t>
        </is>
      </c>
      <c r="AG125" s="6" t="inlineStr">
        <is>
          <t>07/13/2026</t>
        </is>
      </c>
      <c r="AH125" s="6" t="inlineStr">
        <is>
          <t>GAE</t>
        </is>
      </c>
      <c r="AI125" s="9" t="n"/>
      <c r="AJ125" s="5" t="n">
        <v>539</v>
      </c>
    </row>
  </sheetData>
  <autoFilter ref="A1:AJ125"/>
  <conditionalFormatting sqref="L2:O12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PAID</t>
        </is>
      </c>
      <c r="B2" s="3" t="inlineStr">
        <is>
          <t>Pending posting</t>
        </is>
      </c>
      <c r="C2" s="4" t="n"/>
      <c r="D2" s="5" t="n">
        <v>565931559</v>
      </c>
      <c r="E2" s="6" t="inlineStr">
        <is>
          <t>HF549060053</t>
        </is>
      </c>
      <c r="F2" s="6" t="inlineStr">
        <is>
          <t>06/17/2026</t>
        </is>
      </c>
      <c r="G2" s="6" t="inlineStr">
        <is>
          <t>Devoted Health Plan</t>
        </is>
      </c>
      <c r="H2" s="6" t="inlineStr">
        <is>
          <t>Devoted Health Plan</t>
        </is>
      </c>
      <c r="I2" s="6" t="inlineStr">
        <is>
          <t>No Payer</t>
        </is>
      </c>
      <c r="J2" s="6" t="inlineStr">
        <is>
          <t>63047</t>
        </is>
      </c>
      <c r="K2" s="4" t="n"/>
      <c r="L2" s="5">
        <f>IF($M2="","",$M2-TODAY())</f>
        <v/>
      </c>
      <c r="M2" s="7" t="n">
        <v>46250</v>
      </c>
      <c r="N2" s="6" t="inlineStr">
        <is>
          <t>60 days</t>
        </is>
      </c>
      <c r="O2" s="6" t="inlineStr">
        <is>
          <t>DEVOTED</t>
        </is>
      </c>
      <c r="P2" s="6" t="n"/>
      <c r="Q2" s="6" t="n"/>
      <c r="R2" s="6" t="n"/>
      <c r="S2" s="5" t="n">
        <v>1</v>
      </c>
      <c r="T2" s="8" t="n">
        <v>7623.07</v>
      </c>
      <c r="U2" s="8" t="n">
        <v>0</v>
      </c>
      <c r="V2" s="8" t="n">
        <v>0</v>
      </c>
      <c r="W2" s="6" t="n"/>
      <c r="X2" s="8" t="n">
        <v>7623.07</v>
      </c>
      <c r="Y2" s="5" t="n">
        <v>52</v>
      </c>
      <c r="Z2" s="6" t="inlineStr">
        <is>
          <t>M48062</t>
        </is>
      </c>
      <c r="AA2" s="6" t="n"/>
      <c r="AB2" s="6" t="n"/>
      <c r="AC2" s="6" t="n"/>
      <c r="AD2" s="5" t="n"/>
      <c r="AE2" s="6" t="inlineStr">
        <is>
          <t>MAYURAN, VIKRAM</t>
        </is>
      </c>
      <c r="AF2" s="6" t="inlineStr">
        <is>
          <t>ASAP Surgery Centers North Valley LLC</t>
        </is>
      </c>
      <c r="AG2" s="6" t="inlineStr">
        <is>
          <t>07/07/2026</t>
        </is>
      </c>
      <c r="AH2" s="6" t="inlineStr">
        <is>
          <t>ORTHO</t>
        </is>
      </c>
      <c r="AI2" s="9" t="n"/>
      <c r="AJ2" s="5" t="n">
        <v>865</v>
      </c>
    </row>
    <row r="3">
      <c r="A3" s="2" t="inlineStr">
        <is>
          <t>PAID</t>
        </is>
      </c>
      <c r="B3" s="3" t="inlineStr">
        <is>
          <t>Pending posting</t>
        </is>
      </c>
      <c r="C3" s="4" t="n"/>
      <c r="D3" s="5" t="n">
        <v>565931559</v>
      </c>
      <c r="E3" s="6" t="inlineStr">
        <is>
          <t>HF549060053</t>
        </is>
      </c>
      <c r="F3" s="6" t="inlineStr">
        <is>
          <t>06/17/2026</t>
        </is>
      </c>
      <c r="G3" s="6" t="inlineStr">
        <is>
          <t>Devoted Health Plan</t>
        </is>
      </c>
      <c r="H3" s="6" t="inlineStr">
        <is>
          <t>Devoted Health Plan</t>
        </is>
      </c>
      <c r="I3" s="6" t="inlineStr">
        <is>
          <t>No Payer</t>
        </is>
      </c>
      <c r="J3" s="6" t="inlineStr">
        <is>
          <t>63048</t>
        </is>
      </c>
      <c r="K3" s="4" t="n"/>
      <c r="L3" s="5">
        <f>IF($M3="","",$M3-TODAY())</f>
        <v/>
      </c>
      <c r="M3" s="7" t="n">
        <v>46250</v>
      </c>
      <c r="N3" s="6" t="inlineStr">
        <is>
          <t>60 days</t>
        </is>
      </c>
      <c r="O3" s="6" t="inlineStr">
        <is>
          <t>DEVOTED</t>
        </is>
      </c>
      <c r="P3" s="6" t="n"/>
      <c r="Q3" s="6" t="n"/>
      <c r="R3" s="6" t="n"/>
      <c r="S3" s="5" t="n">
        <v>1</v>
      </c>
      <c r="T3" s="8" t="n">
        <v>1433.32</v>
      </c>
      <c r="U3" s="8" t="n">
        <v>0</v>
      </c>
      <c r="V3" s="8" t="n">
        <v>0</v>
      </c>
      <c r="W3" s="6" t="n"/>
      <c r="X3" s="8" t="n">
        <v>1433.32</v>
      </c>
      <c r="Y3" s="5" t="n">
        <v>52</v>
      </c>
      <c r="Z3" s="6" t="inlineStr">
        <is>
          <t>M48062</t>
        </is>
      </c>
      <c r="AA3" s="6" t="n"/>
      <c r="AB3" s="6" t="n"/>
      <c r="AC3" s="6" t="n"/>
      <c r="AD3" s="5" t="n"/>
      <c r="AE3" s="6" t="inlineStr">
        <is>
          <t>MAYURAN, VIKRAM</t>
        </is>
      </c>
      <c r="AF3" s="6" t="inlineStr">
        <is>
          <t>ASAP Surgery Centers North Valley LLC</t>
        </is>
      </c>
      <c r="AG3" s="6" t="inlineStr">
        <is>
          <t>07/07/2026</t>
        </is>
      </c>
      <c r="AH3" s="6" t="inlineStr">
        <is>
          <t>ORTHO</t>
        </is>
      </c>
      <c r="AI3" s="9" t="n"/>
      <c r="AJ3" s="5" t="n">
        <v>866</v>
      </c>
    </row>
    <row r="4">
      <c r="A4" s="2" t="n"/>
      <c r="B4" s="3" t="n"/>
      <c r="C4" s="4" t="n"/>
      <c r="D4" s="5" t="n">
        <v>562557056</v>
      </c>
      <c r="E4" s="6" t="inlineStr">
        <is>
          <t>HF548971165</t>
        </is>
      </c>
      <c r="F4" s="6" t="inlineStr">
        <is>
          <t>06/01/2026</t>
        </is>
      </c>
      <c r="G4" s="6" t="inlineStr">
        <is>
          <t>UnitedHealthcare Community Plan / Arizona Long Term Care</t>
        </is>
      </c>
      <c r="H4" s="6" t="inlineStr">
        <is>
          <t>UnitedHealthcare Community Plan / Arizona Long Term Care</t>
        </is>
      </c>
      <c r="I4" s="6" t="inlineStr">
        <is>
          <t>Mercy Care Plan (AHCCCS) - Complete Care &amp; Long Term Care (LTC)</t>
        </is>
      </c>
      <c r="J4" s="6" t="inlineStr">
        <is>
          <t>63047</t>
        </is>
      </c>
      <c r="K4" s="4" t="n"/>
      <c r="L4" s="5">
        <f>IF($M4="","",$M4-TODAY())</f>
        <v/>
      </c>
      <c r="M4" s="7" t="n">
        <v>46264</v>
      </c>
      <c r="N4" s="6" t="inlineStr">
        <is>
          <t>90 days</t>
        </is>
      </c>
      <c r="O4" s="6" t="inlineStr">
        <is>
          <t>UHC COMMUNITY</t>
        </is>
      </c>
      <c r="P4" s="6" t="n"/>
      <c r="Q4" s="6" t="n"/>
      <c r="R4" s="6" t="n"/>
      <c r="S4" s="5" t="n">
        <v>1</v>
      </c>
      <c r="T4" s="8" t="n">
        <v>7623.07</v>
      </c>
      <c r="U4" s="8" t="n">
        <v>0</v>
      </c>
      <c r="V4" s="8" t="n">
        <v>0</v>
      </c>
      <c r="W4" s="6" t="n"/>
      <c r="X4" s="8" t="n">
        <v>7623.07</v>
      </c>
      <c r="Y4" s="5" t="n">
        <v>68</v>
      </c>
      <c r="Z4" s="6" t="inlineStr">
        <is>
          <t>M4316</t>
        </is>
      </c>
      <c r="AA4" s="6" t="inlineStr">
        <is>
          <t>M48062</t>
        </is>
      </c>
      <c r="AB4" s="6" t="inlineStr">
        <is>
          <t>M51362</t>
        </is>
      </c>
      <c r="AC4" s="6" t="inlineStr">
        <is>
          <t>M4726</t>
        </is>
      </c>
      <c r="AD4" s="5" t="n"/>
      <c r="AE4" s="6" t="inlineStr">
        <is>
          <t>MCCUNNIFF, PETER</t>
        </is>
      </c>
      <c r="AF4" s="6" t="inlineStr">
        <is>
          <t>ASAP Surgery Centers North Valley LLC</t>
        </is>
      </c>
      <c r="AG4" s="6" t="inlineStr">
        <is>
          <t>06/17/2026</t>
        </is>
      </c>
      <c r="AH4" s="6" t="inlineStr">
        <is>
          <t>ORTHO</t>
        </is>
      </c>
      <c r="AI4" s="9" t="n"/>
      <c r="AJ4" s="5" t="n">
        <v>835</v>
      </c>
    </row>
    <row r="5">
      <c r="A5" s="2" t="n"/>
      <c r="B5" s="3" t="n"/>
      <c r="C5" s="4" t="n"/>
      <c r="D5" s="5" t="n">
        <v>562557056</v>
      </c>
      <c r="E5" s="6" t="inlineStr">
        <is>
          <t>HF548971165</t>
        </is>
      </c>
      <c r="F5" s="6" t="inlineStr">
        <is>
          <t>06/01/2026</t>
        </is>
      </c>
      <c r="G5" s="6" t="inlineStr">
        <is>
          <t>UnitedHealthcare Community Plan / Arizona Long Term Care</t>
        </is>
      </c>
      <c r="H5" s="6" t="inlineStr">
        <is>
          <t>UnitedHealthcare Community Plan / Arizona Long Term Care</t>
        </is>
      </c>
      <c r="I5" s="6" t="inlineStr">
        <is>
          <t>Mercy Care Plan (AHCCCS) - Complete Care &amp; Long Term Care (LTC)</t>
        </is>
      </c>
      <c r="J5" s="6" t="inlineStr">
        <is>
          <t>63048</t>
        </is>
      </c>
      <c r="K5" s="4" t="n"/>
      <c r="L5" s="5">
        <f>IF($M5="","",$M5-TODAY())</f>
        <v/>
      </c>
      <c r="M5" s="7" t="n">
        <v>46264</v>
      </c>
      <c r="N5" s="6" t="inlineStr">
        <is>
          <t>90 days</t>
        </is>
      </c>
      <c r="O5" s="6" t="inlineStr">
        <is>
          <t>UHC COMMUNITY</t>
        </is>
      </c>
      <c r="P5" s="6" t="n"/>
      <c r="Q5" s="6" t="n"/>
      <c r="R5" s="6" t="n"/>
      <c r="S5" s="5" t="n">
        <v>1</v>
      </c>
      <c r="T5" s="8" t="n">
        <v>1433.32</v>
      </c>
      <c r="U5" s="8" t="n">
        <v>0</v>
      </c>
      <c r="V5" s="8" t="n">
        <v>0</v>
      </c>
      <c r="W5" s="6" t="n"/>
      <c r="X5" s="8" t="n">
        <v>1433.32</v>
      </c>
      <c r="Y5" s="5" t="n">
        <v>68</v>
      </c>
      <c r="Z5" s="6" t="inlineStr">
        <is>
          <t>M4316</t>
        </is>
      </c>
      <c r="AA5" s="6" t="inlineStr">
        <is>
          <t>M48062</t>
        </is>
      </c>
      <c r="AB5" s="6" t="inlineStr">
        <is>
          <t>M51362</t>
        </is>
      </c>
      <c r="AC5" s="6" t="inlineStr">
        <is>
          <t>M4726</t>
        </is>
      </c>
      <c r="AD5" s="5" t="n"/>
      <c r="AE5" s="6" t="inlineStr">
        <is>
          <t>MCCUNNIFF, PETER</t>
        </is>
      </c>
      <c r="AF5" s="6" t="inlineStr">
        <is>
          <t>ASAP Surgery Centers North Valley LLC</t>
        </is>
      </c>
      <c r="AG5" s="6" t="inlineStr">
        <is>
          <t>06/17/2026</t>
        </is>
      </c>
      <c r="AH5" s="6" t="inlineStr">
        <is>
          <t>ORTHO</t>
        </is>
      </c>
      <c r="AI5" s="9" t="n"/>
      <c r="AJ5" s="5" t="n">
        <v>837</v>
      </c>
    </row>
    <row r="6">
      <c r="A6" s="2" t="n"/>
      <c r="B6" s="3" t="n"/>
      <c r="C6" s="4" t="n"/>
      <c r="D6" s="5" t="n">
        <v>562559783</v>
      </c>
      <c r="E6" s="6" t="inlineStr">
        <is>
          <t>HF554317461</t>
        </is>
      </c>
      <c r="F6" s="6" t="inlineStr">
        <is>
          <t>06/04/2026</t>
        </is>
      </c>
      <c r="G6" s="6" t="inlineStr">
        <is>
          <t>UnitedHealthcare Community Plan / Arizona Long Term Care</t>
        </is>
      </c>
      <c r="H6" s="6" t="inlineStr">
        <is>
          <t>UnitedHealthcare Community Plan / Arizona Long Term Care</t>
        </is>
      </c>
      <c r="I6" s="6" t="inlineStr">
        <is>
          <t>No Payer</t>
        </is>
      </c>
      <c r="J6" s="6" t="inlineStr">
        <is>
          <t>63048</t>
        </is>
      </c>
      <c r="K6" s="4" t="n"/>
      <c r="L6" s="5">
        <f>IF($M6="","",$M6-TODAY())</f>
        <v/>
      </c>
      <c r="M6" s="7" t="n">
        <v>46267</v>
      </c>
      <c r="N6" s="6" t="inlineStr">
        <is>
          <t>90 days</t>
        </is>
      </c>
      <c r="O6" s="6" t="inlineStr">
        <is>
          <t>UHC COMMUNITY</t>
        </is>
      </c>
      <c r="P6" s="6" t="n"/>
      <c r="Q6" s="6" t="n"/>
      <c r="R6" s="6" t="n"/>
      <c r="S6" s="5" t="n">
        <v>1</v>
      </c>
      <c r="T6" s="8" t="n">
        <v>1433.32</v>
      </c>
      <c r="U6" s="8" t="n">
        <v>0</v>
      </c>
      <c r="V6" s="8" t="n">
        <v>0</v>
      </c>
      <c r="W6" s="6" t="inlineStr">
        <is>
          <t>06/24/2026</t>
        </is>
      </c>
      <c r="X6" s="8" t="n">
        <v>1433.32</v>
      </c>
      <c r="Y6" s="5" t="n">
        <v>65</v>
      </c>
      <c r="Z6" s="6" t="inlineStr">
        <is>
          <t>M48062</t>
        </is>
      </c>
      <c r="AA6" s="6" t="inlineStr">
        <is>
          <t>M4726</t>
        </is>
      </c>
      <c r="AB6" s="6" t="inlineStr">
        <is>
          <t>M5416</t>
        </is>
      </c>
      <c r="AC6" s="6" t="inlineStr">
        <is>
          <t>Q7649</t>
        </is>
      </c>
      <c r="AD6" s="5" t="n"/>
      <c r="AE6" s="6" t="inlineStr">
        <is>
          <t>MCCUNNIFF, PETER</t>
        </is>
      </c>
      <c r="AF6" s="6" t="inlineStr">
        <is>
          <t>ASAP Surgery Centers North Valley LLC</t>
        </is>
      </c>
      <c r="AG6" s="6" t="inlineStr">
        <is>
          <t>06/17/2026</t>
        </is>
      </c>
      <c r="AH6" s="6" t="inlineStr">
        <is>
          <t>ORTHO</t>
        </is>
      </c>
      <c r="AI6" s="9" t="n"/>
      <c r="AJ6" s="5" t="n">
        <v>211</v>
      </c>
    </row>
    <row r="7">
      <c r="A7" s="2" t="n"/>
      <c r="B7" s="3" t="n"/>
      <c r="C7" s="4" t="n"/>
      <c r="D7" s="5" t="n">
        <v>562559783</v>
      </c>
      <c r="E7" s="6" t="inlineStr">
        <is>
          <t>HF554317461</t>
        </is>
      </c>
      <c r="F7" s="6" t="inlineStr">
        <is>
          <t>06/04/2026</t>
        </is>
      </c>
      <c r="G7" s="6" t="inlineStr">
        <is>
          <t>UnitedHealthcare Community Plan / Arizona Long Term Care</t>
        </is>
      </c>
      <c r="H7" s="6" t="inlineStr">
        <is>
          <t>UnitedHealthcare Community Plan / Arizona Long Term Care</t>
        </is>
      </c>
      <c r="I7" s="6" t="inlineStr">
        <is>
          <t>No Payer</t>
        </is>
      </c>
      <c r="J7" s="6" t="inlineStr">
        <is>
          <t>63047</t>
        </is>
      </c>
      <c r="K7" s="4" t="n"/>
      <c r="L7" s="5">
        <f>IF($M7="","",$M7-TODAY())</f>
        <v/>
      </c>
      <c r="M7" s="7" t="n">
        <v>46267</v>
      </c>
      <c r="N7" s="6" t="inlineStr">
        <is>
          <t>90 days</t>
        </is>
      </c>
      <c r="O7" s="6" t="inlineStr">
        <is>
          <t>UHC COMMUNITY</t>
        </is>
      </c>
      <c r="P7" s="6" t="n"/>
      <c r="Q7" s="6" t="n"/>
      <c r="R7" s="6" t="n"/>
      <c r="S7" s="5" t="n">
        <v>1</v>
      </c>
      <c r="T7" s="8" t="n">
        <v>7623.07</v>
      </c>
      <c r="U7" s="8" t="n">
        <v>0</v>
      </c>
      <c r="V7" s="8" t="n">
        <v>0</v>
      </c>
      <c r="W7" s="6" t="inlineStr">
        <is>
          <t>06/24/2026</t>
        </is>
      </c>
      <c r="X7" s="8" t="n">
        <v>7623.07</v>
      </c>
      <c r="Y7" s="5" t="n">
        <v>65</v>
      </c>
      <c r="Z7" s="6" t="inlineStr">
        <is>
          <t>M48062</t>
        </is>
      </c>
      <c r="AA7" s="6" t="inlineStr">
        <is>
          <t>M4726</t>
        </is>
      </c>
      <c r="AB7" s="6" t="inlineStr">
        <is>
          <t>M5416</t>
        </is>
      </c>
      <c r="AC7" s="6" t="inlineStr">
        <is>
          <t>Q7649</t>
        </is>
      </c>
      <c r="AD7" s="5" t="n"/>
      <c r="AE7" s="6" t="inlineStr">
        <is>
          <t>MCCUNNIFF, PETER</t>
        </is>
      </c>
      <c r="AF7" s="6" t="inlineStr">
        <is>
          <t>ASAP Surgery Centers North Valley LLC</t>
        </is>
      </c>
      <c r="AG7" s="6" t="inlineStr">
        <is>
          <t>06/17/2026</t>
        </is>
      </c>
      <c r="AH7" s="6" t="inlineStr">
        <is>
          <t>ORTHO</t>
        </is>
      </c>
      <c r="AI7" s="9" t="n"/>
      <c r="AJ7" s="5" t="n">
        <v>212</v>
      </c>
    </row>
    <row r="8">
      <c r="A8" s="2" t="n"/>
      <c r="B8" s="3" t="n"/>
      <c r="C8" s="4" t="n"/>
      <c r="D8" s="5" t="n">
        <v>563834859</v>
      </c>
      <c r="E8" s="6" t="inlineStr">
        <is>
          <t>HF557358588</t>
        </is>
      </c>
      <c r="F8" s="6" t="inlineStr">
        <is>
          <t>06/04/2026</t>
        </is>
      </c>
      <c r="G8" s="6" t="inlineStr">
        <is>
          <t>UHC Group Medicare Advantage</t>
        </is>
      </c>
      <c r="H8" s="6" t="inlineStr">
        <is>
          <t>UHC Group Medicare Advantage</t>
        </is>
      </c>
      <c r="I8" s="6" t="inlineStr">
        <is>
          <t>No Payer</t>
        </is>
      </c>
      <c r="J8" s="6" t="inlineStr">
        <is>
          <t>63655</t>
        </is>
      </c>
      <c r="K8" s="4" t="n"/>
      <c r="L8" s="5">
        <f>IF($M8="","",$M8-TODAY())</f>
        <v/>
      </c>
      <c r="M8" s="7" t="n">
        <v>46267</v>
      </c>
      <c r="N8" s="6" t="inlineStr">
        <is>
          <t>90 days</t>
        </is>
      </c>
      <c r="O8" s="6" t="inlineStr">
        <is>
          <t>UHC MA</t>
        </is>
      </c>
      <c r="P8" s="6" t="n"/>
      <c r="Q8" s="6" t="n"/>
      <c r="R8" s="6" t="n"/>
      <c r="S8" s="5" t="n">
        <v>1</v>
      </c>
      <c r="T8" s="8" t="n">
        <v>5784.24</v>
      </c>
      <c r="U8" s="8" t="n">
        <v>0</v>
      </c>
      <c r="V8" s="8" t="n">
        <v>0</v>
      </c>
      <c r="W8" s="6" t="n"/>
      <c r="X8" s="8" t="n">
        <v>5784.24</v>
      </c>
      <c r="Y8" s="5" t="n">
        <v>65</v>
      </c>
      <c r="Z8" s="6" t="inlineStr">
        <is>
          <t>M5450</t>
        </is>
      </c>
      <c r="AA8" s="6" t="inlineStr">
        <is>
          <t>G894</t>
        </is>
      </c>
      <c r="AB8" s="6" t="inlineStr">
        <is>
          <t>M4316</t>
        </is>
      </c>
      <c r="AC8" s="6" t="n"/>
      <c r="AD8" s="5" t="n"/>
      <c r="AE8" s="6" t="inlineStr">
        <is>
          <t>MAYURAN, VIKRAM</t>
        </is>
      </c>
      <c r="AF8" s="6" t="inlineStr">
        <is>
          <t>ASAP Surgery Centers North Valley LLC</t>
        </is>
      </c>
      <c r="AG8" s="6" t="inlineStr">
        <is>
          <t>06/30/2026</t>
        </is>
      </c>
      <c r="AH8" s="6" t="inlineStr">
        <is>
          <t>ORTHO</t>
        </is>
      </c>
      <c r="AI8" s="9" t="n"/>
      <c r="AJ8" s="5" t="n">
        <v>219</v>
      </c>
    </row>
    <row r="9">
      <c r="A9" s="2" t="n"/>
      <c r="B9" s="3" t="n"/>
      <c r="C9" s="4" t="n"/>
      <c r="D9" s="5" t="n">
        <v>563834859</v>
      </c>
      <c r="E9" s="6" t="inlineStr">
        <is>
          <t>HF557358588</t>
        </is>
      </c>
      <c r="F9" s="6" t="inlineStr">
        <is>
          <t>06/04/2026</t>
        </is>
      </c>
      <c r="G9" s="6" t="inlineStr">
        <is>
          <t>UHC Group Medicare Advantage</t>
        </is>
      </c>
      <c r="H9" s="6" t="inlineStr">
        <is>
          <t>UHC Group Medicare Advantage</t>
        </is>
      </c>
      <c r="I9" s="6" t="inlineStr">
        <is>
          <t>No Payer</t>
        </is>
      </c>
      <c r="J9" s="6" t="inlineStr">
        <is>
          <t>63685</t>
        </is>
      </c>
      <c r="K9" s="4" t="n"/>
      <c r="L9" s="5">
        <f>IF($M9="","",$M9-TODAY())</f>
        <v/>
      </c>
      <c r="M9" s="7" t="n">
        <v>46267</v>
      </c>
      <c r="N9" s="6" t="inlineStr">
        <is>
          <t>90 days</t>
        </is>
      </c>
      <c r="O9" s="6" t="inlineStr">
        <is>
          <t>UHC MA</t>
        </is>
      </c>
      <c r="P9" s="6" t="n"/>
      <c r="Q9" s="6" t="n"/>
      <c r="R9" s="6" t="n"/>
      <c r="S9" s="5" t="n">
        <v>1</v>
      </c>
      <c r="T9" s="8" t="n">
        <v>2493.33</v>
      </c>
      <c r="U9" s="8" t="n">
        <v>0</v>
      </c>
      <c r="V9" s="8" t="n">
        <v>0</v>
      </c>
      <c r="W9" s="6" t="n"/>
      <c r="X9" s="8" t="n">
        <v>2493.33</v>
      </c>
      <c r="Y9" s="5" t="n">
        <v>65</v>
      </c>
      <c r="Z9" s="6" t="inlineStr">
        <is>
          <t>M5450</t>
        </is>
      </c>
      <c r="AA9" s="6" t="inlineStr">
        <is>
          <t>G894</t>
        </is>
      </c>
      <c r="AB9" s="6" t="inlineStr">
        <is>
          <t>M4316</t>
        </is>
      </c>
      <c r="AC9" s="6" t="n"/>
      <c r="AD9" s="5" t="n"/>
      <c r="AE9" s="6" t="inlineStr">
        <is>
          <t>MAYURAN, VIKRAM</t>
        </is>
      </c>
      <c r="AF9" s="6" t="inlineStr">
        <is>
          <t>ASAP Surgery Centers North Valley LLC</t>
        </is>
      </c>
      <c r="AG9" s="6" t="inlineStr">
        <is>
          <t>06/30/2026</t>
        </is>
      </c>
      <c r="AH9" s="6" t="inlineStr">
        <is>
          <t>ORTHO</t>
        </is>
      </c>
      <c r="AI9" s="9" t="n"/>
      <c r="AJ9" s="5" t="n">
        <v>220</v>
      </c>
    </row>
    <row r="10">
      <c r="A10" s="2" t="n"/>
      <c r="B10" s="3" t="n"/>
      <c r="C10" s="4" t="n"/>
      <c r="D10" s="5" t="n">
        <v>562567344</v>
      </c>
      <c r="E10" s="6" t="inlineStr">
        <is>
          <t>HF329403331</t>
        </is>
      </c>
      <c r="F10" s="6" t="inlineStr">
        <is>
          <t>06/08/2026</t>
        </is>
      </c>
      <c r="G10" s="6" t="inlineStr">
        <is>
          <t>Optum Care Medical Network of Arizona, Utah, &amp; Washington (LifePrint)</t>
        </is>
      </c>
      <c r="H10" s="6" t="inlineStr">
        <is>
          <t>Optum Care Medical Network of Arizona, Utah, &amp; Washington (LifePrint)</t>
        </is>
      </c>
      <c r="I10" s="6" t="inlineStr">
        <is>
          <t>No Payer</t>
        </is>
      </c>
      <c r="J10" s="6" t="inlineStr">
        <is>
          <t>22845</t>
        </is>
      </c>
      <c r="K10" s="4" t="n"/>
      <c r="L10" s="5">
        <f>IF($M10="","",$M10-TODAY())</f>
        <v/>
      </c>
      <c r="M10" s="7" t="n">
        <v>46271</v>
      </c>
      <c r="N10" s="6" t="inlineStr">
        <is>
          <t>90 days</t>
        </is>
      </c>
      <c r="O10" s="6" t="inlineStr">
        <is>
          <t>OPTUM</t>
        </is>
      </c>
      <c r="P10" s="6" t="inlineStr">
        <is>
          <t>59</t>
        </is>
      </c>
      <c r="Q10" s="6" t="n"/>
      <c r="R10" s="6" t="n"/>
      <c r="S10" s="5" t="n">
        <v>1</v>
      </c>
      <c r="T10" s="8" t="n">
        <v>4951.24</v>
      </c>
      <c r="U10" s="8" t="n">
        <v>0</v>
      </c>
      <c r="V10" s="8" t="n">
        <v>0</v>
      </c>
      <c r="W10" s="6" t="n"/>
      <c r="X10" s="8" t="n">
        <v>4951.24</v>
      </c>
      <c r="Y10" s="5" t="n">
        <v>61</v>
      </c>
      <c r="Z10" s="6" t="inlineStr">
        <is>
          <t>M50021</t>
        </is>
      </c>
      <c r="AA10" s="6" t="inlineStr">
        <is>
          <t>M50022</t>
        </is>
      </c>
      <c r="AB10" s="6" t="inlineStr">
        <is>
          <t>M5412</t>
        </is>
      </c>
      <c r="AC10" s="6" t="inlineStr">
        <is>
          <t>M542</t>
        </is>
      </c>
      <c r="AD10" s="5" t="n"/>
      <c r="AE10" s="6" t="inlineStr">
        <is>
          <t>MCCUNNIFF, PETER</t>
        </is>
      </c>
      <c r="AF10" s="6" t="inlineStr">
        <is>
          <t>ASAP Surgery Centers North Valley LLC</t>
        </is>
      </c>
      <c r="AG10" s="6" t="inlineStr">
        <is>
          <t>06/17/2026</t>
        </is>
      </c>
      <c r="AH10" s="6" t="inlineStr">
        <is>
          <t>ORTHO</t>
        </is>
      </c>
      <c r="AI10" s="9" t="n"/>
      <c r="AJ10" s="5" t="n">
        <v>399</v>
      </c>
    </row>
    <row r="11">
      <c r="A11" s="2" t="n"/>
      <c r="B11" s="3" t="n"/>
      <c r="C11" s="4" t="n"/>
      <c r="D11" s="5" t="n">
        <v>562567344</v>
      </c>
      <c r="E11" s="6" t="inlineStr">
        <is>
          <t>HF329403331</t>
        </is>
      </c>
      <c r="F11" s="6" t="inlineStr">
        <is>
          <t>06/08/2026</t>
        </is>
      </c>
      <c r="G11" s="6" t="inlineStr">
        <is>
          <t>Optum Care Medical Network of Arizona, Utah, &amp; Washington (LifePrint)</t>
        </is>
      </c>
      <c r="H11" s="6" t="inlineStr">
        <is>
          <t>Optum Care Medical Network of Arizona, Utah, &amp; Washington (LifePrint)</t>
        </is>
      </c>
      <c r="I11" s="6" t="inlineStr">
        <is>
          <t>No Payer</t>
        </is>
      </c>
      <c r="J11" s="6" t="inlineStr">
        <is>
          <t>22853</t>
        </is>
      </c>
      <c r="K11" s="4" t="n"/>
      <c r="L11" s="5">
        <f>IF($M11="","",$M11-TODAY())</f>
        <v/>
      </c>
      <c r="M11" s="7" t="n">
        <v>46271</v>
      </c>
      <c r="N11" s="6" t="inlineStr">
        <is>
          <t>90 days</t>
        </is>
      </c>
      <c r="O11" s="6" t="inlineStr">
        <is>
          <t>OPTUM</t>
        </is>
      </c>
      <c r="P11" s="6" t="inlineStr">
        <is>
          <t>59</t>
        </is>
      </c>
      <c r="Q11" s="6" t="n"/>
      <c r="R11" s="6" t="n"/>
      <c r="S11" s="5" t="n">
        <v>1</v>
      </c>
      <c r="T11" s="8" t="n">
        <v>1758.12</v>
      </c>
      <c r="U11" s="8" t="n">
        <v>0</v>
      </c>
      <c r="V11" s="8" t="n">
        <v>0</v>
      </c>
      <c r="W11" s="6" t="n"/>
      <c r="X11" s="8" t="n">
        <v>1758.12</v>
      </c>
      <c r="Y11" s="5" t="n">
        <v>61</v>
      </c>
      <c r="Z11" s="6" t="inlineStr">
        <is>
          <t>M50022</t>
        </is>
      </c>
      <c r="AA11" s="6" t="inlineStr">
        <is>
          <t>M5412</t>
        </is>
      </c>
      <c r="AB11" s="6" t="inlineStr">
        <is>
          <t>M542</t>
        </is>
      </c>
      <c r="AC11" s="6" t="n"/>
      <c r="AD11" s="5" t="n"/>
      <c r="AE11" s="6" t="inlineStr">
        <is>
          <t>MCCUNNIFF, PETER</t>
        </is>
      </c>
      <c r="AF11" s="6" t="inlineStr">
        <is>
          <t>ASAP Surgery Centers North Valley LLC</t>
        </is>
      </c>
      <c r="AG11" s="6" t="inlineStr">
        <is>
          <t>06/17/2026</t>
        </is>
      </c>
      <c r="AH11" s="6" t="inlineStr">
        <is>
          <t>ORTHO</t>
        </is>
      </c>
      <c r="AI11" s="9" t="n"/>
      <c r="AJ11" s="5" t="n">
        <v>400</v>
      </c>
    </row>
    <row r="12">
      <c r="A12" s="2" t="n"/>
      <c r="B12" s="3" t="n"/>
      <c r="C12" s="4" t="n"/>
      <c r="D12" s="5" t="n">
        <v>562567344</v>
      </c>
      <c r="E12" s="6" t="inlineStr">
        <is>
          <t>HF329403331</t>
        </is>
      </c>
      <c r="F12" s="6" t="inlineStr">
        <is>
          <t>06/08/2026</t>
        </is>
      </c>
      <c r="G12" s="6" t="inlineStr">
        <is>
          <t>Optum Care Medical Network of Arizona, Utah, &amp; Washington (LifePrint)</t>
        </is>
      </c>
      <c r="H12" s="6" t="inlineStr">
        <is>
          <t>Optum Care Medical Network of Arizona, Utah, &amp; Washington (LifePrint)</t>
        </is>
      </c>
      <c r="I12" s="6" t="inlineStr">
        <is>
          <t>No Payer</t>
        </is>
      </c>
      <c r="J12" s="6" t="inlineStr">
        <is>
          <t>22853</t>
        </is>
      </c>
      <c r="K12" s="4" t="n"/>
      <c r="L12" s="5">
        <f>IF($M12="","",$M12-TODAY())</f>
        <v/>
      </c>
      <c r="M12" s="7" t="n">
        <v>46271</v>
      </c>
      <c r="N12" s="6" t="inlineStr">
        <is>
          <t>90 days</t>
        </is>
      </c>
      <c r="O12" s="6" t="inlineStr">
        <is>
          <t>OPTUM</t>
        </is>
      </c>
      <c r="P12" s="6" t="n"/>
      <c r="Q12" s="6" t="n"/>
      <c r="R12" s="6" t="n"/>
      <c r="S12" s="5" t="n">
        <v>1</v>
      </c>
      <c r="T12" s="8" t="n">
        <v>1758.12</v>
      </c>
      <c r="U12" s="8" t="n">
        <v>0</v>
      </c>
      <c r="V12" s="8" t="n">
        <v>0</v>
      </c>
      <c r="W12" s="6" t="n"/>
      <c r="X12" s="8" t="n">
        <v>1758.12</v>
      </c>
      <c r="Y12" s="5" t="n">
        <v>61</v>
      </c>
      <c r="Z12" s="6" t="inlineStr">
        <is>
          <t>M50021</t>
        </is>
      </c>
      <c r="AA12" s="6" t="inlineStr">
        <is>
          <t>M5412</t>
        </is>
      </c>
      <c r="AB12" s="6" t="inlineStr">
        <is>
          <t>M542</t>
        </is>
      </c>
      <c r="AC12" s="6" t="n"/>
      <c r="AD12" s="5" t="n"/>
      <c r="AE12" s="6" t="inlineStr">
        <is>
          <t>MCCUNNIFF, PETER</t>
        </is>
      </c>
      <c r="AF12" s="6" t="inlineStr">
        <is>
          <t>ASAP Surgery Centers North Valley LLC</t>
        </is>
      </c>
      <c r="AG12" s="6" t="inlineStr">
        <is>
          <t>06/17/2026</t>
        </is>
      </c>
      <c r="AH12" s="6" t="inlineStr">
        <is>
          <t>ORTHO</t>
        </is>
      </c>
      <c r="AI12" s="9" t="n"/>
      <c r="AJ12" s="5" t="n">
        <v>401</v>
      </c>
    </row>
    <row r="13">
      <c r="A13" s="2" t="n"/>
      <c r="B13" s="3" t="n"/>
      <c r="C13" s="4" t="n"/>
      <c r="D13" s="5" t="n">
        <v>562567344</v>
      </c>
      <c r="E13" s="6" t="inlineStr">
        <is>
          <t>HF329403331</t>
        </is>
      </c>
      <c r="F13" s="6" t="inlineStr">
        <is>
          <t>06/08/2026</t>
        </is>
      </c>
      <c r="G13" s="6" t="inlineStr">
        <is>
          <t>Optum Care Medical Network of Arizona, Utah, &amp; Washington (LifePrint)</t>
        </is>
      </c>
      <c r="H13" s="6" t="inlineStr">
        <is>
          <t>Optum Care Medical Network of Arizona, Utah, &amp; Washington (LifePrint)</t>
        </is>
      </c>
      <c r="I13" s="6" t="inlineStr">
        <is>
          <t>No Payer</t>
        </is>
      </c>
      <c r="J13" s="6" t="inlineStr">
        <is>
          <t>22551</t>
        </is>
      </c>
      <c r="K13" s="4" t="n"/>
      <c r="L13" s="5">
        <f>IF($M13="","",$M13-TODAY())</f>
        <v/>
      </c>
      <c r="M13" s="7" t="n">
        <v>46271</v>
      </c>
      <c r="N13" s="6" t="inlineStr">
        <is>
          <t>90 days</t>
        </is>
      </c>
      <c r="O13" s="6" t="inlineStr">
        <is>
          <t>OPTUM</t>
        </is>
      </c>
      <c r="P13" s="6" t="n"/>
      <c r="Q13" s="6" t="n"/>
      <c r="R13" s="6" t="n"/>
      <c r="S13" s="5" t="n">
        <v>1</v>
      </c>
      <c r="T13" s="8" t="n">
        <v>11690.98</v>
      </c>
      <c r="U13" s="8" t="n">
        <v>0</v>
      </c>
      <c r="V13" s="8" t="n">
        <v>0</v>
      </c>
      <c r="W13" s="6" t="n"/>
      <c r="X13" s="8" t="n">
        <v>11690.98</v>
      </c>
      <c r="Y13" s="5" t="n">
        <v>61</v>
      </c>
      <c r="Z13" s="6" t="inlineStr">
        <is>
          <t>M50021</t>
        </is>
      </c>
      <c r="AA13" s="6" t="inlineStr">
        <is>
          <t>M5412</t>
        </is>
      </c>
      <c r="AB13" s="6" t="inlineStr">
        <is>
          <t>M542</t>
        </is>
      </c>
      <c r="AC13" s="6" t="n"/>
      <c r="AD13" s="5" t="n"/>
      <c r="AE13" s="6" t="inlineStr">
        <is>
          <t>MCCUNNIFF, PETER</t>
        </is>
      </c>
      <c r="AF13" s="6" t="inlineStr">
        <is>
          <t>ASAP Surgery Centers North Valley LLC</t>
        </is>
      </c>
      <c r="AG13" s="6" t="inlineStr">
        <is>
          <t>06/17/2026</t>
        </is>
      </c>
      <c r="AH13" s="6" t="inlineStr">
        <is>
          <t>ORTHO</t>
        </is>
      </c>
      <c r="AI13" s="9" t="n"/>
      <c r="AJ13" s="5" t="n">
        <v>402</v>
      </c>
    </row>
    <row r="14">
      <c r="A14" s="2" t="n"/>
      <c r="B14" s="3" t="n"/>
      <c r="C14" s="4" t="n"/>
      <c r="D14" s="5" t="n">
        <v>562573309</v>
      </c>
      <c r="E14" s="6" t="inlineStr">
        <is>
          <t>HF537490920</t>
        </is>
      </c>
      <c r="F14" s="6" t="inlineStr">
        <is>
          <t>06/08/2026</t>
        </is>
      </c>
      <c r="G14" s="6" t="inlineStr">
        <is>
          <t>Blue Cross Blue Shield of Arizona (BCBS AZ)</t>
        </is>
      </c>
      <c r="H14" s="6" t="inlineStr">
        <is>
          <t>Blue Cross Blue Shield of Arizona (BCBS AZ)</t>
        </is>
      </c>
      <c r="I14" s="6" t="inlineStr">
        <is>
          <t>No Payer</t>
        </is>
      </c>
      <c r="J14" s="6" t="inlineStr">
        <is>
          <t>22856</t>
        </is>
      </c>
      <c r="K14" s="4" t="n"/>
      <c r="L14" s="5">
        <f>IF($M14="","",$M14-TODAY())</f>
        <v/>
      </c>
      <c r="M14" s="7" t="n">
        <v>46271</v>
      </c>
      <c r="N14" s="6" t="inlineStr">
        <is>
          <t>90 days</t>
        </is>
      </c>
      <c r="O14" s="6" t="inlineStr">
        <is>
          <t>BCBS</t>
        </is>
      </c>
      <c r="P14" s="6" t="n"/>
      <c r="Q14" s="6" t="n"/>
      <c r="R14" s="6" t="n"/>
      <c r="S14" s="5" t="n">
        <v>1</v>
      </c>
      <c r="T14" s="8" t="n">
        <v>11163.74</v>
      </c>
      <c r="U14" s="8" t="n">
        <v>0</v>
      </c>
      <c r="V14" s="8" t="n">
        <v>0</v>
      </c>
      <c r="W14" s="6" t="inlineStr">
        <is>
          <t>06/24/2026</t>
        </is>
      </c>
      <c r="X14" s="8" t="n">
        <v>11163.74</v>
      </c>
      <c r="Y14" s="5" t="n">
        <v>61</v>
      </c>
      <c r="Z14" s="6" t="inlineStr">
        <is>
          <t>M5412</t>
        </is>
      </c>
      <c r="AA14" s="6" t="inlineStr">
        <is>
          <t>M5010</t>
        </is>
      </c>
      <c r="AB14" s="6" t="inlineStr">
        <is>
          <t>M4802</t>
        </is>
      </c>
      <c r="AC14" s="6" t="inlineStr">
        <is>
          <t>M542</t>
        </is>
      </c>
      <c r="AD14" s="5" t="n"/>
      <c r="AE14" s="6" t="inlineStr">
        <is>
          <t>BURGHER, ABRAM</t>
        </is>
      </c>
      <c r="AF14" s="6" t="inlineStr">
        <is>
          <t>ASAP Surgery Centers North Valley LLC</t>
        </is>
      </c>
      <c r="AG14" s="6" t="inlineStr">
        <is>
          <t>06/17/2026</t>
        </is>
      </c>
      <c r="AH14" s="6" t="inlineStr">
        <is>
          <t>ORTHO</t>
        </is>
      </c>
      <c r="AI14" s="9" t="inlineStr">
        <is>
          <t>BCBS AZ dropped from 365 to 90 days on 01/01/2026. All dates of service here are 2026, so 90 days applies.</t>
        </is>
      </c>
      <c r="AJ14" s="5" t="n">
        <v>291</v>
      </c>
    </row>
    <row r="15">
      <c r="A15" s="2" t="n"/>
      <c r="B15" s="3" t="n"/>
      <c r="C15" s="4" t="n"/>
      <c r="D15" s="5" t="n">
        <v>562578639</v>
      </c>
      <c r="E15" s="6" t="inlineStr">
        <is>
          <t>HF545081997</t>
        </is>
      </c>
      <c r="F15" s="6" t="inlineStr">
        <is>
          <t>06/08/2026</t>
        </is>
      </c>
      <c r="G15" s="6" t="inlineStr">
        <is>
          <t>Humana Gold Plus HMO</t>
        </is>
      </c>
      <c r="H15" s="6" t="inlineStr">
        <is>
          <t>Humana Gold Plus HMO</t>
        </is>
      </c>
      <c r="I15" s="6" t="inlineStr">
        <is>
          <t>No Payer</t>
        </is>
      </c>
      <c r="J15" s="6" t="inlineStr">
        <is>
          <t>20930</t>
        </is>
      </c>
      <c r="K15" s="4" t="n"/>
      <c r="L15" s="5">
        <f>IF($M15="","",$M15-TODAY())</f>
        <v/>
      </c>
      <c r="M15" s="7" t="n">
        <v>46271</v>
      </c>
      <c r="N15" s="6" t="inlineStr">
        <is>
          <t>90 days</t>
        </is>
      </c>
      <c r="O15" s="6" t="inlineStr">
        <is>
          <t>HUMANA MA</t>
        </is>
      </c>
      <c r="P15" s="6" t="n"/>
      <c r="Q15" s="6" t="n"/>
      <c r="R15" s="6" t="n"/>
      <c r="S15" s="5" t="n">
        <v>1</v>
      </c>
      <c r="T15" s="8" t="n">
        <v>5441.29</v>
      </c>
      <c r="U15" s="8" t="n">
        <v>0</v>
      </c>
      <c r="V15" s="8" t="n">
        <v>0</v>
      </c>
      <c r="W15" s="6" t="n"/>
      <c r="X15" s="8" t="n">
        <v>5441.29</v>
      </c>
      <c r="Y15" s="5" t="n">
        <v>61</v>
      </c>
      <c r="Z15" s="6" t="inlineStr">
        <is>
          <t>M5416</t>
        </is>
      </c>
      <c r="AA15" s="6" t="inlineStr">
        <is>
          <t>M48062</t>
        </is>
      </c>
      <c r="AB15" s="6" t="inlineStr">
        <is>
          <t>M4126</t>
        </is>
      </c>
      <c r="AC15" s="6" t="inlineStr">
        <is>
          <t>M4316</t>
        </is>
      </c>
      <c r="AD15" s="5" t="n"/>
      <c r="AE15" s="6" t="inlineStr">
        <is>
          <t>MCCUNNIFF, PETER</t>
        </is>
      </c>
      <c r="AF15" s="6" t="inlineStr">
        <is>
          <t>ASAP Surgery Centers North Valley LLC</t>
        </is>
      </c>
      <c r="AG15" s="6" t="inlineStr">
        <is>
          <t>06/17/2026</t>
        </is>
      </c>
      <c r="AH15" s="6" t="inlineStr">
        <is>
          <t>ORTHO</t>
        </is>
      </c>
      <c r="AI15" s="9" t="inlineStr">
        <is>
          <t>Shorter of the two Humana limits (90 days ancillary vs 180 days physician). Confirm the rendering provider's category - if they bill as a physician the real deadline is 90 days later.</t>
        </is>
      </c>
      <c r="AJ15" s="5" t="n">
        <v>816</v>
      </c>
    </row>
    <row r="16">
      <c r="A16" s="2" t="n"/>
      <c r="B16" s="3" t="n"/>
      <c r="C16" s="4" t="n"/>
      <c r="D16" s="5" t="n">
        <v>562578639</v>
      </c>
      <c r="E16" s="6" t="inlineStr">
        <is>
          <t>HF545081997</t>
        </is>
      </c>
      <c r="F16" s="6" t="inlineStr">
        <is>
          <t>06/08/2026</t>
        </is>
      </c>
      <c r="G16" s="6" t="inlineStr">
        <is>
          <t>Humana Gold Plus HMO</t>
        </is>
      </c>
      <c r="H16" s="6" t="inlineStr">
        <is>
          <t>Humana Gold Plus HMO</t>
        </is>
      </c>
      <c r="I16" s="6" t="inlineStr">
        <is>
          <t>No Payer</t>
        </is>
      </c>
      <c r="J16" s="6" t="inlineStr">
        <is>
          <t>22612</t>
        </is>
      </c>
      <c r="K16" s="4" t="n"/>
      <c r="L16" s="5">
        <f>IF($M16="","",$M16-TODAY())</f>
        <v/>
      </c>
      <c r="M16" s="7" t="n">
        <v>46271</v>
      </c>
      <c r="N16" s="6" t="inlineStr">
        <is>
          <t>90 days</t>
        </is>
      </c>
      <c r="O16" s="6" t="inlineStr">
        <is>
          <t>HUMANA MA</t>
        </is>
      </c>
      <c r="P16" s="6" t="n"/>
      <c r="Q16" s="6" t="n"/>
      <c r="R16" s="6" t="n"/>
      <c r="S16" s="5" t="n">
        <v>1</v>
      </c>
      <c r="T16" s="8" t="n">
        <v>10892.84</v>
      </c>
      <c r="U16" s="8" t="n">
        <v>0</v>
      </c>
      <c r="V16" s="8" t="n">
        <v>0</v>
      </c>
      <c r="W16" s="6" t="n"/>
      <c r="X16" s="8" t="n">
        <v>10892.84</v>
      </c>
      <c r="Y16" s="5" t="n">
        <v>61</v>
      </c>
      <c r="Z16" s="6" t="inlineStr">
        <is>
          <t>M5416</t>
        </is>
      </c>
      <c r="AA16" s="6" t="inlineStr">
        <is>
          <t>M48062</t>
        </is>
      </c>
      <c r="AB16" s="6" t="inlineStr">
        <is>
          <t>M4126</t>
        </is>
      </c>
      <c r="AC16" s="6" t="inlineStr">
        <is>
          <t>M4316</t>
        </is>
      </c>
      <c r="AD16" s="5" t="n"/>
      <c r="AE16" s="6" t="inlineStr">
        <is>
          <t>MCCUNNIFF, PETER</t>
        </is>
      </c>
      <c r="AF16" s="6" t="inlineStr">
        <is>
          <t>ASAP Surgery Centers North Valley LLC</t>
        </is>
      </c>
      <c r="AG16" s="6" t="inlineStr">
        <is>
          <t>06/17/2026</t>
        </is>
      </c>
      <c r="AH16" s="6" t="inlineStr">
        <is>
          <t>ORTHO</t>
        </is>
      </c>
      <c r="AI16" s="9" t="inlineStr">
        <is>
          <t>Shorter of the two Humana limits (90 days ancillary vs 180 days physician). Confirm the rendering provider's category - if they bill as a physician the real deadline is 90 days later.</t>
        </is>
      </c>
      <c r="AJ16" s="5" t="n">
        <v>817</v>
      </c>
    </row>
    <row r="17">
      <c r="A17" s="2" t="n"/>
      <c r="B17" s="3" t="n"/>
      <c r="C17" s="4" t="n"/>
      <c r="D17" s="5" t="n">
        <v>562578639</v>
      </c>
      <c r="E17" s="6" t="inlineStr">
        <is>
          <t>HF545081997</t>
        </is>
      </c>
      <c r="F17" s="6" t="inlineStr">
        <is>
          <t>06/08/2026</t>
        </is>
      </c>
      <c r="G17" s="6" t="inlineStr">
        <is>
          <t>Humana Gold Plus HMO</t>
        </is>
      </c>
      <c r="H17" s="6" t="inlineStr">
        <is>
          <t>Humana Gold Plus HMO</t>
        </is>
      </c>
      <c r="I17" s="6" t="inlineStr">
        <is>
          <t>No Payer</t>
        </is>
      </c>
      <c r="J17" s="6" t="inlineStr">
        <is>
          <t>63042</t>
        </is>
      </c>
      <c r="K17" s="4" t="n"/>
      <c r="L17" s="5">
        <f>IF($M17="","",$M17-TODAY())</f>
        <v/>
      </c>
      <c r="M17" s="7" t="n">
        <v>46271</v>
      </c>
      <c r="N17" s="6" t="inlineStr">
        <is>
          <t>90 days</t>
        </is>
      </c>
      <c r="O17" s="6" t="inlineStr">
        <is>
          <t>HUMANA MA</t>
        </is>
      </c>
      <c r="P17" s="6" t="inlineStr">
        <is>
          <t>59</t>
        </is>
      </c>
      <c r="Q17" s="6" t="inlineStr">
        <is>
          <t>LT</t>
        </is>
      </c>
      <c r="R17" s="6" t="n"/>
      <c r="S17" s="5" t="n">
        <v>1</v>
      </c>
      <c r="T17" s="8" t="n">
        <v>8917.93</v>
      </c>
      <c r="U17" s="8" t="n">
        <v>0</v>
      </c>
      <c r="V17" s="8" t="n">
        <v>0</v>
      </c>
      <c r="W17" s="6" t="n"/>
      <c r="X17" s="8" t="n">
        <v>8917.93</v>
      </c>
      <c r="Y17" s="5" t="n">
        <v>61</v>
      </c>
      <c r="Z17" s="6" t="inlineStr">
        <is>
          <t>M5416</t>
        </is>
      </c>
      <c r="AA17" s="6" t="inlineStr">
        <is>
          <t>M48062</t>
        </is>
      </c>
      <c r="AB17" s="6" t="inlineStr">
        <is>
          <t>M4126</t>
        </is>
      </c>
      <c r="AC17" s="6" t="inlineStr">
        <is>
          <t>M4316</t>
        </is>
      </c>
      <c r="AD17" s="5" t="n"/>
      <c r="AE17" s="6" t="inlineStr">
        <is>
          <t>MCCUNNIFF, PETER</t>
        </is>
      </c>
      <c r="AF17" s="6" t="inlineStr">
        <is>
          <t>ASAP Surgery Centers North Valley LLC</t>
        </is>
      </c>
      <c r="AG17" s="6" t="inlineStr">
        <is>
          <t>06/17/2026</t>
        </is>
      </c>
      <c r="AH17" s="6" t="inlineStr">
        <is>
          <t>ORTHO</t>
        </is>
      </c>
      <c r="AI17" s="9" t="inlineStr">
        <is>
          <t>Shorter of the two Humana limits (90 days ancillary vs 180 days physician). Confirm the rendering provider's category - if they bill as a physician the real deadline is 90 days later.</t>
        </is>
      </c>
      <c r="AJ17" s="5" t="n">
        <v>818</v>
      </c>
    </row>
    <row r="18">
      <c r="A18" s="2" t="n"/>
      <c r="B18" s="3" t="n"/>
      <c r="C18" s="4" t="n"/>
      <c r="D18" s="5" t="n">
        <v>562086355</v>
      </c>
      <c r="E18" s="6" t="inlineStr">
        <is>
          <t>HF556915332</t>
        </is>
      </c>
      <c r="F18" s="6" t="inlineStr">
        <is>
          <t>06/11/2026</t>
        </is>
      </c>
      <c r="G18" s="6" t="inlineStr">
        <is>
          <t>Blue Cross Blue Shield of Arizona (BCBS AZ)</t>
        </is>
      </c>
      <c r="H18" s="6" t="inlineStr">
        <is>
          <t>Blue Cross Blue Shield of Arizona (BCBS AZ)</t>
        </is>
      </c>
      <c r="I18" s="6" t="inlineStr">
        <is>
          <t>No Payer</t>
        </is>
      </c>
      <c r="J18" s="6" t="inlineStr">
        <is>
          <t>63685</t>
        </is>
      </c>
      <c r="K18" s="4" t="n"/>
      <c r="L18" s="5">
        <f>IF($M18="","",$M18-TODAY())</f>
        <v/>
      </c>
      <c r="M18" s="7" t="n">
        <v>46274</v>
      </c>
      <c r="N18" s="6" t="inlineStr">
        <is>
          <t>90 days</t>
        </is>
      </c>
      <c r="O18" s="6" t="inlineStr">
        <is>
          <t>BCBS</t>
        </is>
      </c>
      <c r="P18" s="6" t="n"/>
      <c r="Q18" s="6" t="n"/>
      <c r="R18" s="6" t="n"/>
      <c r="S18" s="5" t="n">
        <v>1</v>
      </c>
      <c r="T18" s="8" t="n">
        <v>2493.33</v>
      </c>
      <c r="U18" s="8" t="n">
        <v>0</v>
      </c>
      <c r="V18" s="8" t="n">
        <v>0</v>
      </c>
      <c r="W18" s="6" t="inlineStr">
        <is>
          <t>06/24/2026</t>
        </is>
      </c>
      <c r="X18" s="8" t="n">
        <v>2493.33</v>
      </c>
      <c r="Y18" s="5" t="n">
        <v>58</v>
      </c>
      <c r="Z18" s="6" t="inlineStr">
        <is>
          <t>G90523</t>
        </is>
      </c>
      <c r="AA18" s="6" t="inlineStr">
        <is>
          <t>G894</t>
        </is>
      </c>
      <c r="AB18" s="6" t="n"/>
      <c r="AC18" s="6" t="n"/>
      <c r="AD18" s="5" t="n"/>
      <c r="AE18" s="6" t="inlineStr">
        <is>
          <t>LEATHEM, JARRETT</t>
        </is>
      </c>
      <c r="AF18" s="6" t="inlineStr">
        <is>
          <t>Premier Endoscopy Center, LLC</t>
        </is>
      </c>
      <c r="AG18" s="6" t="inlineStr">
        <is>
          <t>06/15/2026</t>
        </is>
      </c>
      <c r="AH18" s="6" t="inlineStr">
        <is>
          <t>ORTHO</t>
        </is>
      </c>
      <c r="AI18" s="9" t="inlineStr">
        <is>
          <t>BCBS AZ dropped from 365 to 90 days on 01/01/2026. All dates of service here are 2026, so 90 days applies.</t>
        </is>
      </c>
      <c r="AJ18" s="5" t="n">
        <v>210</v>
      </c>
    </row>
    <row r="19">
      <c r="A19" s="2" t="n"/>
      <c r="B19" s="3" t="n"/>
      <c r="C19" s="4" t="n"/>
      <c r="D19" s="5" t="n">
        <v>562553945</v>
      </c>
      <c r="E19" s="6" t="inlineStr">
        <is>
          <t>HF492208813</t>
        </is>
      </c>
      <c r="F19" s="6" t="inlineStr">
        <is>
          <t>06/11/2026</t>
        </is>
      </c>
      <c r="G19" s="6" t="inlineStr">
        <is>
          <t>Blue Cross Blue Shield of Arizona (BCBS AZ)</t>
        </is>
      </c>
      <c r="H19" s="6" t="inlineStr">
        <is>
          <t>Blue Cross Blue Shield of Arizona (BCBS AZ)</t>
        </is>
      </c>
      <c r="I19" s="6" t="inlineStr">
        <is>
          <t>Blue Cross Blue Shield of Arizona (BCBS AZ)</t>
        </is>
      </c>
      <c r="J19" s="6" t="inlineStr">
        <is>
          <t>64708</t>
        </is>
      </c>
      <c r="K19" s="4" t="n"/>
      <c r="L19" s="5">
        <f>IF($M19="","",$M19-TODAY())</f>
        <v/>
      </c>
      <c r="M19" s="7" t="n">
        <v>46274</v>
      </c>
      <c r="N19" s="6" t="inlineStr">
        <is>
          <t>90 days</t>
        </is>
      </c>
      <c r="O19" s="6" t="inlineStr">
        <is>
          <t>BCBS</t>
        </is>
      </c>
      <c r="P19" s="6" t="n"/>
      <c r="Q19" s="6" t="n"/>
      <c r="R19" s="6" t="n"/>
      <c r="S19" s="5" t="n">
        <v>1</v>
      </c>
      <c r="T19" s="8" t="n">
        <v>3471.16</v>
      </c>
      <c r="U19" s="8" t="n">
        <v>0</v>
      </c>
      <c r="V19" s="8" t="n">
        <v>0</v>
      </c>
      <c r="W19" s="6" t="inlineStr">
        <is>
          <t>06/23/2026</t>
        </is>
      </c>
      <c r="X19" s="8" t="n">
        <v>3471.16</v>
      </c>
      <c r="Y19" s="5" t="n">
        <v>58</v>
      </c>
      <c r="Z19" s="6" t="inlineStr">
        <is>
          <t>M4807</t>
        </is>
      </c>
      <c r="AA19" s="6" t="inlineStr">
        <is>
          <t>M5417</t>
        </is>
      </c>
      <c r="AB19" s="6" t="inlineStr">
        <is>
          <t>G549</t>
        </is>
      </c>
      <c r="AC19" s="6" t="n"/>
      <c r="AD19" s="5" t="n"/>
      <c r="AE19" s="6" t="inlineStr">
        <is>
          <t>LUKE, TIMOTHY</t>
        </is>
      </c>
      <c r="AF19" s="6" t="inlineStr">
        <is>
          <t>ASAP Surgery Centers North Valley LLC</t>
        </is>
      </c>
      <c r="AG19" s="6" t="inlineStr">
        <is>
          <t>06/17/2026</t>
        </is>
      </c>
      <c r="AH19" s="6" t="inlineStr">
        <is>
          <t>ORTHO</t>
        </is>
      </c>
      <c r="AI19" s="9" t="inlineStr">
        <is>
          <t>BCBS AZ dropped from 365 to 90 days on 01/01/2026. All dates of service here are 2026, so 90 days applies.</t>
        </is>
      </c>
      <c r="AJ19" s="5" t="n">
        <v>591</v>
      </c>
    </row>
    <row r="20">
      <c r="A20" s="2" t="n"/>
      <c r="B20" s="3" t="n"/>
      <c r="C20" s="4" t="n"/>
      <c r="D20" s="5" t="n">
        <v>562553945</v>
      </c>
      <c r="E20" s="6" t="inlineStr">
        <is>
          <t>HF492208813</t>
        </is>
      </c>
      <c r="F20" s="6" t="inlineStr">
        <is>
          <t>06/11/2026</t>
        </is>
      </c>
      <c r="G20" s="6" t="inlineStr">
        <is>
          <t>Blue Cross Blue Shield of Arizona (BCBS AZ)</t>
        </is>
      </c>
      <c r="H20" s="6" t="inlineStr">
        <is>
          <t>Blue Cross Blue Shield of Arizona (BCBS AZ)</t>
        </is>
      </c>
      <c r="I20" s="6" t="inlineStr">
        <is>
          <t>Blue Cross Blue Shield of Arizona (BCBS AZ)</t>
        </is>
      </c>
      <c r="J20" s="6" t="inlineStr">
        <is>
          <t>63047</t>
        </is>
      </c>
      <c r="K20" s="4" t="n"/>
      <c r="L20" s="5">
        <f>IF($M20="","",$M20-TODAY())</f>
        <v/>
      </c>
      <c r="M20" s="7" t="n">
        <v>46274</v>
      </c>
      <c r="N20" s="6" t="inlineStr">
        <is>
          <t>90 days</t>
        </is>
      </c>
      <c r="O20" s="6" t="inlineStr">
        <is>
          <t>BCBS</t>
        </is>
      </c>
      <c r="P20" s="6" t="n"/>
      <c r="Q20" s="6" t="n"/>
      <c r="R20" s="6" t="n"/>
      <c r="S20" s="5" t="n">
        <v>1</v>
      </c>
      <c r="T20" s="8" t="n">
        <v>7623.07</v>
      </c>
      <c r="U20" s="8" t="n">
        <v>0</v>
      </c>
      <c r="V20" s="8" t="n">
        <v>0</v>
      </c>
      <c r="W20" s="6" t="inlineStr">
        <is>
          <t>06/23/2026</t>
        </is>
      </c>
      <c r="X20" s="8" t="n">
        <v>7623.07</v>
      </c>
      <c r="Y20" s="5" t="n">
        <v>58</v>
      </c>
      <c r="Z20" s="6" t="inlineStr">
        <is>
          <t>M4807</t>
        </is>
      </c>
      <c r="AA20" s="6" t="inlineStr">
        <is>
          <t>M5417</t>
        </is>
      </c>
      <c r="AB20" s="6" t="inlineStr">
        <is>
          <t>G549</t>
        </is>
      </c>
      <c r="AC20" s="6" t="n"/>
      <c r="AD20" s="5" t="n"/>
      <c r="AE20" s="6" t="inlineStr">
        <is>
          <t>LUKE, TIMOTHY</t>
        </is>
      </c>
      <c r="AF20" s="6" t="inlineStr">
        <is>
          <t>ASAP Surgery Centers North Valley LLC</t>
        </is>
      </c>
      <c r="AG20" s="6" t="inlineStr">
        <is>
          <t>06/17/2026</t>
        </is>
      </c>
      <c r="AH20" s="6" t="inlineStr">
        <is>
          <t>ORTHO</t>
        </is>
      </c>
      <c r="AI20" s="9" t="inlineStr">
        <is>
          <t>BCBS AZ dropped from 365 to 90 days on 01/01/2026. All dates of service here are 2026, so 90 days applies.</t>
        </is>
      </c>
      <c r="AJ20" s="5" t="n">
        <v>592</v>
      </c>
    </row>
    <row r="21">
      <c r="A21" s="2" t="n"/>
      <c r="B21" s="3" t="n"/>
      <c r="C21" s="4" t="n"/>
      <c r="D21" s="5" t="n">
        <v>562198452</v>
      </c>
      <c r="E21" s="6" t="inlineStr">
        <is>
          <t>HF519300380</t>
        </is>
      </c>
      <c r="F21" s="6" t="inlineStr">
        <is>
          <t>06/12/2026</t>
        </is>
      </c>
      <c r="G21" s="6" t="inlineStr">
        <is>
          <t>UnitedHealthcare Community Plan / Arizona Long Term Care</t>
        </is>
      </c>
      <c r="H21" s="6" t="inlineStr">
        <is>
          <t>UnitedHealthcare Community Plan / Arizona Long Term Care</t>
        </is>
      </c>
      <c r="I21" s="6" t="inlineStr">
        <is>
          <t>No Payer</t>
        </is>
      </c>
      <c r="J21" s="6" t="inlineStr">
        <is>
          <t>27279</t>
        </is>
      </c>
      <c r="K21" s="4" t="n"/>
      <c r="L21" s="5">
        <f>IF($M21="","",$M21-TODAY())</f>
        <v/>
      </c>
      <c r="M21" s="7" t="n">
        <v>46275</v>
      </c>
      <c r="N21" s="6" t="inlineStr">
        <is>
          <t>90 days</t>
        </is>
      </c>
      <c r="O21" s="6" t="inlineStr">
        <is>
          <t>UHC COMMUNITY</t>
        </is>
      </c>
      <c r="P21" s="6" t="n"/>
      <c r="Q21" s="6" t="n"/>
      <c r="R21" s="6" t="n"/>
      <c r="S21" s="5" t="n">
        <v>1</v>
      </c>
      <c r="T21" s="8" t="n">
        <v>5614.63</v>
      </c>
      <c r="U21" s="8" t="n">
        <v>0</v>
      </c>
      <c r="V21" s="8" t="n">
        <v>0</v>
      </c>
      <c r="W21" s="6" t="inlineStr">
        <is>
          <t>06/24/2026</t>
        </is>
      </c>
      <c r="X21" s="8" t="n">
        <v>5614.63</v>
      </c>
      <c r="Y21" s="5" t="n">
        <v>57</v>
      </c>
      <c r="Z21" s="6" t="inlineStr">
        <is>
          <t>M461</t>
        </is>
      </c>
      <c r="AA21" s="6" t="n"/>
      <c r="AB21" s="6" t="n"/>
      <c r="AC21" s="6" t="n"/>
      <c r="AD21" s="5" t="n"/>
      <c r="AE21" s="6" t="inlineStr">
        <is>
          <t>KRAUSE, JEFFREY</t>
        </is>
      </c>
      <c r="AF21" s="6" t="inlineStr">
        <is>
          <t>ASAP Surgery Centers North Valley LLC</t>
        </is>
      </c>
      <c r="AG21" s="6" t="inlineStr">
        <is>
          <t>06/16/2026</t>
        </is>
      </c>
      <c r="AH21" s="6" t="inlineStr">
        <is>
          <t>ORTHO</t>
        </is>
      </c>
      <c r="AI21" s="9" t="n"/>
      <c r="AJ21" s="5" t="n">
        <v>590</v>
      </c>
    </row>
    <row r="22">
      <c r="A22" s="2" t="n"/>
      <c r="B22" s="3" t="n"/>
      <c r="C22" s="4" t="n"/>
      <c r="D22" s="5" t="n">
        <v>562206136</v>
      </c>
      <c r="E22" s="6" t="inlineStr">
        <is>
          <t>HF546187849</t>
        </is>
      </c>
      <c r="F22" s="6" t="inlineStr">
        <is>
          <t>06/12/2026</t>
        </is>
      </c>
      <c r="G22" s="6" t="inlineStr">
        <is>
          <t>Optum Care Medical Network of Arizona, Utah, &amp; Washington (LifePrint)</t>
        </is>
      </c>
      <c r="H22" s="6" t="inlineStr">
        <is>
          <t>Optum Care Medical Network of Arizona, Utah, &amp; Washington (LifePrint)</t>
        </is>
      </c>
      <c r="I22" s="6" t="inlineStr">
        <is>
          <t>No Payer</t>
        </is>
      </c>
      <c r="J22" s="6" t="inlineStr">
        <is>
          <t>27279</t>
        </is>
      </c>
      <c r="K22" s="4" t="n"/>
      <c r="L22" s="5">
        <f>IF($M22="","",$M22-TODAY())</f>
        <v/>
      </c>
      <c r="M22" s="7" t="n">
        <v>46275</v>
      </c>
      <c r="N22" s="6" t="inlineStr">
        <is>
          <t>90 days</t>
        </is>
      </c>
      <c r="O22" s="6" t="inlineStr">
        <is>
          <t>OPTUM</t>
        </is>
      </c>
      <c r="P22" s="6" t="inlineStr">
        <is>
          <t>LT</t>
        </is>
      </c>
      <c r="Q22" s="6" t="n"/>
      <c r="R22" s="6" t="n"/>
      <c r="S22" s="5" t="n">
        <v>1</v>
      </c>
      <c r="T22" s="8" t="n">
        <v>5614.63</v>
      </c>
      <c r="U22" s="8" t="n">
        <v>0</v>
      </c>
      <c r="V22" s="8" t="n">
        <v>0</v>
      </c>
      <c r="W22" s="6" t="inlineStr">
        <is>
          <t>07/07/2026</t>
        </is>
      </c>
      <c r="X22" s="8" t="n">
        <v>5614.63</v>
      </c>
      <c r="Y22" s="5" t="n">
        <v>57</v>
      </c>
      <c r="Z22" s="6" t="inlineStr">
        <is>
          <t>M461</t>
        </is>
      </c>
      <c r="AA22" s="6" t="n"/>
      <c r="AB22" s="6" t="n"/>
      <c r="AC22" s="6" t="n"/>
      <c r="AD22" s="5" t="n"/>
      <c r="AE22" s="6" t="inlineStr">
        <is>
          <t>LEATHEM, JARRETT</t>
        </is>
      </c>
      <c r="AF22" s="6" t="inlineStr">
        <is>
          <t>Premier Endoscopy Center, LLC</t>
        </is>
      </c>
      <c r="AG22" s="6" t="inlineStr">
        <is>
          <t>06/16/2026</t>
        </is>
      </c>
      <c r="AH22" s="6" t="inlineStr">
        <is>
          <t>ORTHO</t>
        </is>
      </c>
      <c r="AI22" s="9" t="n"/>
      <c r="AJ22" s="5" t="n">
        <v>738</v>
      </c>
    </row>
    <row r="23">
      <c r="A23" s="2" t="n"/>
      <c r="B23" s="3" t="n"/>
      <c r="C23" s="4" t="n"/>
      <c r="D23" s="5" t="n">
        <v>564509654</v>
      </c>
      <c r="E23" s="6" t="inlineStr">
        <is>
          <t>HF342712719</t>
        </is>
      </c>
      <c r="F23" s="6" t="inlineStr">
        <is>
          <t>06/18/2026</t>
        </is>
      </c>
      <c r="G23" s="6" t="inlineStr">
        <is>
          <t>United Healthcare</t>
        </is>
      </c>
      <c r="H23" s="6" t="inlineStr">
        <is>
          <t>United Healthcare</t>
        </is>
      </c>
      <c r="I23" s="6" t="inlineStr">
        <is>
          <t>No Payer</t>
        </is>
      </c>
      <c r="J23" s="6" t="inlineStr">
        <is>
          <t>20930</t>
        </is>
      </c>
      <c r="K23" s="4" t="n"/>
      <c r="L23" s="5">
        <f>IF($M23="","",$M23-TODAY())</f>
        <v/>
      </c>
      <c r="M23" s="7" t="n">
        <v>46281</v>
      </c>
      <c r="N23" s="6" t="inlineStr">
        <is>
          <t>90 days</t>
        </is>
      </c>
      <c r="O23" s="6" t="inlineStr">
        <is>
          <t>UHC COMMERCIAL</t>
        </is>
      </c>
      <c r="P23" s="6" t="n"/>
      <c r="Q23" s="6" t="n"/>
      <c r="R23" s="6" t="n"/>
      <c r="S23" s="5" t="n">
        <v>1</v>
      </c>
      <c r="T23" s="8" t="n">
        <v>5441.29</v>
      </c>
      <c r="U23" s="8" t="n">
        <v>0</v>
      </c>
      <c r="V23" s="8" t="n">
        <v>0</v>
      </c>
      <c r="W23" s="6" t="n"/>
      <c r="X23" s="8" t="n">
        <v>5441.29</v>
      </c>
      <c r="Y23" s="5" t="n">
        <v>51</v>
      </c>
      <c r="Z23" s="6" t="inlineStr">
        <is>
          <t>M5412</t>
        </is>
      </c>
      <c r="AA23" s="6" t="inlineStr">
        <is>
          <t>M4692</t>
        </is>
      </c>
      <c r="AB23" s="6" t="inlineStr">
        <is>
          <t>M4322</t>
        </is>
      </c>
      <c r="AC23" s="6" t="n"/>
      <c r="AD23" s="5" t="n"/>
      <c r="AE23" s="6" t="inlineStr">
        <is>
          <t>LUKE, TIMOTHY</t>
        </is>
      </c>
      <c r="AF23" s="6" t="inlineStr">
        <is>
          <t>ASAP Surgery Centers North Valley LLC</t>
        </is>
      </c>
      <c r="AG23" s="6" t="inlineStr">
        <is>
          <t>07/07/2026</t>
        </is>
      </c>
      <c r="AH23" s="6" t="inlineStr">
        <is>
          <t>ORTHO</t>
        </is>
      </c>
      <c r="AI23" s="9" t="n"/>
      <c r="AJ23" s="5" t="n">
        <v>772</v>
      </c>
    </row>
    <row r="24">
      <c r="A24" s="2" t="n"/>
      <c r="B24" s="3" t="n"/>
      <c r="C24" s="4" t="n"/>
      <c r="D24" s="5" t="n">
        <v>564509654</v>
      </c>
      <c r="E24" s="6" t="inlineStr">
        <is>
          <t>HF342712719</t>
        </is>
      </c>
      <c r="F24" s="6" t="inlineStr">
        <is>
          <t>06/18/2026</t>
        </is>
      </c>
      <c r="G24" s="6" t="inlineStr">
        <is>
          <t>United Healthcare</t>
        </is>
      </c>
      <c r="H24" s="6" t="inlineStr">
        <is>
          <t>United Healthcare</t>
        </is>
      </c>
      <c r="I24" s="6" t="inlineStr">
        <is>
          <t>No Payer</t>
        </is>
      </c>
      <c r="J24" s="6" t="inlineStr">
        <is>
          <t>22840</t>
        </is>
      </c>
      <c r="K24" s="4" t="n"/>
      <c r="L24" s="5">
        <f>IF($M24="","",$M24-TODAY())</f>
        <v/>
      </c>
      <c r="M24" s="7" t="n">
        <v>46281</v>
      </c>
      <c r="N24" s="6" t="inlineStr">
        <is>
          <t>90 days</t>
        </is>
      </c>
      <c r="O24" s="6" t="inlineStr">
        <is>
          <t>UHC COMMERCIAL</t>
        </is>
      </c>
      <c r="P24" s="6" t="inlineStr">
        <is>
          <t>59</t>
        </is>
      </c>
      <c r="Q24" s="6" t="n"/>
      <c r="R24" s="6" t="n"/>
      <c r="S24" s="5" t="n">
        <v>1</v>
      </c>
      <c r="T24" s="8" t="n">
        <v>5164.25</v>
      </c>
      <c r="U24" s="8" t="n">
        <v>0</v>
      </c>
      <c r="V24" s="8" t="n">
        <v>0</v>
      </c>
      <c r="W24" s="6" t="n"/>
      <c r="X24" s="8" t="n">
        <v>5164.25</v>
      </c>
      <c r="Y24" s="5" t="n">
        <v>51</v>
      </c>
      <c r="Z24" s="6" t="inlineStr">
        <is>
          <t>M5412</t>
        </is>
      </c>
      <c r="AA24" s="6" t="inlineStr">
        <is>
          <t>M4692</t>
        </is>
      </c>
      <c r="AB24" s="6" t="inlineStr">
        <is>
          <t>M4322</t>
        </is>
      </c>
      <c r="AC24" s="6" t="n"/>
      <c r="AD24" s="5" t="n"/>
      <c r="AE24" s="6" t="inlineStr">
        <is>
          <t>LUKE, TIMOTHY</t>
        </is>
      </c>
      <c r="AF24" s="6" t="inlineStr">
        <is>
          <t>ASAP Surgery Centers North Valley LLC</t>
        </is>
      </c>
      <c r="AG24" s="6" t="inlineStr">
        <is>
          <t>07/07/2026</t>
        </is>
      </c>
      <c r="AH24" s="6" t="inlineStr">
        <is>
          <t>ORTHO</t>
        </is>
      </c>
      <c r="AI24" s="9" t="n"/>
      <c r="AJ24" s="5" t="n">
        <v>773</v>
      </c>
    </row>
    <row r="25">
      <c r="A25" s="2" t="n"/>
      <c r="B25" s="3" t="n"/>
      <c r="C25" s="4" t="n"/>
      <c r="D25" s="5" t="n">
        <v>564509654</v>
      </c>
      <c r="E25" s="6" t="inlineStr">
        <is>
          <t>HF342712719</t>
        </is>
      </c>
      <c r="F25" s="6" t="inlineStr">
        <is>
          <t>06/18/2026</t>
        </is>
      </c>
      <c r="G25" s="6" t="inlineStr">
        <is>
          <t>United Healthcare</t>
        </is>
      </c>
      <c r="H25" s="6" t="inlineStr">
        <is>
          <t>United Healthcare</t>
        </is>
      </c>
      <c r="I25" s="6" t="inlineStr">
        <is>
          <t>No Payer</t>
        </is>
      </c>
      <c r="J25" s="6" t="inlineStr">
        <is>
          <t>22840</t>
        </is>
      </c>
      <c r="K25" s="4" t="n"/>
      <c r="L25" s="5">
        <f>IF($M25="","",$M25-TODAY())</f>
        <v/>
      </c>
      <c r="M25" s="7" t="n">
        <v>46281</v>
      </c>
      <c r="N25" s="6" t="inlineStr">
        <is>
          <t>90 days</t>
        </is>
      </c>
      <c r="O25" s="6" t="inlineStr">
        <is>
          <t>UHC COMMERCIAL</t>
        </is>
      </c>
      <c r="P25" s="6" t="n"/>
      <c r="Q25" s="6" t="n"/>
      <c r="R25" s="6" t="n"/>
      <c r="S25" s="5" t="n">
        <v>1</v>
      </c>
      <c r="T25" s="8" t="n">
        <v>5164.25</v>
      </c>
      <c r="U25" s="8" t="n">
        <v>0</v>
      </c>
      <c r="V25" s="8" t="n">
        <v>0</v>
      </c>
      <c r="W25" s="6" t="n"/>
      <c r="X25" s="8" t="n">
        <v>5164.25</v>
      </c>
      <c r="Y25" s="5" t="n">
        <v>51</v>
      </c>
      <c r="Z25" s="6" t="inlineStr">
        <is>
          <t>M5412</t>
        </is>
      </c>
      <c r="AA25" s="6" t="inlineStr">
        <is>
          <t>M4692</t>
        </is>
      </c>
      <c r="AB25" s="6" t="inlineStr">
        <is>
          <t>M4322</t>
        </is>
      </c>
      <c r="AC25" s="6" t="n"/>
      <c r="AD25" s="5" t="n"/>
      <c r="AE25" s="6" t="inlineStr">
        <is>
          <t>LUKE, TIMOTHY</t>
        </is>
      </c>
      <c r="AF25" s="6" t="inlineStr">
        <is>
          <t>ASAP Surgery Centers North Valley LLC</t>
        </is>
      </c>
      <c r="AG25" s="6" t="inlineStr">
        <is>
          <t>07/07/2026</t>
        </is>
      </c>
      <c r="AH25" s="6" t="inlineStr">
        <is>
          <t>ORTHO</t>
        </is>
      </c>
      <c r="AI25" s="9" t="n"/>
      <c r="AJ25" s="5" t="n">
        <v>774</v>
      </c>
    </row>
    <row r="26">
      <c r="A26" s="2" t="n"/>
      <c r="B26" s="3" t="n"/>
      <c r="C26" s="4" t="n"/>
      <c r="D26" s="5" t="n">
        <v>562921641</v>
      </c>
      <c r="E26" s="6" t="inlineStr">
        <is>
          <t>HF458717535</t>
        </is>
      </c>
      <c r="F26" s="6" t="inlineStr">
        <is>
          <t>06/19/2026</t>
        </is>
      </c>
      <c r="G26" s="6" t="inlineStr">
        <is>
          <t>Blue Cross Blue Shield of Arizona (BCBS AZ)</t>
        </is>
      </c>
      <c r="H26" s="6" t="inlineStr">
        <is>
          <t>Blue Cross Blue Shield of Arizona (BCBS AZ)</t>
        </is>
      </c>
      <c r="I26" s="6" t="inlineStr">
        <is>
          <t>No Payer</t>
        </is>
      </c>
      <c r="J26" s="6" t="inlineStr">
        <is>
          <t>63685</t>
        </is>
      </c>
      <c r="K26" s="4" t="n"/>
      <c r="L26" s="5">
        <f>IF($M26="","",$M26-TODAY())</f>
        <v/>
      </c>
      <c r="M26" s="7" t="n">
        <v>46282</v>
      </c>
      <c r="N26" s="6" t="inlineStr">
        <is>
          <t>90 days</t>
        </is>
      </c>
      <c r="O26" s="6" t="inlineStr">
        <is>
          <t>BCBS</t>
        </is>
      </c>
      <c r="P26" s="6" t="n"/>
      <c r="Q26" s="6" t="n"/>
      <c r="R26" s="6" t="n"/>
      <c r="S26" s="5" t="n">
        <v>1</v>
      </c>
      <c r="T26" s="8" t="n">
        <v>2493.33</v>
      </c>
      <c r="U26" s="8" t="n">
        <v>0</v>
      </c>
      <c r="V26" s="8" t="n">
        <v>0</v>
      </c>
      <c r="W26" s="6" t="n"/>
      <c r="X26" s="8" t="n">
        <v>2493.33</v>
      </c>
      <c r="Y26" s="5" t="n">
        <v>50</v>
      </c>
      <c r="Z26" s="6" t="inlineStr">
        <is>
          <t>G90523</t>
        </is>
      </c>
      <c r="AA26" s="6" t="inlineStr">
        <is>
          <t>M961</t>
        </is>
      </c>
      <c r="AB26" s="6" t="n"/>
      <c r="AC26" s="6" t="n"/>
      <c r="AD26" s="5" t="n"/>
      <c r="AE26" s="6" t="inlineStr">
        <is>
          <t>SARKAR, AWNIK</t>
        </is>
      </c>
      <c r="AF26" s="6" t="inlineStr">
        <is>
          <t>ASAP Surgery Centers North Valley LLC</t>
        </is>
      </c>
      <c r="AG26" s="6" t="inlineStr">
        <is>
          <t>06/23/2026</t>
        </is>
      </c>
      <c r="AH26" s="6" t="inlineStr">
        <is>
          <t>ORTHO</t>
        </is>
      </c>
      <c r="AI26" s="9" t="inlineStr">
        <is>
          <t>BCBS AZ dropped from 365 to 90 days on 01/01/2026. All dates of service here are 2026, so 90 days applies.</t>
        </is>
      </c>
      <c r="AJ26" s="5" t="n">
        <v>403</v>
      </c>
    </row>
    <row r="27">
      <c r="A27" s="2" t="inlineStr">
        <is>
          <t>Received</t>
        </is>
      </c>
      <c r="B27" s="3" t="n"/>
      <c r="C27" s="4" t="n"/>
      <c r="D27" s="5" t="n">
        <v>563945696</v>
      </c>
      <c r="E27" s="6" t="inlineStr">
        <is>
          <t>HF538566755</t>
        </is>
      </c>
      <c r="F27" s="6" t="inlineStr">
        <is>
          <t>06/20/2026</t>
        </is>
      </c>
      <c r="G27" s="6" t="inlineStr">
        <is>
          <t>Blue Cross Blue Shield of Arizona (BCBS AZ)</t>
        </is>
      </c>
      <c r="H27" s="6" t="inlineStr">
        <is>
          <t>Blue Cross Blue Shield of Arizona (BCBS AZ)</t>
        </is>
      </c>
      <c r="I27" s="6" t="inlineStr">
        <is>
          <t>No Payer</t>
        </is>
      </c>
      <c r="J27" s="6" t="inlineStr">
        <is>
          <t>63047</t>
        </is>
      </c>
      <c r="K27" s="4" t="n"/>
      <c r="L27" s="5">
        <f>IF($M27="","",$M27-TODAY())</f>
        <v/>
      </c>
      <c r="M27" s="7" t="n">
        <v>46283</v>
      </c>
      <c r="N27" s="6" t="inlineStr">
        <is>
          <t>90 days</t>
        </is>
      </c>
      <c r="O27" s="6" t="inlineStr">
        <is>
          <t>BCBS</t>
        </is>
      </c>
      <c r="P27" s="6" t="inlineStr">
        <is>
          <t>LT</t>
        </is>
      </c>
      <c r="Q27" s="6" t="n"/>
      <c r="R27" s="6" t="n"/>
      <c r="S27" s="5" t="n">
        <v>1</v>
      </c>
      <c r="T27" s="8" t="n">
        <v>7623.07</v>
      </c>
      <c r="U27" s="8" t="n">
        <v>0</v>
      </c>
      <c r="V27" s="8" t="n">
        <v>0</v>
      </c>
      <c r="W27" s="6" t="inlineStr">
        <is>
          <t>07/10/2026</t>
        </is>
      </c>
      <c r="X27" s="8" t="n">
        <v>5911.47</v>
      </c>
      <c r="Y27" s="5" t="n">
        <v>49</v>
      </c>
      <c r="Z27" s="6" t="inlineStr">
        <is>
          <t>M48062</t>
        </is>
      </c>
      <c r="AA27" s="6" t="n"/>
      <c r="AB27" s="6" t="n"/>
      <c r="AC27" s="6" t="n"/>
      <c r="AD27" s="5" t="n"/>
      <c r="AE27" s="6" t="inlineStr">
        <is>
          <t>O'NEIL, ROY</t>
        </is>
      </c>
      <c r="AF27" s="6" t="inlineStr">
        <is>
          <t>ASAP Surgery Centers North Valley LLC</t>
        </is>
      </c>
      <c r="AG27" s="6" t="inlineStr">
        <is>
          <t>07/06/2026</t>
        </is>
      </c>
      <c r="AH27" s="6" t="inlineStr">
        <is>
          <t>ORTHO</t>
        </is>
      </c>
      <c r="AI27" s="9" t="inlineStr">
        <is>
          <t>BCBS AZ dropped from 365 to 90 days on 01/01/2026. All dates of service here are 2026, so 90 days applies.</t>
        </is>
      </c>
      <c r="AJ27" s="5" t="n">
        <v>604</v>
      </c>
    </row>
    <row r="28">
      <c r="A28" s="2" t="n"/>
      <c r="B28" s="3" t="n"/>
      <c r="C28" s="4" t="n"/>
      <c r="D28" s="5" t="n">
        <v>563839702</v>
      </c>
      <c r="E28" s="6" t="inlineStr">
        <is>
          <t>HF544048268</t>
        </is>
      </c>
      <c r="F28" s="6" t="inlineStr">
        <is>
          <t>06/24/2026</t>
        </is>
      </c>
      <c r="G28" s="6" t="inlineStr">
        <is>
          <t>UnitedHealthcare Community Plan / Arizona Long Term Care</t>
        </is>
      </c>
      <c r="H28" s="6" t="inlineStr">
        <is>
          <t>UnitedHealthcare Community Plan / Arizona Long Term Care</t>
        </is>
      </c>
      <c r="I28" s="6" t="inlineStr">
        <is>
          <t>Mercy Care Plan (AHCCCS) - Complete Care &amp; Long Term Care (LTC)</t>
        </is>
      </c>
      <c r="J28" s="6" t="inlineStr">
        <is>
          <t>22612</t>
        </is>
      </c>
      <c r="K28" s="4" t="n"/>
      <c r="L28" s="5">
        <f>IF($M28="","",$M28-TODAY())</f>
        <v/>
      </c>
      <c r="M28" s="7" t="n">
        <v>46287</v>
      </c>
      <c r="N28" s="6" t="inlineStr">
        <is>
          <t>90 days</t>
        </is>
      </c>
      <c r="O28" s="6" t="inlineStr">
        <is>
          <t>UHC COMMUNITY</t>
        </is>
      </c>
      <c r="P28" s="6" t="n"/>
      <c r="Q28" s="6" t="n"/>
      <c r="R28" s="6" t="n"/>
      <c r="S28" s="5" t="n">
        <v>1</v>
      </c>
      <c r="T28" s="8" t="n">
        <v>10892.84</v>
      </c>
      <c r="U28" s="8" t="n">
        <v>0</v>
      </c>
      <c r="V28" s="8" t="n">
        <v>0</v>
      </c>
      <c r="W28" s="6" t="n"/>
      <c r="X28" s="8" t="n">
        <v>10892.84</v>
      </c>
      <c r="Y28" s="5" t="n">
        <v>45</v>
      </c>
      <c r="Z28" s="6" t="inlineStr">
        <is>
          <t>M48062</t>
        </is>
      </c>
      <c r="AA28" s="6" t="inlineStr">
        <is>
          <t>M5416</t>
        </is>
      </c>
      <c r="AB28" s="6" t="inlineStr">
        <is>
          <t>M7138</t>
        </is>
      </c>
      <c r="AC28" s="6" t="n"/>
      <c r="AD28" s="5" t="n"/>
      <c r="AE28" s="6" t="inlineStr">
        <is>
          <t>MCCUNNIFF, PETER</t>
        </is>
      </c>
      <c r="AF28" s="6" t="inlineStr">
        <is>
          <t>ASAP Surgery Centers North Valley LLC</t>
        </is>
      </c>
      <c r="AG28" s="6" t="inlineStr">
        <is>
          <t>06/30/2026</t>
        </is>
      </c>
      <c r="AH28" s="6" t="inlineStr">
        <is>
          <t>ORTHO</t>
        </is>
      </c>
      <c r="AI28" s="9" t="n"/>
      <c r="AJ28" s="5" t="n">
        <v>1059</v>
      </c>
    </row>
    <row r="29">
      <c r="A29" s="2" t="n"/>
      <c r="B29" s="3" t="n"/>
      <c r="C29" s="4" t="n"/>
      <c r="D29" s="5" t="n">
        <v>564441732</v>
      </c>
      <c r="E29" s="6" t="inlineStr">
        <is>
          <t>HF507823275</t>
        </is>
      </c>
      <c r="F29" s="6" t="inlineStr">
        <is>
          <t>06/24/2026</t>
        </is>
      </c>
      <c r="G29" s="6" t="inlineStr">
        <is>
          <t>Humana Gold Plus HMO</t>
        </is>
      </c>
      <c r="H29" s="6" t="inlineStr">
        <is>
          <t>Humana Gold Plus HMO</t>
        </is>
      </c>
      <c r="I29" s="6" t="inlineStr">
        <is>
          <t>No Payer</t>
        </is>
      </c>
      <c r="J29" s="6" t="inlineStr">
        <is>
          <t>63685</t>
        </is>
      </c>
      <c r="K29" s="4" t="n"/>
      <c r="L29" s="5">
        <f>IF($M29="","",$M29-TODAY())</f>
        <v/>
      </c>
      <c r="M29" s="7" t="n">
        <v>46287</v>
      </c>
      <c r="N29" s="6" t="inlineStr">
        <is>
          <t>90 days</t>
        </is>
      </c>
      <c r="O29" s="6" t="inlineStr">
        <is>
          <t>HUMANA MA</t>
        </is>
      </c>
      <c r="P29" s="6" t="n"/>
      <c r="Q29" s="6" t="n"/>
      <c r="R29" s="6" t="n"/>
      <c r="S29" s="5" t="n">
        <v>1</v>
      </c>
      <c r="T29" s="8" t="n">
        <v>2493.33</v>
      </c>
      <c r="U29" s="8" t="n">
        <v>0</v>
      </c>
      <c r="V29" s="8" t="n">
        <v>0</v>
      </c>
      <c r="W29" s="6" t="n"/>
      <c r="X29" s="8" t="n">
        <v>2493.33</v>
      </c>
      <c r="Y29" s="5" t="n">
        <v>45</v>
      </c>
      <c r="Z29" s="6" t="inlineStr">
        <is>
          <t>M961</t>
        </is>
      </c>
      <c r="AA29" s="6" t="inlineStr">
        <is>
          <t>M48062</t>
        </is>
      </c>
      <c r="AB29" s="6" t="inlineStr">
        <is>
          <t>M47816</t>
        </is>
      </c>
      <c r="AC29" s="6" t="inlineStr">
        <is>
          <t>M4810</t>
        </is>
      </c>
      <c r="AD29" s="5" t="n"/>
      <c r="AE29" s="6" t="inlineStr">
        <is>
          <t>CURRIE, DAVID</t>
        </is>
      </c>
      <c r="AF29" s="6" t="inlineStr">
        <is>
          <t>Premier Endoscopy Center, LLC</t>
        </is>
      </c>
      <c r="AG29" s="6" t="inlineStr">
        <is>
          <t>07/08/2026</t>
        </is>
      </c>
      <c r="AH29" s="6" t="inlineStr">
        <is>
          <t>ORTHO</t>
        </is>
      </c>
      <c r="AI29" s="9" t="inlineStr">
        <is>
          <t>Shorter of the two Humana limits (90 days ancillary vs 180 days physician). Confirm the rendering provider's category - if they bill as a physician the real deadline is 90 days later.</t>
        </is>
      </c>
      <c r="AJ29" s="5" t="n">
        <v>875</v>
      </c>
    </row>
    <row r="30">
      <c r="A30" s="2" t="n"/>
      <c r="B30" s="3" t="n"/>
      <c r="C30" s="4" t="n"/>
      <c r="D30" s="5" t="n">
        <v>563844305</v>
      </c>
      <c r="E30" s="6" t="inlineStr">
        <is>
          <t>HF496850534</t>
        </is>
      </c>
      <c r="F30" s="6" t="inlineStr">
        <is>
          <t>06/25/2026</t>
        </is>
      </c>
      <c r="G30" s="6" t="inlineStr">
        <is>
          <t>Surest (A United Healthcare Company - Formerly BIND)</t>
        </is>
      </c>
      <c r="H30" s="6" t="inlineStr">
        <is>
          <t>Surest (A United Healthcare Company - Formerly BIND)</t>
        </is>
      </c>
      <c r="I30" s="6" t="inlineStr">
        <is>
          <t>No Payer</t>
        </is>
      </c>
      <c r="J30" s="6" t="inlineStr">
        <is>
          <t>22856</t>
        </is>
      </c>
      <c r="K30" s="4" t="n"/>
      <c r="L30" s="5">
        <f>IF($M30="","",$M30-TODAY())</f>
        <v/>
      </c>
      <c r="M30" s="7" t="n">
        <v>46288</v>
      </c>
      <c r="N30" s="6" t="inlineStr">
        <is>
          <t>90 days</t>
        </is>
      </c>
      <c r="O30" s="6" t="inlineStr">
        <is>
          <t>UHC COMMERCIAL</t>
        </is>
      </c>
      <c r="P30" s="6" t="n"/>
      <c r="Q30" s="6" t="n"/>
      <c r="R30" s="6" t="n"/>
      <c r="S30" s="5" t="n">
        <v>1</v>
      </c>
      <c r="T30" s="8" t="n">
        <v>11163.74</v>
      </c>
      <c r="U30" s="8" t="n">
        <v>0</v>
      </c>
      <c r="V30" s="8" t="n">
        <v>0</v>
      </c>
      <c r="W30" s="6" t="inlineStr">
        <is>
          <t>07/17/2026</t>
        </is>
      </c>
      <c r="X30" s="8" t="n">
        <v>11163.74</v>
      </c>
      <c r="Y30" s="5" t="n">
        <v>44</v>
      </c>
      <c r="Z30" s="6" t="inlineStr">
        <is>
          <t>M4802</t>
        </is>
      </c>
      <c r="AA30" s="6" t="inlineStr">
        <is>
          <t>M5412</t>
        </is>
      </c>
      <c r="AB30" s="6" t="inlineStr">
        <is>
          <t>M9971</t>
        </is>
      </c>
      <c r="AC30" s="6" t="inlineStr">
        <is>
          <t>M50222</t>
        </is>
      </c>
      <c r="AD30" s="5" t="n"/>
      <c r="AE30" s="6" t="inlineStr">
        <is>
          <t>LUKE, TIMOTHY</t>
        </is>
      </c>
      <c r="AF30" s="6" t="inlineStr">
        <is>
          <t>ASAP Surgery Centers North Valley LLC</t>
        </is>
      </c>
      <c r="AG30" s="6" t="inlineStr">
        <is>
          <t>06/30/2026</t>
        </is>
      </c>
      <c r="AH30" s="6" t="inlineStr">
        <is>
          <t>ORTHO</t>
        </is>
      </c>
      <c r="AI30" s="9" t="n"/>
      <c r="AJ30" s="5" t="n">
        <v>908</v>
      </c>
    </row>
    <row r="31">
      <c r="A31" s="2" t="n"/>
      <c r="B31" s="3" t="n"/>
      <c r="C31" s="4" t="n"/>
      <c r="D31" s="5" t="n">
        <v>563854100</v>
      </c>
      <c r="E31" s="6" t="inlineStr">
        <is>
          <t>HF535371970</t>
        </is>
      </c>
      <c r="F31" s="6" t="inlineStr">
        <is>
          <t>06/25/2026</t>
        </is>
      </c>
      <c r="G31" s="6" t="inlineStr">
        <is>
          <t>United Healthcare</t>
        </is>
      </c>
      <c r="H31" s="6" t="inlineStr">
        <is>
          <t>United Healthcare</t>
        </is>
      </c>
      <c r="I31" s="6" t="inlineStr">
        <is>
          <t>No Payer</t>
        </is>
      </c>
      <c r="J31" s="6" t="inlineStr">
        <is>
          <t>63030</t>
        </is>
      </c>
      <c r="K31" s="4" t="n"/>
      <c r="L31" s="5">
        <f>IF($M31="","",$M31-TODAY())</f>
        <v/>
      </c>
      <c r="M31" s="7" t="n">
        <v>46288</v>
      </c>
      <c r="N31" s="6" t="inlineStr">
        <is>
          <t>90 days</t>
        </is>
      </c>
      <c r="O31" s="6" t="inlineStr">
        <is>
          <t>UHC COMMERCIAL</t>
        </is>
      </c>
      <c r="P31" s="6" t="inlineStr">
        <is>
          <t>LT</t>
        </is>
      </c>
      <c r="Q31" s="6" t="n"/>
      <c r="R31" s="6" t="n"/>
      <c r="S31" s="5" t="n">
        <v>1</v>
      </c>
      <c r="T31" s="8" t="n">
        <v>6297.27</v>
      </c>
      <c r="U31" s="8" t="n">
        <v>0</v>
      </c>
      <c r="V31" s="8" t="n">
        <v>0</v>
      </c>
      <c r="W31" s="6" t="n"/>
      <c r="X31" s="8" t="n">
        <v>6297.27</v>
      </c>
      <c r="Y31" s="5" t="n">
        <v>44</v>
      </c>
      <c r="Z31" s="6" t="inlineStr">
        <is>
          <t>M48062</t>
        </is>
      </c>
      <c r="AA31" s="6" t="inlineStr">
        <is>
          <t>M5416</t>
        </is>
      </c>
      <c r="AB31" s="6" t="inlineStr">
        <is>
          <t>M5126</t>
        </is>
      </c>
      <c r="AC31" s="6" t="n"/>
      <c r="AD31" s="5" t="n"/>
      <c r="AE31" s="6" t="inlineStr">
        <is>
          <t>LUKE, TIMOTHY</t>
        </is>
      </c>
      <c r="AF31" s="6" t="inlineStr">
        <is>
          <t>ASAP Surgery Centers North Valley LLC</t>
        </is>
      </c>
      <c r="AG31" s="6" t="inlineStr">
        <is>
          <t>06/30/2026</t>
        </is>
      </c>
      <c r="AH31" s="6" t="inlineStr">
        <is>
          <t>ORTHO</t>
        </is>
      </c>
      <c r="AI31" s="9" t="n"/>
      <c r="AJ31" s="5" t="n">
        <v>672</v>
      </c>
    </row>
    <row r="32">
      <c r="A32" s="2" t="n"/>
      <c r="B32" s="3" t="n"/>
      <c r="C32" s="4" t="n"/>
      <c r="D32" s="5" t="n">
        <v>563939578</v>
      </c>
      <c r="E32" s="6" t="inlineStr">
        <is>
          <t>HF493215593</t>
        </is>
      </c>
      <c r="F32" s="6" t="inlineStr">
        <is>
          <t>06/30/2026</t>
        </is>
      </c>
      <c r="G32" s="6" t="inlineStr">
        <is>
          <t>Blue Cross Blue Shield of Arizona (BCBS AZ)</t>
        </is>
      </c>
      <c r="H32" s="6" t="inlineStr">
        <is>
          <t>Blue Cross Blue Shield of Arizona (BCBS AZ)</t>
        </is>
      </c>
      <c r="I32" s="6" t="inlineStr">
        <is>
          <t>No Payer</t>
        </is>
      </c>
      <c r="J32" s="6" t="inlineStr">
        <is>
          <t>27279</t>
        </is>
      </c>
      <c r="K32" s="4" t="n"/>
      <c r="L32" s="5">
        <f>IF($M32="","",$M32-TODAY())</f>
        <v/>
      </c>
      <c r="M32" s="7" t="n">
        <v>46293</v>
      </c>
      <c r="N32" s="6" t="inlineStr">
        <is>
          <t>90 days</t>
        </is>
      </c>
      <c r="O32" s="6" t="inlineStr">
        <is>
          <t>BCBS</t>
        </is>
      </c>
      <c r="P32" s="6" t="inlineStr">
        <is>
          <t>LT</t>
        </is>
      </c>
      <c r="Q32" s="6" t="n"/>
      <c r="R32" s="6" t="n"/>
      <c r="S32" s="5" t="n">
        <v>1</v>
      </c>
      <c r="T32" s="8" t="n">
        <v>5614.63</v>
      </c>
      <c r="U32" s="8" t="n">
        <v>0</v>
      </c>
      <c r="V32" s="8" t="n">
        <v>0</v>
      </c>
      <c r="W32" s="6" t="n"/>
      <c r="X32" s="8" t="n">
        <v>5614.63</v>
      </c>
      <c r="Y32" s="5" t="n">
        <v>39</v>
      </c>
      <c r="Z32" s="6" t="inlineStr">
        <is>
          <t>M461</t>
        </is>
      </c>
      <c r="AA32" s="6" t="n"/>
      <c r="AB32" s="6" t="n"/>
      <c r="AC32" s="6" t="n"/>
      <c r="AD32" s="5" t="n"/>
      <c r="AE32" s="6" t="inlineStr">
        <is>
          <t>KRAUSE, JEFFREY</t>
        </is>
      </c>
      <c r="AF32" s="6" t="inlineStr">
        <is>
          <t>ASAP Surgery Centers North Valley LLC</t>
        </is>
      </c>
      <c r="AG32" s="6" t="inlineStr">
        <is>
          <t>07/08/2026</t>
        </is>
      </c>
      <c r="AH32" s="6" t="inlineStr">
        <is>
          <t>ORTHO</t>
        </is>
      </c>
      <c r="AI32" s="9" t="inlineStr">
        <is>
          <t>BCBS AZ dropped from 365 to 90 days on 01/01/2026. All dates of service here are 2026, so 90 days applies.</t>
        </is>
      </c>
      <c r="AJ32" s="5" t="n">
        <v>426</v>
      </c>
    </row>
    <row r="33">
      <c r="A33" s="2" t="n"/>
      <c r="B33" s="3" t="n"/>
      <c r="C33" s="4" t="n"/>
      <c r="D33" s="5" t="n">
        <v>563941508</v>
      </c>
      <c r="E33" s="6" t="inlineStr">
        <is>
          <t>HF510131965</t>
        </is>
      </c>
      <c r="F33" s="6" t="inlineStr">
        <is>
          <t>06/30/2026</t>
        </is>
      </c>
      <c r="G33" s="6" t="inlineStr">
        <is>
          <t>HealthSpring Medicare Advantage</t>
        </is>
      </c>
      <c r="H33" s="6" t="inlineStr">
        <is>
          <t>HealthSpring Medicare Advantage</t>
        </is>
      </c>
      <c r="I33" s="6" t="inlineStr">
        <is>
          <t>No Payer</t>
        </is>
      </c>
      <c r="J33" s="6" t="inlineStr">
        <is>
          <t>63685</t>
        </is>
      </c>
      <c r="K33" s="4" t="n"/>
      <c r="L33" s="5">
        <f>IF($M33="","",$M33-TODAY())</f>
        <v/>
      </c>
      <c r="M33" s="7" t="n">
        <v>46293</v>
      </c>
      <c r="N33" s="6" t="inlineStr">
        <is>
          <t>90 days</t>
        </is>
      </c>
      <c r="O33" s="6" t="inlineStr">
        <is>
          <t>CIGNA / CIGNA MEDICARE</t>
        </is>
      </c>
      <c r="P33" s="6" t="n"/>
      <c r="Q33" s="6" t="n"/>
      <c r="R33" s="6" t="n"/>
      <c r="S33" s="5" t="n">
        <v>1</v>
      </c>
      <c r="T33" s="8" t="n">
        <v>2493.33</v>
      </c>
      <c r="U33" s="8" t="n">
        <v>0</v>
      </c>
      <c r="V33" s="8" t="n">
        <v>0</v>
      </c>
      <c r="W33" s="6" t="inlineStr">
        <is>
          <t>07/20/2026</t>
        </is>
      </c>
      <c r="X33" s="8" t="n">
        <v>2493.33</v>
      </c>
      <c r="Y33" s="5" t="n">
        <v>39</v>
      </c>
      <c r="Z33" s="6" t="inlineStr">
        <is>
          <t>M961</t>
        </is>
      </c>
      <c r="AA33" s="6" t="inlineStr">
        <is>
          <t>M5416</t>
        </is>
      </c>
      <c r="AB33" s="6" t="n"/>
      <c r="AC33" s="6" t="n"/>
      <c r="AD33" s="5" t="n"/>
      <c r="AE33" s="6" t="inlineStr">
        <is>
          <t>KALLGREN, MARK</t>
        </is>
      </c>
      <c r="AF33" s="6" t="inlineStr">
        <is>
          <t>Premier Endoscopy Center, LLC</t>
        </is>
      </c>
      <c r="AG33" s="6" t="inlineStr">
        <is>
          <t>07/10/2026</t>
        </is>
      </c>
      <c r="AH33" s="6" t="inlineStr">
        <is>
          <t>ORTHO</t>
        </is>
      </c>
      <c r="AI33" s="9" t="n"/>
      <c r="AJ33" s="5" t="n">
        <v>457</v>
      </c>
    </row>
    <row r="34">
      <c r="A34" s="2" t="n"/>
      <c r="B34" s="3" t="n"/>
      <c r="C34" s="4" t="n"/>
      <c r="D34" s="5" t="n">
        <v>564121445</v>
      </c>
      <c r="E34" s="6" t="inlineStr">
        <is>
          <t>HF330426606</t>
        </is>
      </c>
      <c r="F34" s="6" t="inlineStr">
        <is>
          <t>06/30/2026</t>
        </is>
      </c>
      <c r="G34" s="6" t="inlineStr">
        <is>
          <t>Optum Care Medical Network of Arizona, Utah, &amp; Washington (LifePrint)</t>
        </is>
      </c>
      <c r="H34" s="6" t="inlineStr">
        <is>
          <t>Optum Care Medical Network of Arizona, Utah, &amp; Washington (LifePrint)</t>
        </is>
      </c>
      <c r="I34" s="6" t="inlineStr">
        <is>
          <t>No Payer</t>
        </is>
      </c>
      <c r="J34" s="6" t="inlineStr">
        <is>
          <t>27279</t>
        </is>
      </c>
      <c r="K34" s="4" t="n"/>
      <c r="L34" s="5">
        <f>IF($M34="","",$M34-TODAY())</f>
        <v/>
      </c>
      <c r="M34" s="7" t="n">
        <v>46293</v>
      </c>
      <c r="N34" s="6" t="inlineStr">
        <is>
          <t>90 days</t>
        </is>
      </c>
      <c r="O34" s="6" t="inlineStr">
        <is>
          <t>OPTUM</t>
        </is>
      </c>
      <c r="P34" s="6" t="inlineStr">
        <is>
          <t>LT</t>
        </is>
      </c>
      <c r="Q34" s="6" t="n"/>
      <c r="R34" s="6" t="n"/>
      <c r="S34" s="5" t="n">
        <v>1</v>
      </c>
      <c r="T34" s="8" t="n">
        <v>5614.63</v>
      </c>
      <c r="U34" s="8" t="n">
        <v>0</v>
      </c>
      <c r="V34" s="8" t="n">
        <v>0</v>
      </c>
      <c r="W34" s="6" t="n"/>
      <c r="X34" s="8" t="n">
        <v>5614.63</v>
      </c>
      <c r="Y34" s="5" t="n">
        <v>39</v>
      </c>
      <c r="Z34" s="6" t="inlineStr">
        <is>
          <t>M461</t>
        </is>
      </c>
      <c r="AA34" s="6" t="n"/>
      <c r="AB34" s="6" t="n"/>
      <c r="AC34" s="6" t="n"/>
      <c r="AD34" s="5" t="n"/>
      <c r="AE34" s="6" t="inlineStr">
        <is>
          <t>KRAUSE, JEFFREY</t>
        </is>
      </c>
      <c r="AF34" s="6" t="inlineStr">
        <is>
          <t>ASAP Surgery Centers North Valley LLC</t>
        </is>
      </c>
      <c r="AG34" s="6" t="inlineStr">
        <is>
          <t>07/08/2026</t>
        </is>
      </c>
      <c r="AH34" s="6" t="inlineStr">
        <is>
          <t>ORTHO</t>
        </is>
      </c>
      <c r="AI34" s="9" t="n"/>
      <c r="AJ34" s="5" t="n">
        <v>914</v>
      </c>
    </row>
    <row r="35">
      <c r="A35" s="2" t="inlineStr">
        <is>
          <t>Finalized</t>
        </is>
      </c>
      <c r="B35" s="3" t="n"/>
      <c r="C35" s="4" t="n"/>
      <c r="D35" s="5" t="n">
        <v>561704073</v>
      </c>
      <c r="E35" s="6" t="inlineStr">
        <is>
          <t>HF545433577</t>
        </is>
      </c>
      <c r="F35" s="6" t="inlineStr">
        <is>
          <t>06/09/2026</t>
        </is>
      </c>
      <c r="G35" s="6" t="inlineStr">
        <is>
          <t>Medicare Part B Arizona *</t>
        </is>
      </c>
      <c r="H35" s="6" t="inlineStr">
        <is>
          <t>Aetna Legacy</t>
        </is>
      </c>
      <c r="I35" s="6" t="inlineStr">
        <is>
          <t>Medicare Part B Arizona *</t>
        </is>
      </c>
      <c r="J35" s="6" t="inlineStr">
        <is>
          <t>63685</t>
        </is>
      </c>
      <c r="K35" s="4" t="n"/>
      <c r="L35" s="5">
        <f>IF($M35="","",$M35-TODAY())</f>
        <v/>
      </c>
      <c r="M35" s="7" t="n">
        <v>46302</v>
      </c>
      <c r="N35" s="6" t="inlineStr">
        <is>
          <t>120 days</t>
        </is>
      </c>
      <c r="O35" s="6" t="inlineStr">
        <is>
          <t>AETNA</t>
        </is>
      </c>
      <c r="P35" s="6" t="n"/>
      <c r="Q35" s="6" t="n"/>
      <c r="R35" s="6" t="n"/>
      <c r="S35" s="5" t="n">
        <v>1</v>
      </c>
      <c r="T35" s="8" t="n">
        <v>2493.33</v>
      </c>
      <c r="U35" s="8" t="n">
        <v>2418.74</v>
      </c>
      <c r="V35" s="8" t="n">
        <v>67.13</v>
      </c>
      <c r="W35" s="6" t="inlineStr">
        <is>
          <t>07/03/2026</t>
        </is>
      </c>
      <c r="X35" s="8" t="n">
        <v>7.46</v>
      </c>
      <c r="Y35" s="5" t="n">
        <v>60</v>
      </c>
      <c r="Z35" s="6" t="inlineStr">
        <is>
          <t>M961</t>
        </is>
      </c>
      <c r="AA35" s="6" t="inlineStr">
        <is>
          <t>G894</t>
        </is>
      </c>
      <c r="AB35" s="6" t="n"/>
      <c r="AC35" s="6" t="n"/>
      <c r="AD35" s="5" t="n">
        <v>565633590</v>
      </c>
      <c r="AE35" s="6" t="inlineStr">
        <is>
          <t>LEATHEM, JARRETT</t>
        </is>
      </c>
      <c r="AF35" s="6" t="inlineStr">
        <is>
          <t>Premier Endoscopy Center, LLC</t>
        </is>
      </c>
      <c r="AG35" s="6" t="inlineStr">
        <is>
          <t>06/11/2026</t>
        </is>
      </c>
      <c r="AH35" s="6" t="inlineStr">
        <is>
          <t>ORTHO</t>
        </is>
      </c>
      <c r="AI35" s="9" t="inlineStr">
        <is>
          <t>120 days is per our contract rather than a published Aetna policy.</t>
        </is>
      </c>
      <c r="AJ35" s="5" t="n">
        <v>102</v>
      </c>
    </row>
    <row r="36">
      <c r="A36" s="2" t="n"/>
      <c r="B36" s="3" t="n"/>
      <c r="C36" s="4" t="n"/>
      <c r="D36" s="5" t="n">
        <v>563836350</v>
      </c>
      <c r="E36" s="6" t="inlineStr">
        <is>
          <t>HF429349260</t>
        </is>
      </c>
      <c r="F36" s="6" t="inlineStr">
        <is>
          <t>06/12/2026</t>
        </is>
      </c>
      <c r="G36" s="6" t="inlineStr">
        <is>
          <t>Arizona Complete Health (Centene)</t>
        </is>
      </c>
      <c r="H36" s="6" t="inlineStr">
        <is>
          <t>Arizona Complete Health (Centene)</t>
        </is>
      </c>
      <c r="I36" s="6" t="inlineStr">
        <is>
          <t>No Payer</t>
        </is>
      </c>
      <c r="J36" s="6" t="inlineStr">
        <is>
          <t>22853</t>
        </is>
      </c>
      <c r="K36" s="4" t="n"/>
      <c r="L36" s="5">
        <f>IF($M36="","",$M36-TODAY())</f>
        <v/>
      </c>
      <c r="M36" s="7" t="n">
        <v>46305</v>
      </c>
      <c r="N36" s="6" t="inlineStr">
        <is>
          <t>120 days</t>
        </is>
      </c>
      <c r="O36" s="6" t="inlineStr">
        <is>
          <t>AZ COMPLETE</t>
        </is>
      </c>
      <c r="P36" s="6" t="n"/>
      <c r="Q36" s="6" t="n"/>
      <c r="R36" s="6" t="n"/>
      <c r="S36" s="5" t="n">
        <v>1</v>
      </c>
      <c r="T36" s="8" t="n">
        <v>1758.12</v>
      </c>
      <c r="U36" s="8" t="n">
        <v>0</v>
      </c>
      <c r="V36" s="8" t="n">
        <v>0</v>
      </c>
      <c r="W36" s="6" t="inlineStr">
        <is>
          <t>07/15/2026</t>
        </is>
      </c>
      <c r="X36" s="8" t="n">
        <v>1758.12</v>
      </c>
      <c r="Y36" s="5" t="n">
        <v>57</v>
      </c>
      <c r="Z36" s="6" t="inlineStr">
        <is>
          <t>M5412</t>
        </is>
      </c>
      <c r="AA36" s="6" t="inlineStr">
        <is>
          <t>M4802</t>
        </is>
      </c>
      <c r="AB36" s="6" t="n"/>
      <c r="AC36" s="6" t="n"/>
      <c r="AD36" s="5" t="n"/>
      <c r="AE36" s="6" t="inlineStr">
        <is>
          <t>MAYURAN, VIKRAM</t>
        </is>
      </c>
      <c r="AF36" s="6" t="inlineStr">
        <is>
          <t>Banner Desert Medical Center</t>
        </is>
      </c>
      <c r="AG36" s="6" t="inlineStr">
        <is>
          <t>06/30/2026</t>
        </is>
      </c>
      <c r="AH36" s="6" t="inlineStr">
        <is>
          <t>ORTHO</t>
        </is>
      </c>
      <c r="AI36" s="9" t="n"/>
      <c r="AJ36" s="5" t="n">
        <v>581</v>
      </c>
    </row>
    <row r="37">
      <c r="A37" s="2" t="n"/>
      <c r="B37" s="3" t="n"/>
      <c r="C37" s="4" t="n"/>
      <c r="D37" s="5" t="n">
        <v>564511467</v>
      </c>
      <c r="E37" s="6" t="inlineStr">
        <is>
          <t>HF548912465</t>
        </is>
      </c>
      <c r="F37" s="6" t="inlineStr">
        <is>
          <t>06/19/2026</t>
        </is>
      </c>
      <c r="G37" s="6" t="inlineStr">
        <is>
          <t>Banner Medicare Advantage Prime HMO (BMAH)</t>
        </is>
      </c>
      <c r="H37" s="6" t="inlineStr">
        <is>
          <t>Banner Medicare Advantage Prime HMO (BMAH)</t>
        </is>
      </c>
      <c r="I37" s="6" t="inlineStr">
        <is>
          <t>No Payer</t>
        </is>
      </c>
      <c r="J37" s="6" t="inlineStr">
        <is>
          <t>63048</t>
        </is>
      </c>
      <c r="K37" s="4" t="n"/>
      <c r="L37" s="5">
        <f>IF($M37="","",$M37-TODAY())</f>
        <v/>
      </c>
      <c r="M37" s="7" t="n">
        <v>46312</v>
      </c>
      <c r="N37" s="6" t="inlineStr">
        <is>
          <t>120 days</t>
        </is>
      </c>
      <c r="O37" s="6" t="inlineStr">
        <is>
          <t>BANNER MEDICARE ADVANTAGE</t>
        </is>
      </c>
      <c r="P37" s="6" t="n"/>
      <c r="Q37" s="6" t="n"/>
      <c r="R37" s="6" t="n"/>
      <c r="S37" s="5" t="n">
        <v>1</v>
      </c>
      <c r="T37" s="8" t="n">
        <v>1433.32</v>
      </c>
      <c r="U37" s="8" t="n">
        <v>0</v>
      </c>
      <c r="V37" s="8" t="n">
        <v>0</v>
      </c>
      <c r="W37" s="6" t="n"/>
      <c r="X37" s="8" t="n">
        <v>1433.32</v>
      </c>
      <c r="Y37" s="5" t="n">
        <v>50</v>
      </c>
      <c r="Z37" s="6" t="inlineStr">
        <is>
          <t>M48061</t>
        </is>
      </c>
      <c r="AA37" s="6" t="inlineStr">
        <is>
          <t>M5417</t>
        </is>
      </c>
      <c r="AB37" s="6" t="inlineStr">
        <is>
          <t>M5450</t>
        </is>
      </c>
      <c r="AC37" s="6" t="n"/>
      <c r="AD37" s="5" t="n"/>
      <c r="AE37" s="6" t="inlineStr">
        <is>
          <t>MCCUNNIFF, PETER</t>
        </is>
      </c>
      <c r="AF37" s="6" t="inlineStr">
        <is>
          <t>Honor Health Deer Valley Medical Center</t>
        </is>
      </c>
      <c r="AG37" s="6" t="inlineStr">
        <is>
          <t>07/07/2026</t>
        </is>
      </c>
      <c r="AH37" s="6" t="inlineStr">
        <is>
          <t>ORTHO</t>
        </is>
      </c>
      <c r="AI37" s="9" t="n"/>
      <c r="AJ37" s="5" t="n">
        <v>565</v>
      </c>
    </row>
    <row r="38">
      <c r="A38" s="2" t="n"/>
      <c r="B38" s="3" t="n"/>
      <c r="C38" s="4" t="n"/>
      <c r="D38" s="5" t="n">
        <v>564511467</v>
      </c>
      <c r="E38" s="6" t="inlineStr">
        <is>
          <t>HF548912465</t>
        </is>
      </c>
      <c r="F38" s="6" t="inlineStr">
        <is>
          <t>06/19/2026</t>
        </is>
      </c>
      <c r="G38" s="6" t="inlineStr">
        <is>
          <t>Banner Medicare Advantage Prime HMO (BMAH)</t>
        </is>
      </c>
      <c r="H38" s="6" t="inlineStr">
        <is>
          <t>Banner Medicare Advantage Prime HMO (BMAH)</t>
        </is>
      </c>
      <c r="I38" s="6" t="inlineStr">
        <is>
          <t>No Payer</t>
        </is>
      </c>
      <c r="J38" s="6" t="inlineStr">
        <is>
          <t>63047</t>
        </is>
      </c>
      <c r="K38" s="4" t="n"/>
      <c r="L38" s="5">
        <f>IF($M38="","",$M38-TODAY())</f>
        <v/>
      </c>
      <c r="M38" s="7" t="n">
        <v>46312</v>
      </c>
      <c r="N38" s="6" t="inlineStr">
        <is>
          <t>120 days</t>
        </is>
      </c>
      <c r="O38" s="6" t="inlineStr">
        <is>
          <t>BANNER MEDICARE ADVANTAGE</t>
        </is>
      </c>
      <c r="P38" s="6" t="n"/>
      <c r="Q38" s="6" t="n"/>
      <c r="R38" s="6" t="n"/>
      <c r="S38" s="5" t="n">
        <v>1</v>
      </c>
      <c r="T38" s="8" t="n">
        <v>7623.07</v>
      </c>
      <c r="U38" s="8" t="n">
        <v>0</v>
      </c>
      <c r="V38" s="8" t="n">
        <v>0</v>
      </c>
      <c r="W38" s="6" t="n"/>
      <c r="X38" s="8" t="n">
        <v>7623.07</v>
      </c>
      <c r="Y38" s="5" t="n">
        <v>50</v>
      </c>
      <c r="Z38" s="6" t="inlineStr">
        <is>
          <t>M48061</t>
        </is>
      </c>
      <c r="AA38" s="6" t="inlineStr">
        <is>
          <t>M5416</t>
        </is>
      </c>
      <c r="AB38" s="6" t="inlineStr">
        <is>
          <t>M5450</t>
        </is>
      </c>
      <c r="AC38" s="6" t="n"/>
      <c r="AD38" s="5" t="n"/>
      <c r="AE38" s="6" t="inlineStr">
        <is>
          <t>MCCUNNIFF, PETER</t>
        </is>
      </c>
      <c r="AF38" s="6" t="inlineStr">
        <is>
          <t>Honor Health Deer Valley Medical Center</t>
        </is>
      </c>
      <c r="AG38" s="6" t="inlineStr">
        <is>
          <t>07/07/2026</t>
        </is>
      </c>
      <c r="AH38" s="6" t="inlineStr">
        <is>
          <t>ORTHO</t>
        </is>
      </c>
      <c r="AI38" s="9" t="n"/>
      <c r="AJ38" s="5" t="n">
        <v>566</v>
      </c>
    </row>
    <row r="39">
      <c r="A39" s="2" t="n"/>
      <c r="B39" s="3" t="n"/>
      <c r="C39" s="4" t="n"/>
      <c r="D39" s="5" t="n">
        <v>563945778</v>
      </c>
      <c r="E39" s="6" t="inlineStr">
        <is>
          <t>HF554708597</t>
        </is>
      </c>
      <c r="F39" s="6" t="inlineStr">
        <is>
          <t>06/20/2026</t>
        </is>
      </c>
      <c r="G39" s="6" t="inlineStr">
        <is>
          <t>Aetna Legacy</t>
        </is>
      </c>
      <c r="H39" s="6" t="inlineStr">
        <is>
          <t>Aetna Legacy</t>
        </is>
      </c>
      <c r="I39" s="6" t="inlineStr">
        <is>
          <t>No Payer</t>
        </is>
      </c>
      <c r="J39" s="6" t="inlineStr">
        <is>
          <t>63047</t>
        </is>
      </c>
      <c r="K39" s="4" t="n"/>
      <c r="L39" s="5">
        <f>IF($M39="","",$M39-TODAY())</f>
        <v/>
      </c>
      <c r="M39" s="7" t="n">
        <v>46313</v>
      </c>
      <c r="N39" s="6" t="inlineStr">
        <is>
          <t>120 days</t>
        </is>
      </c>
      <c r="O39" s="6" t="inlineStr">
        <is>
          <t>AETNA</t>
        </is>
      </c>
      <c r="P39" s="6" t="inlineStr">
        <is>
          <t>LT</t>
        </is>
      </c>
      <c r="Q39" s="6" t="n"/>
      <c r="R39" s="6" t="n"/>
      <c r="S39" s="5" t="n">
        <v>1</v>
      </c>
      <c r="T39" s="8" t="n">
        <v>7623.07</v>
      </c>
      <c r="U39" s="8" t="n">
        <v>0</v>
      </c>
      <c r="V39" s="8" t="n">
        <v>0</v>
      </c>
      <c r="W39" s="6" t="inlineStr">
        <is>
          <t>07/14/2026</t>
        </is>
      </c>
      <c r="X39" s="8" t="n">
        <v>7623.07</v>
      </c>
      <c r="Y39" s="5" t="n">
        <v>49</v>
      </c>
      <c r="Z39" s="6" t="inlineStr">
        <is>
          <t>M48062</t>
        </is>
      </c>
      <c r="AA39" s="6" t="n"/>
      <c r="AB39" s="6" t="n"/>
      <c r="AC39" s="6" t="n"/>
      <c r="AD39" s="5" t="n"/>
      <c r="AE39" s="6" t="inlineStr">
        <is>
          <t>O'NEIL, ROY</t>
        </is>
      </c>
      <c r="AF39" s="6" t="inlineStr">
        <is>
          <t>ASAP Surgery Centers North Valley LLC</t>
        </is>
      </c>
      <c r="AG39" s="6" t="inlineStr">
        <is>
          <t>07/02/2026</t>
        </is>
      </c>
      <c r="AH39" s="6" t="inlineStr">
        <is>
          <t>ORTHO</t>
        </is>
      </c>
      <c r="AI39" s="9" t="inlineStr">
        <is>
          <t>120 days is per our contract rather than a published Aetna policy.</t>
        </is>
      </c>
      <c r="AJ39" s="5" t="n">
        <v>872</v>
      </c>
    </row>
    <row r="40">
      <c r="A40" s="2" t="n"/>
      <c r="B40" s="3" t="n"/>
      <c r="C40" s="4" t="n"/>
      <c r="D40" s="5" t="n">
        <v>563832712</v>
      </c>
      <c r="E40" s="6" t="inlineStr">
        <is>
          <t>HF537995499</t>
        </is>
      </c>
      <c r="F40" s="6" t="inlineStr">
        <is>
          <t>06/22/2026</t>
        </is>
      </c>
      <c r="G40" s="6" t="inlineStr">
        <is>
          <t>Aetna Legacy</t>
        </is>
      </c>
      <c r="H40" s="6" t="inlineStr">
        <is>
          <t>Aetna Legacy</t>
        </is>
      </c>
      <c r="I40" s="6" t="inlineStr">
        <is>
          <t>No Payer</t>
        </is>
      </c>
      <c r="J40" s="6" t="inlineStr">
        <is>
          <t>22858</t>
        </is>
      </c>
      <c r="K40" s="4" t="n"/>
      <c r="L40" s="5">
        <f>IF($M40="","",$M40-TODAY())</f>
        <v/>
      </c>
      <c r="M40" s="7" t="n">
        <v>46315</v>
      </c>
      <c r="N40" s="6" t="inlineStr">
        <is>
          <t>120 days</t>
        </is>
      </c>
      <c r="O40" s="6" t="inlineStr">
        <is>
          <t>AETNA</t>
        </is>
      </c>
      <c r="P40" s="6" t="n"/>
      <c r="Q40" s="6" t="n"/>
      <c r="R40" s="6" t="n"/>
      <c r="S40" s="5" t="n">
        <v>1</v>
      </c>
      <c r="T40" s="8" t="n">
        <v>3450.93</v>
      </c>
      <c r="U40" s="8" t="n">
        <v>0</v>
      </c>
      <c r="V40" s="8" t="n">
        <v>0</v>
      </c>
      <c r="W40" s="6" t="n"/>
      <c r="X40" s="8" t="n">
        <v>3450.93</v>
      </c>
      <c r="Y40" s="5" t="n">
        <v>47</v>
      </c>
      <c r="Z40" s="6" t="inlineStr">
        <is>
          <t>M4802</t>
        </is>
      </c>
      <c r="AA40" s="6" t="inlineStr">
        <is>
          <t>M4722</t>
        </is>
      </c>
      <c r="AB40" s="6" t="inlineStr">
        <is>
          <t>M9971</t>
        </is>
      </c>
      <c r="AC40" s="6" t="inlineStr">
        <is>
          <t>M4692</t>
        </is>
      </c>
      <c r="AD40" s="5" t="n"/>
      <c r="AE40" s="6" t="inlineStr">
        <is>
          <t>LUKE, TIMOTHY</t>
        </is>
      </c>
      <c r="AF40" s="6" t="inlineStr">
        <is>
          <t>ASAP Surgery Centers North Valley LLC</t>
        </is>
      </c>
      <c r="AG40" s="6" t="inlineStr">
        <is>
          <t>06/30/2026</t>
        </is>
      </c>
      <c r="AH40" s="6" t="inlineStr">
        <is>
          <t>ORTHO</t>
        </is>
      </c>
      <c r="AI40" s="9" t="inlineStr">
        <is>
          <t>120 days is per our contract rather than a published Aetna policy.</t>
        </is>
      </c>
      <c r="AJ40" s="5" t="n">
        <v>455</v>
      </c>
    </row>
    <row r="41">
      <c r="A41" s="2" t="n"/>
      <c r="B41" s="3" t="n"/>
      <c r="C41" s="4" t="n"/>
      <c r="D41" s="5" t="n">
        <v>563832712</v>
      </c>
      <c r="E41" s="6" t="inlineStr">
        <is>
          <t>HF537995499</t>
        </is>
      </c>
      <c r="F41" s="6" t="inlineStr">
        <is>
          <t>06/22/2026</t>
        </is>
      </c>
      <c r="G41" s="6" t="inlineStr">
        <is>
          <t>Aetna Legacy</t>
        </is>
      </c>
      <c r="H41" s="6" t="inlineStr">
        <is>
          <t>Aetna Legacy</t>
        </is>
      </c>
      <c r="I41" s="6" t="inlineStr">
        <is>
          <t>No Payer</t>
        </is>
      </c>
      <c r="J41" s="6" t="inlineStr">
        <is>
          <t>22856</t>
        </is>
      </c>
      <c r="K41" s="4" t="n"/>
      <c r="L41" s="5">
        <f>IF($M41="","",$M41-TODAY())</f>
        <v/>
      </c>
      <c r="M41" s="7" t="n">
        <v>46315</v>
      </c>
      <c r="N41" s="6" t="inlineStr">
        <is>
          <t>120 days</t>
        </is>
      </c>
      <c r="O41" s="6" t="inlineStr">
        <is>
          <t>AETNA</t>
        </is>
      </c>
      <c r="P41" s="6" t="n"/>
      <c r="Q41" s="6" t="n"/>
      <c r="R41" s="6" t="n"/>
      <c r="S41" s="5" t="n">
        <v>1</v>
      </c>
      <c r="T41" s="8" t="n">
        <v>11163.74</v>
      </c>
      <c r="U41" s="8" t="n">
        <v>0</v>
      </c>
      <c r="V41" s="8" t="n">
        <v>0</v>
      </c>
      <c r="W41" s="6" t="n"/>
      <c r="X41" s="8" t="n">
        <v>11163.74</v>
      </c>
      <c r="Y41" s="5" t="n">
        <v>47</v>
      </c>
      <c r="Z41" s="6" t="inlineStr">
        <is>
          <t>M4802</t>
        </is>
      </c>
      <c r="AA41" s="6" t="inlineStr">
        <is>
          <t>M4722</t>
        </is>
      </c>
      <c r="AB41" s="6" t="inlineStr">
        <is>
          <t>M9971</t>
        </is>
      </c>
      <c r="AC41" s="6" t="inlineStr">
        <is>
          <t>M4692</t>
        </is>
      </c>
      <c r="AD41" s="5" t="n"/>
      <c r="AE41" s="6" t="inlineStr">
        <is>
          <t>LUKE, TIMOTHY</t>
        </is>
      </c>
      <c r="AF41" s="6" t="inlineStr">
        <is>
          <t>ASAP Surgery Centers North Valley LLC</t>
        </is>
      </c>
      <c r="AG41" s="6" t="inlineStr">
        <is>
          <t>06/30/2026</t>
        </is>
      </c>
      <c r="AH41" s="6" t="inlineStr">
        <is>
          <t>ORTHO</t>
        </is>
      </c>
      <c r="AI41" s="9" t="inlineStr">
        <is>
          <t>120 days is per our contract rather than a published Aetna policy.</t>
        </is>
      </c>
      <c r="AJ41" s="5" t="n">
        <v>456</v>
      </c>
    </row>
    <row r="42">
      <c r="A42" s="2" t="n"/>
      <c r="B42" s="3" t="n"/>
      <c r="C42" s="4" t="n"/>
      <c r="D42" s="5" t="n">
        <v>563845926</v>
      </c>
      <c r="E42" s="6" t="inlineStr">
        <is>
          <t>HF495192860</t>
        </is>
      </c>
      <c r="F42" s="6" t="inlineStr">
        <is>
          <t>06/25/2026</t>
        </is>
      </c>
      <c r="G42" s="6" t="inlineStr">
        <is>
          <t>AMBETTER</t>
        </is>
      </c>
      <c r="H42" s="6" t="inlineStr">
        <is>
          <t>AMBETTER</t>
        </is>
      </c>
      <c r="I42" s="6" t="inlineStr">
        <is>
          <t>No Payer</t>
        </is>
      </c>
      <c r="J42" s="6" t="inlineStr">
        <is>
          <t>22856</t>
        </is>
      </c>
      <c r="K42" s="4" t="n"/>
      <c r="L42" s="5">
        <f>IF($M42="","",$M42-TODAY())</f>
        <v/>
      </c>
      <c r="M42" s="7" t="n">
        <v>46318</v>
      </c>
      <c r="N42" s="6" t="inlineStr">
        <is>
          <t>120 days</t>
        </is>
      </c>
      <c r="O42" s="6" t="inlineStr">
        <is>
          <t>AMBETTER</t>
        </is>
      </c>
      <c r="P42" s="6" t="n"/>
      <c r="Q42" s="6" t="n"/>
      <c r="R42" s="6" t="n"/>
      <c r="S42" s="5" t="n">
        <v>1</v>
      </c>
      <c r="T42" s="8" t="n">
        <v>11163.74</v>
      </c>
      <c r="U42" s="8" t="n">
        <v>0</v>
      </c>
      <c r="V42" s="8" t="n">
        <v>0</v>
      </c>
      <c r="W42" s="6" t="n"/>
      <c r="X42" s="8" t="n">
        <v>11163.74</v>
      </c>
      <c r="Y42" s="5" t="n">
        <v>44</v>
      </c>
      <c r="Z42" s="6" t="inlineStr">
        <is>
          <t>M4802</t>
        </is>
      </c>
      <c r="AA42" s="6" t="inlineStr">
        <is>
          <t>M5412</t>
        </is>
      </c>
      <c r="AB42" s="6" t="inlineStr">
        <is>
          <t>M9971</t>
        </is>
      </c>
      <c r="AC42" s="6" t="inlineStr">
        <is>
          <t>M50222</t>
        </is>
      </c>
      <c r="AD42" s="5" t="n"/>
      <c r="AE42" s="6" t="inlineStr">
        <is>
          <t>LUKE, TIMOTHY</t>
        </is>
      </c>
      <c r="AF42" s="6" t="inlineStr">
        <is>
          <t>ASAP Surgery Centers North Valley LLC</t>
        </is>
      </c>
      <c r="AG42" s="6" t="inlineStr">
        <is>
          <t>06/30/2026</t>
        </is>
      </c>
      <c r="AH42" s="6" t="inlineStr">
        <is>
          <t>ORTHO</t>
        </is>
      </c>
      <c r="AI42" s="9" t="n"/>
      <c r="AJ42" s="5" t="n">
        <v>525</v>
      </c>
    </row>
    <row r="43">
      <c r="A43" s="2" t="n"/>
      <c r="B43" s="3" t="n"/>
      <c r="C43" s="4" t="n"/>
      <c r="D43" s="5" t="n">
        <v>563845926</v>
      </c>
      <c r="E43" s="6" t="inlineStr">
        <is>
          <t>HF495192860</t>
        </is>
      </c>
      <c r="F43" s="6" t="inlineStr">
        <is>
          <t>06/25/2026</t>
        </is>
      </c>
      <c r="G43" s="6" t="inlineStr">
        <is>
          <t>AMBETTER</t>
        </is>
      </c>
      <c r="H43" s="6" t="inlineStr">
        <is>
          <t>AMBETTER</t>
        </is>
      </c>
      <c r="I43" s="6" t="inlineStr">
        <is>
          <t>No Payer</t>
        </is>
      </c>
      <c r="J43" s="6" t="inlineStr">
        <is>
          <t>22858</t>
        </is>
      </c>
      <c r="K43" s="4" t="n"/>
      <c r="L43" s="5">
        <f>IF($M43="","",$M43-TODAY())</f>
        <v/>
      </c>
      <c r="M43" s="7" t="n">
        <v>46318</v>
      </c>
      <c r="N43" s="6" t="inlineStr">
        <is>
          <t>120 days</t>
        </is>
      </c>
      <c r="O43" s="6" t="inlineStr">
        <is>
          <t>AMBETTER</t>
        </is>
      </c>
      <c r="P43" s="6" t="n"/>
      <c r="Q43" s="6" t="n"/>
      <c r="R43" s="6" t="n"/>
      <c r="S43" s="5" t="n">
        <v>1</v>
      </c>
      <c r="T43" s="8" t="n">
        <v>3450.93</v>
      </c>
      <c r="U43" s="8" t="n">
        <v>0</v>
      </c>
      <c r="V43" s="8" t="n">
        <v>0</v>
      </c>
      <c r="W43" s="6" t="n"/>
      <c r="X43" s="8" t="n">
        <v>3450.93</v>
      </c>
      <c r="Y43" s="5" t="n">
        <v>44</v>
      </c>
      <c r="Z43" s="6" t="inlineStr">
        <is>
          <t>M4802</t>
        </is>
      </c>
      <c r="AA43" s="6" t="inlineStr">
        <is>
          <t>M5412</t>
        </is>
      </c>
      <c r="AB43" s="6" t="inlineStr">
        <is>
          <t>M9971</t>
        </is>
      </c>
      <c r="AC43" s="6" t="inlineStr">
        <is>
          <t>M50322</t>
        </is>
      </c>
      <c r="AD43" s="5" t="n"/>
      <c r="AE43" s="6" t="inlineStr">
        <is>
          <t>LUKE, TIMOTHY</t>
        </is>
      </c>
      <c r="AF43" s="6" t="inlineStr">
        <is>
          <t>ASAP Surgery Centers North Valley LLC</t>
        </is>
      </c>
      <c r="AG43" s="6" t="inlineStr">
        <is>
          <t>06/30/2026</t>
        </is>
      </c>
      <c r="AH43" s="6" t="inlineStr">
        <is>
          <t>ORTHO</t>
        </is>
      </c>
      <c r="AI43" s="9" t="n"/>
      <c r="AJ43" s="5" t="n">
        <v>526</v>
      </c>
    </row>
    <row r="44">
      <c r="A44" s="2" t="n"/>
      <c r="B44" s="3" t="n"/>
      <c r="C44" s="4" t="n"/>
      <c r="D44" s="5" t="n">
        <v>561270366</v>
      </c>
      <c r="E44" s="6" t="inlineStr">
        <is>
          <t>HF446078490</t>
        </is>
      </c>
      <c r="F44" s="6" t="inlineStr">
        <is>
          <t>06/04/2026</t>
        </is>
      </c>
      <c r="G44" s="6" t="inlineStr">
        <is>
          <t>Medicare Part B Arizona *</t>
        </is>
      </c>
      <c r="H44" s="6" t="inlineStr">
        <is>
          <t>Medicare Part B Arizona *</t>
        </is>
      </c>
      <c r="I44" s="6" t="inlineStr">
        <is>
          <t>Aetna Life &amp; Casualty Company</t>
        </is>
      </c>
      <c r="J44" s="6" t="inlineStr">
        <is>
          <t>27279</t>
        </is>
      </c>
      <c r="K44" s="4" t="n"/>
      <c r="L44" s="5">
        <f>IF($M44="","",$M44-TODAY())</f>
        <v/>
      </c>
      <c r="M44" s="7" t="n">
        <v>46542</v>
      </c>
      <c r="N44" s="6" t="inlineStr">
        <is>
          <t>365 days</t>
        </is>
      </c>
      <c r="O44" s="6" t="inlineStr">
        <is>
          <t>MEDICARE</t>
        </is>
      </c>
      <c r="P44" s="6" t="inlineStr">
        <is>
          <t>LT</t>
        </is>
      </c>
      <c r="Q44" s="6" t="n"/>
      <c r="R44" s="6" t="n"/>
      <c r="S44" s="5" t="n">
        <v>1</v>
      </c>
      <c r="T44" s="8" t="n">
        <v>5614.63</v>
      </c>
      <c r="U44" s="8" t="n">
        <v>0</v>
      </c>
      <c r="V44" s="8" t="n">
        <v>0</v>
      </c>
      <c r="W44" s="6" t="inlineStr">
        <is>
          <t>06/15/2026</t>
        </is>
      </c>
      <c r="X44" s="8" t="n">
        <v>5614.63</v>
      </c>
      <c r="Y44" s="5" t="n">
        <v>65</v>
      </c>
      <c r="Z44" s="6" t="inlineStr">
        <is>
          <t>M461</t>
        </is>
      </c>
      <c r="AA44" s="6" t="n"/>
      <c r="AB44" s="6" t="n"/>
      <c r="AC44" s="6" t="n"/>
      <c r="AD44" s="5" t="n"/>
      <c r="AE44" s="6" t="inlineStr">
        <is>
          <t>KALLGREN, MARK</t>
        </is>
      </c>
      <c r="AF44" s="6" t="inlineStr">
        <is>
          <t>Premier Endoscopy Center, LLC</t>
        </is>
      </c>
      <c r="AG44" s="6" t="inlineStr">
        <is>
          <t>06/08/2026</t>
        </is>
      </c>
      <c r="AH44" s="6" t="inlineStr">
        <is>
          <t>ORTHO</t>
        </is>
      </c>
      <c r="AI44" s="9" t="n"/>
      <c r="AJ44" s="5" t="n">
        <v>187</v>
      </c>
    </row>
    <row r="45">
      <c r="A45" s="2" t="inlineStr">
        <is>
          <t>Finalized</t>
        </is>
      </c>
      <c r="B45" s="3" t="n"/>
      <c r="C45" s="4" t="n"/>
      <c r="D45" s="5" t="n">
        <v>562552799</v>
      </c>
      <c r="E45" s="6" t="inlineStr">
        <is>
          <t>HF489743294</t>
        </is>
      </c>
      <c r="F45" s="6" t="inlineStr">
        <is>
          <t>06/10/2026</t>
        </is>
      </c>
      <c r="G45" s="6" t="inlineStr">
        <is>
          <t>AARP United Healthcare</t>
        </is>
      </c>
      <c r="H45" s="6" t="inlineStr">
        <is>
          <t>Medicare Part B Arizona *</t>
        </is>
      </c>
      <c r="I45" s="6" t="inlineStr">
        <is>
          <t>AARP United Healthcare</t>
        </is>
      </c>
      <c r="J45" s="6" t="inlineStr">
        <is>
          <t>63045</t>
        </is>
      </c>
      <c r="K45" s="4" t="n"/>
      <c r="L45" s="5">
        <f>IF($M45="","",$M45-TODAY())</f>
        <v/>
      </c>
      <c r="M45" s="7" t="n">
        <v>46548</v>
      </c>
      <c r="N45" s="6" t="inlineStr">
        <is>
          <t>365 days</t>
        </is>
      </c>
      <c r="O45" s="6" t="inlineStr">
        <is>
          <t>MEDICARE</t>
        </is>
      </c>
      <c r="P45" s="6" t="n"/>
      <c r="Q45" s="6" t="n"/>
      <c r="R45" s="6" t="n"/>
      <c r="S45" s="5" t="n">
        <v>1</v>
      </c>
      <c r="T45" s="8" t="n">
        <v>8869.559999999999</v>
      </c>
      <c r="U45" s="8" t="n">
        <v>7683.82</v>
      </c>
      <c r="V45" s="8" t="n">
        <v>944.74</v>
      </c>
      <c r="W45" s="6" t="inlineStr">
        <is>
          <t>07/01/2026</t>
        </is>
      </c>
      <c r="X45" s="8" t="n">
        <v>241</v>
      </c>
      <c r="Y45" s="5" t="n">
        <v>59</v>
      </c>
      <c r="Z45" s="6" t="inlineStr">
        <is>
          <t>M4802</t>
        </is>
      </c>
      <c r="AA45" s="6" t="inlineStr">
        <is>
          <t>M5412</t>
        </is>
      </c>
      <c r="AB45" s="6" t="inlineStr">
        <is>
          <t>M9971</t>
        </is>
      </c>
      <c r="AC45" s="6" t="inlineStr">
        <is>
          <t>M5030</t>
        </is>
      </c>
      <c r="AD45" s="5" t="n">
        <v>565293082</v>
      </c>
      <c r="AE45" s="6" t="inlineStr">
        <is>
          <t>LUKE, TIMOTHY</t>
        </is>
      </c>
      <c r="AF45" s="6" t="inlineStr">
        <is>
          <t>ASAP Surgery Centers North Valley LLC</t>
        </is>
      </c>
      <c r="AG45" s="6" t="inlineStr">
        <is>
          <t>06/17/2026</t>
        </is>
      </c>
      <c r="AH45" s="6" t="inlineStr">
        <is>
          <t>ORTHO</t>
        </is>
      </c>
      <c r="AI45" s="9" t="n"/>
      <c r="AJ45" s="5" t="n">
        <v>501</v>
      </c>
    </row>
    <row r="46">
      <c r="A46" s="2" t="inlineStr">
        <is>
          <t>Finalized</t>
        </is>
      </c>
      <c r="B46" s="3" t="n"/>
      <c r="C46" s="4" t="n"/>
      <c r="D46" s="5" t="n">
        <v>562552799</v>
      </c>
      <c r="E46" s="6" t="inlineStr">
        <is>
          <t>HF489743294</t>
        </is>
      </c>
      <c r="F46" s="6" t="inlineStr">
        <is>
          <t>06/10/2026</t>
        </is>
      </c>
      <c r="G46" s="6" t="inlineStr">
        <is>
          <t>AARP United Healthcare</t>
        </is>
      </c>
      <c r="H46" s="6" t="inlineStr">
        <is>
          <t>Medicare Part B Arizona *</t>
        </is>
      </c>
      <c r="I46" s="6" t="inlineStr">
        <is>
          <t>AARP United Healthcare</t>
        </is>
      </c>
      <c r="J46" s="6" t="inlineStr">
        <is>
          <t>63048</t>
        </is>
      </c>
      <c r="K46" s="4" t="n"/>
      <c r="L46" s="5">
        <f>IF($M46="","",$M46-TODAY())</f>
        <v/>
      </c>
      <c r="M46" s="7" t="n">
        <v>46548</v>
      </c>
      <c r="N46" s="6" t="inlineStr">
        <is>
          <t>365 days</t>
        </is>
      </c>
      <c r="O46" s="6" t="inlineStr">
        <is>
          <t>MEDICARE</t>
        </is>
      </c>
      <c r="P46" s="6" t="n"/>
      <c r="Q46" s="6" t="n"/>
      <c r="R46" s="6" t="n"/>
      <c r="S46" s="5" t="n">
        <v>1</v>
      </c>
      <c r="T46" s="8" t="n">
        <v>1433.32</v>
      </c>
      <c r="U46" s="8" t="n">
        <v>1255.29</v>
      </c>
      <c r="V46" s="8" t="n">
        <v>141.85</v>
      </c>
      <c r="W46" s="6" t="inlineStr">
        <is>
          <t>07/01/2026</t>
        </is>
      </c>
      <c r="X46" s="8" t="n">
        <v>36.18</v>
      </c>
      <c r="Y46" s="5" t="n">
        <v>59</v>
      </c>
      <c r="Z46" s="6" t="inlineStr">
        <is>
          <t>M4802</t>
        </is>
      </c>
      <c r="AA46" s="6" t="inlineStr">
        <is>
          <t>M5412</t>
        </is>
      </c>
      <c r="AB46" s="6" t="inlineStr">
        <is>
          <t>M9971</t>
        </is>
      </c>
      <c r="AC46" s="6" t="inlineStr">
        <is>
          <t>M5030</t>
        </is>
      </c>
      <c r="AD46" s="5" t="n">
        <v>565293082</v>
      </c>
      <c r="AE46" s="6" t="inlineStr">
        <is>
          <t>LUKE, TIMOTHY</t>
        </is>
      </c>
      <c r="AF46" s="6" t="inlineStr">
        <is>
          <t>ASAP Surgery Centers North Valley LLC</t>
        </is>
      </c>
      <c r="AG46" s="6" t="inlineStr">
        <is>
          <t>06/17/2026</t>
        </is>
      </c>
      <c r="AH46" s="6" t="inlineStr">
        <is>
          <t>ORTHO</t>
        </is>
      </c>
      <c r="AI46" s="9" t="n"/>
      <c r="AJ46" s="5" t="n">
        <v>502</v>
      </c>
    </row>
    <row r="47">
      <c r="A47" s="2" t="n"/>
      <c r="B47" s="3" t="n"/>
      <c r="C47" s="4" t="n"/>
      <c r="D47" s="5" t="n">
        <v>562396593</v>
      </c>
      <c r="E47" s="6" t="inlineStr">
        <is>
          <t>HF394586216</t>
        </is>
      </c>
      <c r="F47" s="6" t="inlineStr">
        <is>
          <t>06/15/2026</t>
        </is>
      </c>
      <c r="G47" s="6" t="inlineStr">
        <is>
          <t>Medicare Part B Arizona *</t>
        </is>
      </c>
      <c r="H47" s="6" t="inlineStr">
        <is>
          <t>Medicare Part B Arizona *</t>
        </is>
      </c>
      <c r="I47" s="6" t="inlineStr">
        <is>
          <t>USAA Life Insurance Company</t>
        </is>
      </c>
      <c r="J47" s="6" t="inlineStr">
        <is>
          <t>63047</t>
        </is>
      </c>
      <c r="K47" s="4" t="n"/>
      <c r="L47" s="5">
        <f>IF($M47="","",$M47-TODAY())</f>
        <v/>
      </c>
      <c r="M47" s="7" t="n">
        <v>46553</v>
      </c>
      <c r="N47" s="6" t="inlineStr">
        <is>
          <t>365 days</t>
        </is>
      </c>
      <c r="O47" s="6" t="inlineStr">
        <is>
          <t>MEDICARE</t>
        </is>
      </c>
      <c r="P47" s="6" t="n"/>
      <c r="Q47" s="6" t="n"/>
      <c r="R47" s="6" t="n"/>
      <c r="S47" s="5" t="n">
        <v>1</v>
      </c>
      <c r="T47" s="8" t="n">
        <v>7623.07</v>
      </c>
      <c r="U47" s="8" t="n">
        <v>0</v>
      </c>
      <c r="V47" s="8" t="n">
        <v>0</v>
      </c>
      <c r="W47" s="6" t="inlineStr">
        <is>
          <t>06/26/2026</t>
        </is>
      </c>
      <c r="X47" s="8" t="n">
        <v>7623.07</v>
      </c>
      <c r="Y47" s="5" t="n">
        <v>54</v>
      </c>
      <c r="Z47" s="6" t="inlineStr">
        <is>
          <t>M48062</t>
        </is>
      </c>
      <c r="AA47" s="6" t="inlineStr">
        <is>
          <t>M5416</t>
        </is>
      </c>
      <c r="AB47" s="6" t="inlineStr">
        <is>
          <t>M51360</t>
        </is>
      </c>
      <c r="AC47" s="6" t="n"/>
      <c r="AD47" s="5" t="n"/>
      <c r="AE47" s="6" t="inlineStr">
        <is>
          <t>BURGHER, ABRAM</t>
        </is>
      </c>
      <c r="AF47" s="6" t="inlineStr">
        <is>
          <t>ASAP Surgery Centers North Valley LLC</t>
        </is>
      </c>
      <c r="AG47" s="6" t="inlineStr">
        <is>
          <t>06/17/2026</t>
        </is>
      </c>
      <c r="AH47" s="6" t="inlineStr">
        <is>
          <t>ORTHO</t>
        </is>
      </c>
      <c r="AI47" s="9" t="n"/>
      <c r="AJ47" s="5" t="n">
        <v>473</v>
      </c>
    </row>
    <row r="48">
      <c r="A48" s="2" t="n"/>
      <c r="B48" s="3" t="n"/>
      <c r="C48" s="4" t="n"/>
      <c r="D48" s="5" t="n">
        <v>562554208</v>
      </c>
      <c r="E48" s="6" t="inlineStr">
        <is>
          <t>HF548056702</t>
        </is>
      </c>
      <c r="F48" s="6" t="inlineStr">
        <is>
          <t>06/15/2026</t>
        </is>
      </c>
      <c r="G48" s="6" t="inlineStr">
        <is>
          <t>Medicare Part B Arizona *</t>
        </is>
      </c>
      <c r="H48" s="6" t="inlineStr">
        <is>
          <t>Medicare Part B Arizona *</t>
        </is>
      </c>
      <c r="I48" s="6" t="inlineStr">
        <is>
          <t>ChampVA - HAC</t>
        </is>
      </c>
      <c r="J48" s="6" t="inlineStr">
        <is>
          <t>63655</t>
        </is>
      </c>
      <c r="K48" s="4" t="n"/>
      <c r="L48" s="5">
        <f>IF($M48="","",$M48-TODAY())</f>
        <v/>
      </c>
      <c r="M48" s="7" t="n">
        <v>46553</v>
      </c>
      <c r="N48" s="6" t="inlineStr">
        <is>
          <t>365 days</t>
        </is>
      </c>
      <c r="O48" s="6" t="inlineStr">
        <is>
          <t>MEDICARE</t>
        </is>
      </c>
      <c r="P48" s="6" t="n"/>
      <c r="Q48" s="6" t="n"/>
      <c r="R48" s="6" t="n"/>
      <c r="S48" s="5" t="n">
        <v>1</v>
      </c>
      <c r="T48" s="8" t="n">
        <v>5784.24</v>
      </c>
      <c r="U48" s="8" t="n">
        <v>0</v>
      </c>
      <c r="V48" s="8" t="n">
        <v>0</v>
      </c>
      <c r="W48" s="6" t="inlineStr">
        <is>
          <t>06/22/2026</t>
        </is>
      </c>
      <c r="X48" s="8" t="n">
        <v>5784.24</v>
      </c>
      <c r="Y48" s="5" t="n">
        <v>54</v>
      </c>
      <c r="Z48" s="6" t="inlineStr">
        <is>
          <t>G90523</t>
        </is>
      </c>
      <c r="AA48" s="6" t="inlineStr">
        <is>
          <t>M5416</t>
        </is>
      </c>
      <c r="AB48" s="6" t="n"/>
      <c r="AC48" s="6" t="n"/>
      <c r="AD48" s="5" t="n"/>
      <c r="AE48" s="6" t="inlineStr">
        <is>
          <t>LUKE, TIMOTHY</t>
        </is>
      </c>
      <c r="AF48" s="6" t="inlineStr">
        <is>
          <t>ASAP Surgery Centers North Valley LLC</t>
        </is>
      </c>
      <c r="AG48" s="6" t="inlineStr">
        <is>
          <t>06/17/2026</t>
        </is>
      </c>
      <c r="AH48" s="6" t="inlineStr">
        <is>
          <t>ORTHO</t>
        </is>
      </c>
      <c r="AI48" s="9" t="n"/>
      <c r="AJ48" s="5" t="n">
        <v>202</v>
      </c>
    </row>
    <row r="49">
      <c r="A49" s="2" t="inlineStr">
        <is>
          <t>Finalized</t>
        </is>
      </c>
      <c r="B49" s="3" t="n"/>
      <c r="C49" s="4" t="n"/>
      <c r="D49" s="5" t="n">
        <v>563829526</v>
      </c>
      <c r="E49" s="6" t="inlineStr">
        <is>
          <t>HF335035633</t>
        </is>
      </c>
      <c r="F49" s="6" t="inlineStr">
        <is>
          <t>06/18/2026</t>
        </is>
      </c>
      <c r="G49" s="6" t="inlineStr">
        <is>
          <t>Tricare for Life (All Regions)</t>
        </is>
      </c>
      <c r="H49" s="6" t="inlineStr">
        <is>
          <t>Medicare Part B Arizona *</t>
        </is>
      </c>
      <c r="I49" s="6" t="inlineStr">
        <is>
          <t>Tricare for Life (All Regions)</t>
        </is>
      </c>
      <c r="J49" s="6" t="inlineStr">
        <is>
          <t>22856</t>
        </is>
      </c>
      <c r="K49" s="4" t="n"/>
      <c r="L49" s="5">
        <f>IF($M49="","",$M49-TODAY())</f>
        <v/>
      </c>
      <c r="M49" s="7" t="n">
        <v>46556</v>
      </c>
      <c r="N49" s="6" t="inlineStr">
        <is>
          <t>365 days</t>
        </is>
      </c>
      <c r="O49" s="6" t="inlineStr">
        <is>
          <t>MEDICARE</t>
        </is>
      </c>
      <c r="P49" s="6" t="n"/>
      <c r="Q49" s="6" t="n"/>
      <c r="R49" s="6" t="n"/>
      <c r="S49" s="5" t="n">
        <v>1</v>
      </c>
      <c r="T49" s="8" t="n">
        <v>11163.74</v>
      </c>
      <c r="U49" s="8" t="n">
        <v>9716.030000000001</v>
      </c>
      <c r="V49" s="8" t="n">
        <v>1153.46</v>
      </c>
      <c r="W49" s="6" t="inlineStr">
        <is>
          <t>07/15/2026</t>
        </is>
      </c>
      <c r="X49" s="8" t="n">
        <v>294.25</v>
      </c>
      <c r="Y49" s="5" t="n">
        <v>51</v>
      </c>
      <c r="Z49" s="6" t="inlineStr">
        <is>
          <t>M4802</t>
        </is>
      </c>
      <c r="AA49" s="6" t="inlineStr">
        <is>
          <t>M5412</t>
        </is>
      </c>
      <c r="AB49" s="6" t="inlineStr">
        <is>
          <t>M9971</t>
        </is>
      </c>
      <c r="AC49" s="6" t="inlineStr">
        <is>
          <t>M50021</t>
        </is>
      </c>
      <c r="AD49" s="5" t="n">
        <v>567245908</v>
      </c>
      <c r="AE49" s="6" t="inlineStr">
        <is>
          <t>LUKE, TIMOTHY</t>
        </is>
      </c>
      <c r="AF49" s="6" t="inlineStr">
        <is>
          <t>ASAP Surgery Centers North Valley LLC</t>
        </is>
      </c>
      <c r="AG49" s="6" t="inlineStr">
        <is>
          <t>06/30/2026</t>
        </is>
      </c>
      <c r="AH49" s="6" t="inlineStr">
        <is>
          <t>ORTHO</t>
        </is>
      </c>
      <c r="AI49" s="9" t="n"/>
      <c r="AJ49" s="5" t="n">
        <v>99</v>
      </c>
    </row>
    <row r="50">
      <c r="A50" s="2" t="n"/>
      <c r="B50" s="3" t="n"/>
      <c r="C50" s="4" t="n"/>
      <c r="D50" s="5" t="n">
        <v>564087324</v>
      </c>
      <c r="E50" s="6" t="inlineStr">
        <is>
          <t>HF336577433</t>
        </is>
      </c>
      <c r="F50" s="6" t="inlineStr">
        <is>
          <t>06/18/2026</t>
        </is>
      </c>
      <c r="G50" s="6" t="inlineStr">
        <is>
          <t>Medicare Part B Arizona *</t>
        </is>
      </c>
      <c r="H50" s="6" t="inlineStr">
        <is>
          <t>Medicare Part B Arizona *</t>
        </is>
      </c>
      <c r="I50" s="6" t="inlineStr">
        <is>
          <t>Tricare West</t>
        </is>
      </c>
      <c r="J50" s="6" t="inlineStr">
        <is>
          <t>27279</t>
        </is>
      </c>
      <c r="K50" s="4" t="n"/>
      <c r="L50" s="5">
        <f>IF($M50="","",$M50-TODAY())</f>
        <v/>
      </c>
      <c r="M50" s="7" t="n">
        <v>46556</v>
      </c>
      <c r="N50" s="6" t="inlineStr">
        <is>
          <t>365 days</t>
        </is>
      </c>
      <c r="O50" s="6" t="inlineStr">
        <is>
          <t>MEDICARE</t>
        </is>
      </c>
      <c r="P50" s="6" t="inlineStr">
        <is>
          <t>LT</t>
        </is>
      </c>
      <c r="Q50" s="6" t="n"/>
      <c r="R50" s="6" t="n"/>
      <c r="S50" s="5" t="n">
        <v>1</v>
      </c>
      <c r="T50" s="8" t="n">
        <v>5614.63</v>
      </c>
      <c r="U50" s="8" t="n">
        <v>0</v>
      </c>
      <c r="V50" s="8" t="n">
        <v>0</v>
      </c>
      <c r="W50" s="6" t="inlineStr">
        <is>
          <t>07/15/2026</t>
        </is>
      </c>
      <c r="X50" s="8" t="n">
        <v>5614.63</v>
      </c>
      <c r="Y50" s="5" t="n">
        <v>51</v>
      </c>
      <c r="Z50" s="6" t="inlineStr">
        <is>
          <t>M461</t>
        </is>
      </c>
      <c r="AA50" s="6" t="n"/>
      <c r="AB50" s="6" t="n"/>
      <c r="AC50" s="6" t="n"/>
      <c r="AD50" s="5" t="n"/>
      <c r="AE50" s="6" t="inlineStr">
        <is>
          <t>MEARS, CHAD</t>
        </is>
      </c>
      <c r="AF50" s="6" t="inlineStr">
        <is>
          <t>ASAP Surgery Centers North Valley LLC</t>
        </is>
      </c>
      <c r="AG50" s="6" t="inlineStr">
        <is>
          <t>07/07/2026</t>
        </is>
      </c>
      <c r="AH50" s="6" t="inlineStr">
        <is>
          <t>ORTHO</t>
        </is>
      </c>
      <c r="AI50" s="9" t="n"/>
      <c r="AJ50" s="5" t="n">
        <v>770</v>
      </c>
    </row>
    <row r="51">
      <c r="A51" s="2" t="inlineStr">
        <is>
          <t>Finalized</t>
        </is>
      </c>
      <c r="B51" s="3" t="n"/>
      <c r="C51" s="4" t="n"/>
      <c r="D51" s="5" t="n">
        <v>563841291</v>
      </c>
      <c r="E51" s="6" t="inlineStr">
        <is>
          <t>HF511435057</t>
        </is>
      </c>
      <c r="F51" s="6" t="inlineStr">
        <is>
          <t>06/24/2026</t>
        </is>
      </c>
      <c r="G51" s="6" t="inlineStr">
        <is>
          <t>Tricare for Life (All Regions)</t>
        </is>
      </c>
      <c r="H51" s="6" t="inlineStr">
        <is>
          <t>Medicare Part B Arizona *</t>
        </is>
      </c>
      <c r="I51" s="6" t="inlineStr">
        <is>
          <t>Tricare for Life (All Regions)</t>
        </is>
      </c>
      <c r="J51" s="6" t="inlineStr">
        <is>
          <t>63045</t>
        </is>
      </c>
      <c r="K51" s="4" t="n"/>
      <c r="L51" s="5">
        <f>IF($M51="","",$M51-TODAY())</f>
        <v/>
      </c>
      <c r="M51" s="7" t="n">
        <v>46562</v>
      </c>
      <c r="N51" s="6" t="inlineStr">
        <is>
          <t>365 days</t>
        </is>
      </c>
      <c r="O51" s="6" t="inlineStr">
        <is>
          <t>MEDICARE</t>
        </is>
      </c>
      <c r="P51" s="6" t="n"/>
      <c r="Q51" s="6" t="n"/>
      <c r="R51" s="6" t="n"/>
      <c r="S51" s="5" t="n">
        <v>1</v>
      </c>
      <c r="T51" s="8" t="n">
        <v>8869.559999999999</v>
      </c>
      <c r="U51" s="8" t="n">
        <v>7683.82</v>
      </c>
      <c r="V51" s="8" t="n">
        <v>944.74</v>
      </c>
      <c r="W51" s="6" t="inlineStr">
        <is>
          <t>07/14/2026</t>
        </is>
      </c>
      <c r="X51" s="8" t="n">
        <v>241</v>
      </c>
      <c r="Y51" s="5" t="n">
        <v>45</v>
      </c>
      <c r="Z51" s="6" t="inlineStr">
        <is>
          <t>M5010</t>
        </is>
      </c>
      <c r="AA51" s="6" t="inlineStr">
        <is>
          <t>M4802</t>
        </is>
      </c>
      <c r="AB51" s="6" t="inlineStr">
        <is>
          <t>M4322</t>
        </is>
      </c>
      <c r="AC51" s="6" t="n"/>
      <c r="AD51" s="5" t="n">
        <v>567246771</v>
      </c>
      <c r="AE51" s="6" t="inlineStr">
        <is>
          <t>MCCUNNIFF, PETER</t>
        </is>
      </c>
      <c r="AF51" s="6" t="inlineStr">
        <is>
          <t>ASAP Surgery Centers North Valley LLC</t>
        </is>
      </c>
      <c r="AG51" s="6" t="inlineStr">
        <is>
          <t>06/30/2026</t>
        </is>
      </c>
      <c r="AH51" s="6" t="inlineStr">
        <is>
          <t>ORTHO</t>
        </is>
      </c>
      <c r="AI51" s="9" t="n"/>
      <c r="AJ51" s="5" t="n">
        <v>19</v>
      </c>
    </row>
    <row r="52">
      <c r="A52" s="2" t="inlineStr">
        <is>
          <t>Finalized</t>
        </is>
      </c>
      <c r="B52" s="3" t="n"/>
      <c r="C52" s="4" t="n"/>
      <c r="D52" s="5" t="n">
        <v>563841291</v>
      </c>
      <c r="E52" s="6" t="inlineStr">
        <is>
          <t>HF511435057</t>
        </is>
      </c>
      <c r="F52" s="6" t="inlineStr">
        <is>
          <t>06/24/2026</t>
        </is>
      </c>
      <c r="G52" s="6" t="inlineStr">
        <is>
          <t>Tricare for Life (All Regions)</t>
        </is>
      </c>
      <c r="H52" s="6" t="inlineStr">
        <is>
          <t>Medicare Part B Arizona *</t>
        </is>
      </c>
      <c r="I52" s="6" t="inlineStr">
        <is>
          <t>Tricare for Life (All Regions)</t>
        </is>
      </c>
      <c r="J52" s="6" t="inlineStr">
        <is>
          <t>63048</t>
        </is>
      </c>
      <c r="K52" s="4" t="n"/>
      <c r="L52" s="5">
        <f>IF($M52="","",$M52-TODAY())</f>
        <v/>
      </c>
      <c r="M52" s="7" t="n">
        <v>46562</v>
      </c>
      <c r="N52" s="6" t="inlineStr">
        <is>
          <t>365 days</t>
        </is>
      </c>
      <c r="O52" s="6" t="inlineStr">
        <is>
          <t>MEDICARE</t>
        </is>
      </c>
      <c r="P52" s="6" t="n"/>
      <c r="Q52" s="6" t="n"/>
      <c r="R52" s="6" t="n"/>
      <c r="S52" s="5" t="n">
        <v>1</v>
      </c>
      <c r="T52" s="8" t="n">
        <v>1433.32</v>
      </c>
      <c r="U52" s="8" t="n">
        <v>1255.29</v>
      </c>
      <c r="V52" s="8" t="n">
        <v>141.85</v>
      </c>
      <c r="W52" s="6" t="inlineStr">
        <is>
          <t>07/14/2026</t>
        </is>
      </c>
      <c r="X52" s="8" t="n">
        <v>36.18</v>
      </c>
      <c r="Y52" s="5" t="n">
        <v>45</v>
      </c>
      <c r="Z52" s="6" t="inlineStr">
        <is>
          <t>M5010</t>
        </is>
      </c>
      <c r="AA52" s="6" t="inlineStr">
        <is>
          <t>M4802</t>
        </is>
      </c>
      <c r="AB52" s="6" t="inlineStr">
        <is>
          <t>M4322</t>
        </is>
      </c>
      <c r="AC52" s="6" t="n"/>
      <c r="AD52" s="5" t="n">
        <v>567246771</v>
      </c>
      <c r="AE52" s="6" t="inlineStr">
        <is>
          <t>MCCUNNIFF, PETER</t>
        </is>
      </c>
      <c r="AF52" s="6" t="inlineStr">
        <is>
          <t>ASAP Surgery Centers North Valley LLC</t>
        </is>
      </c>
      <c r="AG52" s="6" t="inlineStr">
        <is>
          <t>06/30/2026</t>
        </is>
      </c>
      <c r="AH52" s="6" t="inlineStr">
        <is>
          <t>ORTHO</t>
        </is>
      </c>
      <c r="AI52" s="9" t="n"/>
      <c r="AJ52" s="5" t="n">
        <v>20</v>
      </c>
    </row>
    <row r="53">
      <c r="A53" s="2" t="n"/>
      <c r="B53" s="3" t="n"/>
      <c r="C53" s="4" t="n"/>
      <c r="D53" s="5" t="n">
        <v>564504486</v>
      </c>
      <c r="E53" s="6" t="inlineStr">
        <is>
          <t>HF450733071</t>
        </is>
      </c>
      <c r="F53" s="6" t="inlineStr">
        <is>
          <t>06/17/2026</t>
        </is>
      </c>
      <c r="G53" s="6" t="inlineStr">
        <is>
          <t>AARP MedicareComplete (SecureHorizons &amp; Oxford Network)</t>
        </is>
      </c>
      <c r="H53" s="6" t="inlineStr">
        <is>
          <t>AARP MedicareComplete (SecureHorizons &amp; Oxford Network)</t>
        </is>
      </c>
      <c r="I53" s="6" t="inlineStr">
        <is>
          <t>No Payer</t>
        </is>
      </c>
      <c r="J53" s="6" t="inlineStr">
        <is>
          <t>63047</t>
        </is>
      </c>
      <c r="K53" s="4" t="n"/>
      <c r="L53" s="5">
        <f>IF($M53="","",$M53-TODAY())</f>
        <v/>
      </c>
      <c r="M53" s="7" t="n"/>
      <c r="N53" s="6" t="n"/>
      <c r="O53" s="6" t="inlineStr">
        <is>
          <t>AARP MA CHOICE / MEDICARE COMPLETE</t>
        </is>
      </c>
      <c r="P53" s="6" t="n"/>
      <c r="Q53" s="6" t="n"/>
      <c r="R53" s="6" t="n"/>
      <c r="S53" s="5" t="n">
        <v>1</v>
      </c>
      <c r="T53" s="8" t="n">
        <v>7623.07</v>
      </c>
      <c r="U53" s="8" t="n">
        <v>0</v>
      </c>
      <c r="V53" s="8" t="n">
        <v>0</v>
      </c>
      <c r="W53" s="6" t="n"/>
      <c r="X53" s="8" t="n">
        <v>7623.07</v>
      </c>
      <c r="Y53" s="5" t="n">
        <v>52</v>
      </c>
      <c r="Z53" s="6" t="inlineStr">
        <is>
          <t>M48061</t>
        </is>
      </c>
      <c r="AA53" s="6" t="n"/>
      <c r="AB53" s="6" t="n"/>
      <c r="AC53" s="6" t="n"/>
      <c r="AD53" s="5" t="n"/>
      <c r="AE53" s="6" t="inlineStr">
        <is>
          <t>MAYURAN, VIKRAM</t>
        </is>
      </c>
      <c r="AF53" s="6" t="inlineStr">
        <is>
          <t>ASAP Surgery Centers North Valley LLC</t>
        </is>
      </c>
      <c r="AG53" s="6" t="inlineStr">
        <is>
          <t>07/07/2026</t>
        </is>
      </c>
      <c r="AH53" s="6" t="inlineStr">
        <is>
          <t>ORTHO</t>
        </is>
      </c>
      <c r="AI53" s="9" t="n"/>
      <c r="AJ53" s="5" t="n">
        <v>1012</v>
      </c>
    </row>
    <row r="54">
      <c r="A54" s="2" t="n"/>
      <c r="B54" s="3" t="n"/>
      <c r="C54" s="4" t="n"/>
      <c r="D54" s="5" t="n">
        <v>563830748</v>
      </c>
      <c r="E54" s="6" t="inlineStr">
        <is>
          <t>HF493646829</t>
        </is>
      </c>
      <c r="F54" s="6" t="inlineStr">
        <is>
          <t>06/20/2026</t>
        </is>
      </c>
      <c r="G54" s="6" t="inlineStr">
        <is>
          <t>Gold Kidney Health Plan</t>
        </is>
      </c>
      <c r="H54" s="6" t="inlineStr">
        <is>
          <t>Gold Kidney Health Plan</t>
        </is>
      </c>
      <c r="I54" s="6" t="inlineStr">
        <is>
          <t>No Payer</t>
        </is>
      </c>
      <c r="J54" s="6" t="inlineStr">
        <is>
          <t>63047</t>
        </is>
      </c>
      <c r="K54" s="4" t="n"/>
      <c r="L54" s="5">
        <f>IF($M54="","",$M54-TODAY())</f>
        <v/>
      </c>
      <c r="M54" s="7" t="n"/>
      <c r="N54" s="6" t="n"/>
      <c r="O54" s="6" t="inlineStr">
        <is>
          <t>Not on reference list</t>
        </is>
      </c>
      <c r="P54" s="6" t="n"/>
      <c r="Q54" s="6" t="n"/>
      <c r="R54" s="6" t="n"/>
      <c r="S54" s="5" t="n">
        <v>1</v>
      </c>
      <c r="T54" s="8" t="n">
        <v>7623.07</v>
      </c>
      <c r="U54" s="8" t="n">
        <v>0</v>
      </c>
      <c r="V54" s="8" t="n">
        <v>0</v>
      </c>
      <c r="W54" s="6" t="n"/>
      <c r="X54" s="8" t="n">
        <v>7623.07</v>
      </c>
      <c r="Y54" s="5" t="n">
        <v>49</v>
      </c>
      <c r="Z54" s="6" t="inlineStr">
        <is>
          <t>M48062</t>
        </is>
      </c>
      <c r="AA54" s="6" t="inlineStr">
        <is>
          <t>M5412</t>
        </is>
      </c>
      <c r="AB54" s="6" t="inlineStr">
        <is>
          <t>M51362</t>
        </is>
      </c>
      <c r="AC54" s="6" t="inlineStr">
        <is>
          <t>M4686</t>
        </is>
      </c>
      <c r="AD54" s="5" t="n"/>
      <c r="AE54" s="6" t="inlineStr">
        <is>
          <t>LUKE, TIMOTHY</t>
        </is>
      </c>
      <c r="AF54" s="6" t="inlineStr">
        <is>
          <t>ASAP Surgery Centers North Valley LLC</t>
        </is>
      </c>
      <c r="AG54" s="6" t="inlineStr">
        <is>
          <t>06/30/2026</t>
        </is>
      </c>
      <c r="AH54" s="6" t="inlineStr">
        <is>
          <t>ORTHO</t>
        </is>
      </c>
      <c r="AI54" s="9" t="inlineStr">
        <is>
          <t>No timely filing limit on file for this payer - confirm the limit from the contract or provider manual before working this claim.</t>
        </is>
      </c>
      <c r="AJ54" s="5" t="n">
        <v>1083</v>
      </c>
    </row>
    <row r="55">
      <c r="A55" s="2" t="n"/>
      <c r="B55" s="3" t="n"/>
      <c r="C55" s="4" t="n"/>
      <c r="D55" s="5" t="n">
        <v>563830748</v>
      </c>
      <c r="E55" s="6" t="inlineStr">
        <is>
          <t>HF493646829</t>
        </is>
      </c>
      <c r="F55" s="6" t="inlineStr">
        <is>
          <t>06/20/2026</t>
        </is>
      </c>
      <c r="G55" s="6" t="inlineStr">
        <is>
          <t>Gold Kidney Health Plan</t>
        </is>
      </c>
      <c r="H55" s="6" t="inlineStr">
        <is>
          <t>Gold Kidney Health Plan</t>
        </is>
      </c>
      <c r="I55" s="6" t="inlineStr">
        <is>
          <t>No Payer</t>
        </is>
      </c>
      <c r="J55" s="6" t="inlineStr">
        <is>
          <t>64708</t>
        </is>
      </c>
      <c r="K55" s="4" t="n"/>
      <c r="L55" s="5">
        <f>IF($M55="","",$M55-TODAY())</f>
        <v/>
      </c>
      <c r="M55" s="7" t="n"/>
      <c r="N55" s="6" t="n"/>
      <c r="O55" s="6" t="inlineStr">
        <is>
          <t>Not on reference list</t>
        </is>
      </c>
      <c r="P55" s="6" t="n"/>
      <c r="Q55" s="6" t="n"/>
      <c r="R55" s="6" t="n"/>
      <c r="S55" s="5" t="n">
        <v>1</v>
      </c>
      <c r="T55" s="8" t="n">
        <v>3471.16</v>
      </c>
      <c r="U55" s="8" t="n">
        <v>0</v>
      </c>
      <c r="V55" s="8" t="n">
        <v>0</v>
      </c>
      <c r="W55" s="6" t="n"/>
      <c r="X55" s="8" t="n">
        <v>3471.16</v>
      </c>
      <c r="Y55" s="5" t="n">
        <v>49</v>
      </c>
      <c r="Z55" s="6" t="inlineStr">
        <is>
          <t>G549</t>
        </is>
      </c>
      <c r="AA55" s="6" t="inlineStr">
        <is>
          <t>M5412</t>
        </is>
      </c>
      <c r="AB55" s="6" t="inlineStr">
        <is>
          <t>M51362</t>
        </is>
      </c>
      <c r="AC55" s="6" t="inlineStr">
        <is>
          <t>M48062</t>
        </is>
      </c>
      <c r="AD55" s="5" t="n"/>
      <c r="AE55" s="6" t="inlineStr">
        <is>
          <t>LUKE, TIMOTHY</t>
        </is>
      </c>
      <c r="AF55" s="6" t="inlineStr">
        <is>
          <t>ASAP Surgery Centers North Valley LLC</t>
        </is>
      </c>
      <c r="AG55" s="6" t="inlineStr">
        <is>
          <t>06/30/2026</t>
        </is>
      </c>
      <c r="AH55" s="6" t="inlineStr">
        <is>
          <t>ORTHO</t>
        </is>
      </c>
      <c r="AI55" s="9" t="inlineStr">
        <is>
          <t>No timely filing limit on file for this payer - confirm the limit from the contract or provider manual before working this claim.</t>
        </is>
      </c>
      <c r="AJ55" s="5" t="n">
        <v>1084</v>
      </c>
    </row>
    <row r="56">
      <c r="A56" s="2" t="n"/>
      <c r="B56" s="3" t="n"/>
      <c r="C56" s="4" t="n"/>
      <c r="D56" s="5" t="n">
        <v>563831214</v>
      </c>
      <c r="E56" s="6" t="inlineStr">
        <is>
          <t>HF329871729</t>
        </is>
      </c>
      <c r="F56" s="6" t="inlineStr">
        <is>
          <t>06/20/2026</t>
        </is>
      </c>
      <c r="G56" s="6" t="inlineStr">
        <is>
          <t>UMR Wausau / UHIS</t>
        </is>
      </c>
      <c r="H56" s="6" t="inlineStr">
        <is>
          <t>UMR Wausau / UHIS</t>
        </is>
      </c>
      <c r="I56" s="6" t="inlineStr">
        <is>
          <t>No Payer</t>
        </is>
      </c>
      <c r="J56" s="6" t="inlineStr">
        <is>
          <t>63030</t>
        </is>
      </c>
      <c r="K56" s="4" t="n"/>
      <c r="L56" s="5">
        <f>IF($M56="","",$M56-TODAY())</f>
        <v/>
      </c>
      <c r="M56" s="7" t="n"/>
      <c r="N56" s="6" t="n"/>
      <c r="O56" s="6" t="inlineStr">
        <is>
          <t>UMR / WAUSAU</t>
        </is>
      </c>
      <c r="P56" s="6" t="inlineStr">
        <is>
          <t>RT</t>
        </is>
      </c>
      <c r="Q56" s="6" t="n"/>
      <c r="R56" s="6" t="n"/>
      <c r="S56" s="5" t="n">
        <v>1</v>
      </c>
      <c r="T56" s="8" t="n">
        <v>6297.27</v>
      </c>
      <c r="U56" s="8" t="n">
        <v>0</v>
      </c>
      <c r="V56" s="8" t="n">
        <v>0</v>
      </c>
      <c r="W56" s="6" t="inlineStr">
        <is>
          <t>07/13/2026</t>
        </is>
      </c>
      <c r="X56" s="8" t="n">
        <v>6297.27</v>
      </c>
      <c r="Y56" s="5" t="n">
        <v>49</v>
      </c>
      <c r="Z56" s="6" t="inlineStr">
        <is>
          <t>M4807</t>
        </is>
      </c>
      <c r="AA56" s="6" t="inlineStr">
        <is>
          <t>M5417</t>
        </is>
      </c>
      <c r="AB56" s="6" t="inlineStr">
        <is>
          <t>M5127</t>
        </is>
      </c>
      <c r="AC56" s="6" t="inlineStr">
        <is>
          <t>M51372</t>
        </is>
      </c>
      <c r="AD56" s="5" t="n"/>
      <c r="AE56" s="6" t="inlineStr">
        <is>
          <t>LUKE, TIMOTHY</t>
        </is>
      </c>
      <c r="AF56" s="6" t="inlineStr">
        <is>
          <t>ASAP Surgery Centers North Valley LLC</t>
        </is>
      </c>
      <c r="AG56" s="6" t="inlineStr">
        <is>
          <t>06/30/2026</t>
        </is>
      </c>
      <c r="AH56" s="6" t="inlineStr">
        <is>
          <t>ORTHO</t>
        </is>
      </c>
      <c r="AI56" s="9" t="n"/>
      <c r="AJ56" s="5" t="n">
        <v>768</v>
      </c>
    </row>
    <row r="57">
      <c r="A57" s="2" t="n"/>
      <c r="B57" s="3" t="n"/>
      <c r="C57" s="4" t="n"/>
      <c r="D57" s="5" t="n">
        <v>563831214</v>
      </c>
      <c r="E57" s="6" t="inlineStr">
        <is>
          <t>HF329871729</t>
        </is>
      </c>
      <c r="F57" s="6" t="inlineStr">
        <is>
          <t>06/20/2026</t>
        </is>
      </c>
      <c r="G57" s="6" t="inlineStr">
        <is>
          <t>UMR Wausau / UHIS</t>
        </is>
      </c>
      <c r="H57" s="6" t="inlineStr">
        <is>
          <t>UMR Wausau / UHIS</t>
        </is>
      </c>
      <c r="I57" s="6" t="inlineStr">
        <is>
          <t>No Payer</t>
        </is>
      </c>
      <c r="J57" s="6" t="inlineStr">
        <is>
          <t>64708</t>
        </is>
      </c>
      <c r="K57" s="4" t="n"/>
      <c r="L57" s="5">
        <f>IF($M57="","",$M57-TODAY())</f>
        <v/>
      </c>
      <c r="M57" s="7" t="n"/>
      <c r="N57" s="6" t="n"/>
      <c r="O57" s="6" t="inlineStr">
        <is>
          <t>UMR / WAUSAU</t>
        </is>
      </c>
      <c r="P57" s="6" t="n"/>
      <c r="Q57" s="6" t="n"/>
      <c r="R57" s="6" t="n"/>
      <c r="S57" s="5" t="n">
        <v>1</v>
      </c>
      <c r="T57" s="8" t="n">
        <v>3471.16</v>
      </c>
      <c r="U57" s="8" t="n">
        <v>0</v>
      </c>
      <c r="V57" s="8" t="n">
        <v>0</v>
      </c>
      <c r="W57" s="6" t="inlineStr">
        <is>
          <t>07/13/2026</t>
        </is>
      </c>
      <c r="X57" s="8" t="n">
        <v>3471.16</v>
      </c>
      <c r="Y57" s="5" t="n">
        <v>49</v>
      </c>
      <c r="Z57" s="6" t="inlineStr">
        <is>
          <t>G549</t>
        </is>
      </c>
      <c r="AA57" s="6" t="inlineStr">
        <is>
          <t>M4807</t>
        </is>
      </c>
      <c r="AB57" s="6" t="inlineStr">
        <is>
          <t>M5417</t>
        </is>
      </c>
      <c r="AC57" s="6" t="inlineStr">
        <is>
          <t>M5127</t>
        </is>
      </c>
      <c r="AD57" s="5" t="n"/>
      <c r="AE57" s="6" t="inlineStr">
        <is>
          <t>LUKE, TIMOTHY</t>
        </is>
      </c>
      <c r="AF57" s="6" t="inlineStr">
        <is>
          <t>ASAP Surgery Centers North Valley LLC</t>
        </is>
      </c>
      <c r="AG57" s="6" t="inlineStr">
        <is>
          <t>06/30/2026</t>
        </is>
      </c>
      <c r="AH57" s="6" t="inlineStr">
        <is>
          <t>ORTHO</t>
        </is>
      </c>
      <c r="AI57" s="9" t="n"/>
      <c r="AJ57" s="5" t="n">
        <v>769</v>
      </c>
    </row>
    <row r="58">
      <c r="A58" s="2" t="n"/>
      <c r="B58" s="3" t="n"/>
      <c r="C58" s="4" t="n"/>
      <c r="D58" s="5" t="n">
        <v>564560469</v>
      </c>
      <c r="E58" s="6" t="inlineStr">
        <is>
          <t>HF476520532</t>
        </is>
      </c>
      <c r="F58" s="6" t="inlineStr">
        <is>
          <t>06/29/2026</t>
        </is>
      </c>
      <c r="G58" s="6" t="inlineStr">
        <is>
          <t>Meritain Health</t>
        </is>
      </c>
      <c r="H58" s="6" t="inlineStr">
        <is>
          <t>Meritain Health</t>
        </is>
      </c>
      <c r="I58" s="6" t="inlineStr">
        <is>
          <t>Aetna Legacy</t>
        </is>
      </c>
      <c r="J58" s="6" t="inlineStr">
        <is>
          <t>63047</t>
        </is>
      </c>
      <c r="K58" s="4" t="n"/>
      <c r="L58" s="5">
        <f>IF($M58="","",$M58-TODAY())</f>
        <v/>
      </c>
      <c r="M58" s="7" t="n"/>
      <c r="N58" s="6" t="n"/>
      <c r="O58" s="6" t="inlineStr">
        <is>
          <t>Not on reference list</t>
        </is>
      </c>
      <c r="P58" s="6" t="n"/>
      <c r="Q58" s="6" t="n"/>
      <c r="R58" s="6" t="n"/>
      <c r="S58" s="5" t="n">
        <v>1</v>
      </c>
      <c r="T58" s="8" t="n">
        <v>7623.07</v>
      </c>
      <c r="U58" s="8" t="n">
        <v>0</v>
      </c>
      <c r="V58" s="8" t="n">
        <v>0</v>
      </c>
      <c r="W58" s="6" t="n"/>
      <c r="X58" s="8" t="n">
        <v>7623.07</v>
      </c>
      <c r="Y58" s="5" t="n">
        <v>40</v>
      </c>
      <c r="Z58" s="6" t="inlineStr">
        <is>
          <t>M48062</t>
        </is>
      </c>
      <c r="AA58" s="6" t="inlineStr">
        <is>
          <t>M5416</t>
        </is>
      </c>
      <c r="AB58" s="6" t="inlineStr">
        <is>
          <t>G544</t>
        </is>
      </c>
      <c r="AC58" s="6" t="n"/>
      <c r="AD58" s="5" t="n"/>
      <c r="AE58" s="6" t="inlineStr">
        <is>
          <t>LUKE, TIMOTHY</t>
        </is>
      </c>
      <c r="AF58" s="6" t="inlineStr">
        <is>
          <t>ASAP Surgery Centers North Valley LLC</t>
        </is>
      </c>
      <c r="AG58" s="6" t="inlineStr">
        <is>
          <t>07/07/2026</t>
        </is>
      </c>
      <c r="AH58" s="6" t="inlineStr">
        <is>
          <t>ORTHO</t>
        </is>
      </c>
      <c r="AI58" s="9" t="inlineStr">
        <is>
          <t>No timely filing limit on file for this payer - confirm the limit from the contract or provider manual before working this claim.</t>
        </is>
      </c>
      <c r="AJ58" s="5" t="n">
        <v>978</v>
      </c>
    </row>
    <row r="59">
      <c r="A59" s="2" t="n"/>
      <c r="B59" s="3" t="n"/>
      <c r="C59" s="4" t="n"/>
      <c r="D59" s="5" t="n">
        <v>564560469</v>
      </c>
      <c r="E59" s="6" t="inlineStr">
        <is>
          <t>HF476520532</t>
        </is>
      </c>
      <c r="F59" s="6" t="inlineStr">
        <is>
          <t>06/29/2026</t>
        </is>
      </c>
      <c r="G59" s="6" t="inlineStr">
        <is>
          <t>Meritain Health</t>
        </is>
      </c>
      <c r="H59" s="6" t="inlineStr">
        <is>
          <t>Meritain Health</t>
        </is>
      </c>
      <c r="I59" s="6" t="inlineStr">
        <is>
          <t>Aetna Legacy</t>
        </is>
      </c>
      <c r="J59" s="6" t="inlineStr">
        <is>
          <t>63048</t>
        </is>
      </c>
      <c r="K59" s="4" t="n"/>
      <c r="L59" s="5">
        <f>IF($M59="","",$M59-TODAY())</f>
        <v/>
      </c>
      <c r="M59" s="7" t="n"/>
      <c r="N59" s="6" t="n"/>
      <c r="O59" s="6" t="inlineStr">
        <is>
          <t>Not on reference list</t>
        </is>
      </c>
      <c r="P59" s="6" t="n"/>
      <c r="Q59" s="6" t="n"/>
      <c r="R59" s="6" t="n"/>
      <c r="S59" s="5" t="n">
        <v>1</v>
      </c>
      <c r="T59" s="8" t="n">
        <v>1433.32</v>
      </c>
      <c r="U59" s="8" t="n">
        <v>0</v>
      </c>
      <c r="V59" s="8" t="n">
        <v>0</v>
      </c>
      <c r="W59" s="6" t="n"/>
      <c r="X59" s="8" t="n">
        <v>1433.32</v>
      </c>
      <c r="Y59" s="5" t="n">
        <v>40</v>
      </c>
      <c r="Z59" s="6" t="inlineStr">
        <is>
          <t>M48062</t>
        </is>
      </c>
      <c r="AA59" s="6" t="inlineStr">
        <is>
          <t>M5416</t>
        </is>
      </c>
      <c r="AB59" s="6" t="inlineStr">
        <is>
          <t>G544</t>
        </is>
      </c>
      <c r="AC59" s="6" t="n"/>
      <c r="AD59" s="5" t="n"/>
      <c r="AE59" s="6" t="inlineStr">
        <is>
          <t>LUKE, TIMOTHY</t>
        </is>
      </c>
      <c r="AF59" s="6" t="inlineStr">
        <is>
          <t>ASAP Surgery Centers North Valley LLC</t>
        </is>
      </c>
      <c r="AG59" s="6" t="inlineStr">
        <is>
          <t>07/07/2026</t>
        </is>
      </c>
      <c r="AH59" s="6" t="inlineStr">
        <is>
          <t>ORTHO</t>
        </is>
      </c>
      <c r="AI59" s="9" t="inlineStr">
        <is>
          <t>No timely filing limit on file for this payer - confirm the limit from the contract or provider manual before working this claim.</t>
        </is>
      </c>
      <c r="AJ59" s="5" t="n">
        <v>979</v>
      </c>
    </row>
    <row r="60">
      <c r="A60" s="2" t="n"/>
      <c r="B60" s="3" t="n"/>
      <c r="C60" s="4" t="n"/>
      <c r="D60" s="5" t="n">
        <v>564560469</v>
      </c>
      <c r="E60" s="6" t="inlineStr">
        <is>
          <t>HF476520532</t>
        </is>
      </c>
      <c r="F60" s="6" t="inlineStr">
        <is>
          <t>06/29/2026</t>
        </is>
      </c>
      <c r="G60" s="6" t="inlineStr">
        <is>
          <t>Meritain Health</t>
        </is>
      </c>
      <c r="H60" s="6" t="inlineStr">
        <is>
          <t>Meritain Health</t>
        </is>
      </c>
      <c r="I60" s="6" t="inlineStr">
        <is>
          <t>Aetna Legacy</t>
        </is>
      </c>
      <c r="J60" s="6" t="inlineStr">
        <is>
          <t>64708</t>
        </is>
      </c>
      <c r="K60" s="4" t="n"/>
      <c r="L60" s="5">
        <f>IF($M60="","",$M60-TODAY())</f>
        <v/>
      </c>
      <c r="M60" s="7" t="n"/>
      <c r="N60" s="6" t="n"/>
      <c r="O60" s="6" t="inlineStr">
        <is>
          <t>Not on reference list</t>
        </is>
      </c>
      <c r="P60" s="6" t="n"/>
      <c r="Q60" s="6" t="n"/>
      <c r="R60" s="6" t="n"/>
      <c r="S60" s="5" t="n">
        <v>2</v>
      </c>
      <c r="T60" s="8" t="n">
        <v>6942.32</v>
      </c>
      <c r="U60" s="8" t="n">
        <v>0</v>
      </c>
      <c r="V60" s="8" t="n">
        <v>0</v>
      </c>
      <c r="W60" s="6" t="n"/>
      <c r="X60" s="8" t="n">
        <v>6942.32</v>
      </c>
      <c r="Y60" s="5" t="n">
        <v>40</v>
      </c>
      <c r="Z60" s="6" t="inlineStr">
        <is>
          <t>M48062</t>
        </is>
      </c>
      <c r="AA60" s="6" t="inlineStr">
        <is>
          <t>M5416</t>
        </is>
      </c>
      <c r="AB60" s="6" t="inlineStr">
        <is>
          <t>G544</t>
        </is>
      </c>
      <c r="AC60" s="6" t="n"/>
      <c r="AD60" s="5" t="n"/>
      <c r="AE60" s="6" t="inlineStr">
        <is>
          <t>LUKE, TIMOTHY</t>
        </is>
      </c>
      <c r="AF60" s="6" t="inlineStr">
        <is>
          <t>ASAP Surgery Centers North Valley LLC</t>
        </is>
      </c>
      <c r="AG60" s="6" t="inlineStr">
        <is>
          <t>07/07/2026</t>
        </is>
      </c>
      <c r="AH60" s="6" t="inlineStr">
        <is>
          <t>ORTHO</t>
        </is>
      </c>
      <c r="AI60" s="9" t="inlineStr">
        <is>
          <t>No timely filing limit on file for this payer - confirm the limit from the contract or provider manual before working this claim.</t>
        </is>
      </c>
      <c r="AJ60" s="5" t="n">
        <v>980</v>
      </c>
    </row>
  </sheetData>
  <autoFilter ref="A1:AJ60"/>
  <conditionalFormatting sqref="L2:O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563011043</v>
      </c>
      <c r="E2" s="6" t="inlineStr">
        <is>
          <t>HF548297248</t>
        </is>
      </c>
      <c r="F2" s="6" t="inlineStr">
        <is>
          <t>06/03/2026</t>
        </is>
      </c>
      <c r="G2" s="6" t="inlineStr">
        <is>
          <t>HealthSpring Medicare Advantage</t>
        </is>
      </c>
      <c r="H2" s="6" t="inlineStr">
        <is>
          <t>HealthSpring Medicare Advantage</t>
        </is>
      </c>
      <c r="I2" s="6" t="inlineStr">
        <is>
          <t>No Payer</t>
        </is>
      </c>
      <c r="J2" s="6" t="inlineStr">
        <is>
          <t>93970</t>
        </is>
      </c>
      <c r="K2" s="4" t="n"/>
      <c r="L2" s="5">
        <f>IF($M2="","",$M2-TODAY())</f>
        <v/>
      </c>
      <c r="M2" s="7" t="n">
        <v>46266</v>
      </c>
      <c r="N2" s="6" t="inlineStr">
        <is>
          <t>90 days</t>
        </is>
      </c>
      <c r="O2" s="6" t="inlineStr">
        <is>
          <t>CIGNA / CIGNA MEDICARE</t>
        </is>
      </c>
      <c r="P2" s="6" t="n"/>
      <c r="Q2" s="6" t="n"/>
      <c r="R2" s="6" t="n"/>
      <c r="S2" s="5" t="n">
        <v>1</v>
      </c>
      <c r="T2" s="8" t="n">
        <v>1294.23</v>
      </c>
      <c r="U2" s="8" t="n">
        <v>0</v>
      </c>
      <c r="V2" s="8" t="n">
        <v>0</v>
      </c>
      <c r="W2" s="6" t="inlineStr">
        <is>
          <t>06/30/2026</t>
        </is>
      </c>
      <c r="X2" s="8" t="n">
        <v>1294.23</v>
      </c>
      <c r="Y2" s="5" t="n">
        <v>66</v>
      </c>
      <c r="Z2" s="6" t="inlineStr">
        <is>
          <t>I739</t>
        </is>
      </c>
      <c r="AA2" s="6" t="inlineStr">
        <is>
          <t>Z86718</t>
        </is>
      </c>
      <c r="AB2" s="6" t="n"/>
      <c r="AC2" s="6" t="n"/>
      <c r="AD2" s="5" t="n"/>
      <c r="AE2" s="6" t="inlineStr">
        <is>
          <t>BURGHER, ABRAM</t>
        </is>
      </c>
      <c r="AF2" s="6" t="inlineStr">
        <is>
          <t>ASAP - Surprise - Reems</t>
        </is>
      </c>
      <c r="AG2" s="6" t="inlineStr">
        <is>
          <t>06/22/2026</t>
        </is>
      </c>
      <c r="AH2" s="6" t="inlineStr">
        <is>
          <t>US</t>
        </is>
      </c>
      <c r="AI2" s="9" t="n"/>
      <c r="AJ2" s="5" t="n">
        <v>580</v>
      </c>
    </row>
    <row r="3">
      <c r="A3" s="2" t="n"/>
      <c r="B3" s="3" t="n"/>
      <c r="C3" s="4" t="n"/>
      <c r="D3" s="5" t="n">
        <v>563023143</v>
      </c>
      <c r="E3" s="6" t="inlineStr">
        <is>
          <t>HF537684538</t>
        </is>
      </c>
      <c r="F3" s="6" t="inlineStr">
        <is>
          <t>06/04/2026</t>
        </is>
      </c>
      <c r="G3" s="6" t="inlineStr">
        <is>
          <t>United Healthcare</t>
        </is>
      </c>
      <c r="H3" s="6" t="inlineStr">
        <is>
          <t>United Healthcare</t>
        </is>
      </c>
      <c r="I3" s="6" t="inlineStr">
        <is>
          <t>No Payer</t>
        </is>
      </c>
      <c r="J3" s="6" t="inlineStr">
        <is>
          <t>93970</t>
        </is>
      </c>
      <c r="K3" s="4" t="n"/>
      <c r="L3" s="5">
        <f>IF($M3="","",$M3-TODAY())</f>
        <v/>
      </c>
      <c r="M3" s="7" t="n">
        <v>46267</v>
      </c>
      <c r="N3" s="6" t="inlineStr">
        <is>
          <t>90 days</t>
        </is>
      </c>
      <c r="O3" s="6" t="inlineStr">
        <is>
          <t>UHC COMMERCIAL</t>
        </is>
      </c>
      <c r="P3" s="6" t="n"/>
      <c r="Q3" s="6" t="n"/>
      <c r="R3" s="6" t="n"/>
      <c r="S3" s="5" t="n">
        <v>1</v>
      </c>
      <c r="T3" s="8" t="n">
        <v>1294.23</v>
      </c>
      <c r="U3" s="8" t="n">
        <v>0</v>
      </c>
      <c r="V3" s="8" t="n">
        <v>0</v>
      </c>
      <c r="W3" s="6" t="n"/>
      <c r="X3" s="8" t="n">
        <v>1294.23</v>
      </c>
      <c r="Y3" s="5" t="n">
        <v>65</v>
      </c>
      <c r="Z3" s="6" t="inlineStr">
        <is>
          <t>I82401</t>
        </is>
      </c>
      <c r="AA3" s="6" t="inlineStr">
        <is>
          <t>M79604</t>
        </is>
      </c>
      <c r="AB3" s="6" t="n"/>
      <c r="AC3" s="6" t="n"/>
      <c r="AD3" s="5" t="n"/>
      <c r="AE3" s="6" t="inlineStr">
        <is>
          <t>TURLEY, TODD</t>
        </is>
      </c>
      <c r="AF3" s="6" t="inlineStr">
        <is>
          <t>ASAP - DEER VALLEY 240</t>
        </is>
      </c>
      <c r="AG3" s="6" t="inlineStr">
        <is>
          <t>06/22/2026</t>
        </is>
      </c>
      <c r="AH3" s="6" t="inlineStr">
        <is>
          <t>US</t>
        </is>
      </c>
      <c r="AI3" s="9" t="n"/>
      <c r="AJ3" s="5" t="n">
        <v>671</v>
      </c>
    </row>
    <row r="4">
      <c r="A4" s="2" t="n"/>
      <c r="B4" s="3" t="n"/>
      <c r="C4" s="4" t="n"/>
      <c r="D4" s="5" t="n">
        <v>563060686</v>
      </c>
      <c r="E4" s="6" t="inlineStr">
        <is>
          <t>HF549710983</t>
        </is>
      </c>
      <c r="F4" s="6" t="inlineStr">
        <is>
          <t>06/09/2026</t>
        </is>
      </c>
      <c r="G4" s="6" t="inlineStr">
        <is>
          <t>UHC Group Medicare Advantage</t>
        </is>
      </c>
      <c r="H4" s="6" t="inlineStr">
        <is>
          <t>UHC Group Medicare Advantage</t>
        </is>
      </c>
      <c r="I4" s="6" t="inlineStr">
        <is>
          <t>No Payer</t>
        </is>
      </c>
      <c r="J4" s="6" t="inlineStr">
        <is>
          <t>93970</t>
        </is>
      </c>
      <c r="K4" s="4" t="n"/>
      <c r="L4" s="5">
        <f>IF($M4="","",$M4-TODAY())</f>
        <v/>
      </c>
      <c r="M4" s="7" t="n">
        <v>46272</v>
      </c>
      <c r="N4" s="6" t="inlineStr">
        <is>
          <t>90 days</t>
        </is>
      </c>
      <c r="O4" s="6" t="inlineStr">
        <is>
          <t>UHC MA</t>
        </is>
      </c>
      <c r="P4" s="6" t="n"/>
      <c r="Q4" s="6" t="n"/>
      <c r="R4" s="6" t="n"/>
      <c r="S4" s="5" t="n">
        <v>1</v>
      </c>
      <c r="T4" s="8" t="n">
        <v>1294.23</v>
      </c>
      <c r="U4" s="8" t="n">
        <v>0</v>
      </c>
      <c r="V4" s="8" t="n">
        <v>0</v>
      </c>
      <c r="W4" s="6" t="n"/>
      <c r="X4" s="8" t="n">
        <v>1294.23</v>
      </c>
      <c r="Y4" s="5" t="n">
        <v>60</v>
      </c>
      <c r="Z4" s="6" t="inlineStr">
        <is>
          <t>G90523</t>
        </is>
      </c>
      <c r="AA4" s="6" t="inlineStr">
        <is>
          <t>M25571</t>
        </is>
      </c>
      <c r="AB4" s="6" t="inlineStr">
        <is>
          <t>M792</t>
        </is>
      </c>
      <c r="AC4" s="6" t="inlineStr">
        <is>
          <t>M79671</t>
        </is>
      </c>
      <c r="AD4" s="5" t="n"/>
      <c r="AE4" s="6" t="inlineStr">
        <is>
          <t>LEATHEM, JARRETT</t>
        </is>
      </c>
      <c r="AF4" s="6" t="inlineStr">
        <is>
          <t>ASAP - Gilbert</t>
        </is>
      </c>
      <c r="AG4" s="6" t="inlineStr">
        <is>
          <t>06/22/2026</t>
        </is>
      </c>
      <c r="AH4" s="6" t="inlineStr">
        <is>
          <t>US</t>
        </is>
      </c>
      <c r="AI4" s="9" t="n"/>
      <c r="AJ4" s="5" t="n">
        <v>256</v>
      </c>
    </row>
    <row r="5">
      <c r="A5" s="2" t="n"/>
      <c r="B5" s="3" t="n"/>
      <c r="C5" s="4" t="n"/>
      <c r="D5" s="5" t="n">
        <v>563060686</v>
      </c>
      <c r="E5" s="6" t="inlineStr">
        <is>
          <t>HF549710983</t>
        </is>
      </c>
      <c r="F5" s="6" t="inlineStr">
        <is>
          <t>06/09/2026</t>
        </is>
      </c>
      <c r="G5" s="6" t="inlineStr">
        <is>
          <t>UHC Group Medicare Advantage</t>
        </is>
      </c>
      <c r="H5" s="6" t="inlineStr">
        <is>
          <t>UHC Group Medicare Advantage</t>
        </is>
      </c>
      <c r="I5" s="6" t="inlineStr">
        <is>
          <t>No Payer</t>
        </is>
      </c>
      <c r="J5" s="6" t="inlineStr">
        <is>
          <t>93925</t>
        </is>
      </c>
      <c r="K5" s="4" t="n"/>
      <c r="L5" s="5">
        <f>IF($M5="","",$M5-TODAY())</f>
        <v/>
      </c>
      <c r="M5" s="7" t="n">
        <v>46272</v>
      </c>
      <c r="N5" s="6" t="inlineStr">
        <is>
          <t>90 days</t>
        </is>
      </c>
      <c r="O5" s="6" t="inlineStr">
        <is>
          <t>UHC MA</t>
        </is>
      </c>
      <c r="P5" s="6" t="n"/>
      <c r="Q5" s="6" t="n"/>
      <c r="R5" s="6" t="n"/>
      <c r="S5" s="5" t="n">
        <v>1</v>
      </c>
      <c r="T5" s="8" t="n">
        <v>1649.2</v>
      </c>
      <c r="U5" s="8" t="n">
        <v>0</v>
      </c>
      <c r="V5" s="8" t="n">
        <v>0</v>
      </c>
      <c r="W5" s="6" t="n"/>
      <c r="X5" s="8" t="n">
        <v>1649.2</v>
      </c>
      <c r="Y5" s="5" t="n">
        <v>60</v>
      </c>
      <c r="Z5" s="6" t="inlineStr">
        <is>
          <t>G90523</t>
        </is>
      </c>
      <c r="AA5" s="6" t="inlineStr">
        <is>
          <t>M25571</t>
        </is>
      </c>
      <c r="AB5" s="6" t="inlineStr">
        <is>
          <t>M792</t>
        </is>
      </c>
      <c r="AC5" s="6" t="inlineStr">
        <is>
          <t>M79671</t>
        </is>
      </c>
      <c r="AD5" s="5" t="n"/>
      <c r="AE5" s="6" t="inlineStr">
        <is>
          <t>LEATHEM, JARRETT</t>
        </is>
      </c>
      <c r="AF5" s="6" t="inlineStr">
        <is>
          <t>ASAP - Gilbert</t>
        </is>
      </c>
      <c r="AG5" s="6" t="inlineStr">
        <is>
          <t>06/22/2026</t>
        </is>
      </c>
      <c r="AH5" s="6" t="inlineStr">
        <is>
          <t>US</t>
        </is>
      </c>
      <c r="AI5" s="9" t="n"/>
      <c r="AJ5" s="5" t="n">
        <v>300</v>
      </c>
    </row>
    <row r="6">
      <c r="A6" s="2" t="n"/>
      <c r="B6" s="3" t="n"/>
      <c r="C6" s="4" t="n"/>
      <c r="D6" s="5" t="n">
        <v>563060686</v>
      </c>
      <c r="E6" s="6" t="inlineStr">
        <is>
          <t>HF549710983</t>
        </is>
      </c>
      <c r="F6" s="6" t="inlineStr">
        <is>
          <t>06/09/2026</t>
        </is>
      </c>
      <c r="G6" s="6" t="inlineStr">
        <is>
          <t>UHC Group Medicare Advantage</t>
        </is>
      </c>
      <c r="H6" s="6" t="inlineStr">
        <is>
          <t>UHC Group Medicare Advantage</t>
        </is>
      </c>
      <c r="I6" s="6" t="inlineStr">
        <is>
          <t>No Payer</t>
        </is>
      </c>
      <c r="J6" s="6" t="inlineStr">
        <is>
          <t>93923</t>
        </is>
      </c>
      <c r="K6" s="4" t="n"/>
      <c r="L6" s="5">
        <f>IF($M6="","",$M6-TODAY())</f>
        <v/>
      </c>
      <c r="M6" s="7" t="n">
        <v>46272</v>
      </c>
      <c r="N6" s="6" t="inlineStr">
        <is>
          <t>90 days</t>
        </is>
      </c>
      <c r="O6" s="6" t="inlineStr">
        <is>
          <t>UHC MA</t>
        </is>
      </c>
      <c r="P6" s="6" t="n"/>
      <c r="Q6" s="6" t="n"/>
      <c r="R6" s="6" t="n"/>
      <c r="S6" s="5" t="n">
        <v>1</v>
      </c>
      <c r="T6" s="8" t="n">
        <v>879.0599999999999</v>
      </c>
      <c r="U6" s="8" t="n">
        <v>0</v>
      </c>
      <c r="V6" s="8" t="n">
        <v>0</v>
      </c>
      <c r="W6" s="6" t="n"/>
      <c r="X6" s="8" t="n">
        <v>879.0599999999999</v>
      </c>
      <c r="Y6" s="5" t="n">
        <v>60</v>
      </c>
      <c r="Z6" s="6" t="inlineStr">
        <is>
          <t>G90523</t>
        </is>
      </c>
      <c r="AA6" s="6" t="inlineStr">
        <is>
          <t>M25571</t>
        </is>
      </c>
      <c r="AB6" s="6" t="inlineStr">
        <is>
          <t>M792</t>
        </is>
      </c>
      <c r="AC6" s="6" t="inlineStr">
        <is>
          <t>M79671</t>
        </is>
      </c>
      <c r="AD6" s="5" t="n"/>
      <c r="AE6" s="6" t="inlineStr">
        <is>
          <t>LEATHEM, JARRETT</t>
        </is>
      </c>
      <c r="AF6" s="6" t="inlineStr">
        <is>
          <t>ASAP - Gilbert</t>
        </is>
      </c>
      <c r="AG6" s="6" t="inlineStr">
        <is>
          <t>06/22/2026</t>
        </is>
      </c>
      <c r="AH6" s="6" t="inlineStr">
        <is>
          <t>US</t>
        </is>
      </c>
      <c r="AI6" s="9" t="n"/>
      <c r="AJ6" s="5" t="n">
        <v>301</v>
      </c>
    </row>
    <row r="7">
      <c r="A7" s="2" t="n"/>
      <c r="B7" s="3" t="n"/>
      <c r="C7" s="4" t="n"/>
      <c r="D7" s="5" t="n">
        <v>563063291</v>
      </c>
      <c r="E7" s="6" t="inlineStr">
        <is>
          <t>HF545581499</t>
        </is>
      </c>
      <c r="F7" s="6" t="inlineStr">
        <is>
          <t>06/10/2026</t>
        </is>
      </c>
      <c r="G7" s="6" t="inlineStr">
        <is>
          <t>Blue Cross Blue Shield of Arizona (BCBS AZ)</t>
        </is>
      </c>
      <c r="H7" s="6" t="inlineStr">
        <is>
          <t>Blue Cross Blue Shield of Arizona (BCBS AZ)</t>
        </is>
      </c>
      <c r="I7" s="6" t="inlineStr">
        <is>
          <t>No Payer</t>
        </is>
      </c>
      <c r="J7" s="6" t="inlineStr">
        <is>
          <t>93925</t>
        </is>
      </c>
      <c r="K7" s="4" t="n"/>
      <c r="L7" s="5">
        <f>IF($M7="","",$M7-TODAY())</f>
        <v/>
      </c>
      <c r="M7" s="7" t="n">
        <v>46273</v>
      </c>
      <c r="N7" s="6" t="inlineStr">
        <is>
          <t>90 days</t>
        </is>
      </c>
      <c r="O7" s="6" t="inlineStr">
        <is>
          <t>BCBS</t>
        </is>
      </c>
      <c r="P7" s="6" t="n"/>
      <c r="Q7" s="6" t="n"/>
      <c r="R7" s="6" t="n"/>
      <c r="S7" s="5" t="n">
        <v>1</v>
      </c>
      <c r="T7" s="8" t="n">
        <v>1649.2</v>
      </c>
      <c r="U7" s="8" t="n">
        <v>0</v>
      </c>
      <c r="V7" s="8" t="n">
        <v>0</v>
      </c>
      <c r="W7" s="6" t="inlineStr">
        <is>
          <t>07/01/2026</t>
        </is>
      </c>
      <c r="X7" s="8" t="n">
        <v>1649.2</v>
      </c>
      <c r="Y7" s="5" t="n">
        <v>59</v>
      </c>
      <c r="Z7" s="6" t="inlineStr">
        <is>
          <t>R600</t>
        </is>
      </c>
      <c r="AA7" s="6" t="n"/>
      <c r="AB7" s="6" t="n"/>
      <c r="AC7" s="6" t="n"/>
      <c r="AD7" s="5" t="n"/>
      <c r="AE7" s="6" t="inlineStr">
        <is>
          <t>BURGHER, ABRAM</t>
        </is>
      </c>
      <c r="AF7" s="6" t="inlineStr">
        <is>
          <t>ASAP - Surprise - Reems</t>
        </is>
      </c>
      <c r="AG7" s="6" t="inlineStr">
        <is>
          <t>06/22/2026</t>
        </is>
      </c>
      <c r="AH7" s="6" t="inlineStr">
        <is>
          <t>US</t>
        </is>
      </c>
      <c r="AI7" s="9" t="inlineStr">
        <is>
          <t>BCBS AZ dropped from 365 to 90 days on 01/01/2026. All dates of service here are 2026, so 90 days applies.</t>
        </is>
      </c>
      <c r="AJ7" s="5" t="n">
        <v>523</v>
      </c>
    </row>
    <row r="8">
      <c r="A8" s="2" t="n"/>
      <c r="B8" s="3" t="n"/>
      <c r="C8" s="4" t="n"/>
      <c r="D8" s="5" t="n">
        <v>563063291</v>
      </c>
      <c r="E8" s="6" t="inlineStr">
        <is>
          <t>HF545581499</t>
        </is>
      </c>
      <c r="F8" s="6" t="inlineStr">
        <is>
          <t>06/10/2026</t>
        </is>
      </c>
      <c r="G8" s="6" t="inlineStr">
        <is>
          <t>Blue Cross Blue Shield of Arizona (BCBS AZ)</t>
        </is>
      </c>
      <c r="H8" s="6" t="inlineStr">
        <is>
          <t>Blue Cross Blue Shield of Arizona (BCBS AZ)</t>
        </is>
      </c>
      <c r="I8" s="6" t="inlineStr">
        <is>
          <t>No Payer</t>
        </is>
      </c>
      <c r="J8" s="6" t="inlineStr">
        <is>
          <t>93923</t>
        </is>
      </c>
      <c r="K8" s="4" t="n"/>
      <c r="L8" s="5">
        <f>IF($M8="","",$M8-TODAY())</f>
        <v/>
      </c>
      <c r="M8" s="7" t="n">
        <v>46273</v>
      </c>
      <c r="N8" s="6" t="inlineStr">
        <is>
          <t>90 days</t>
        </is>
      </c>
      <c r="O8" s="6" t="inlineStr">
        <is>
          <t>BCBS</t>
        </is>
      </c>
      <c r="P8" s="6" t="n"/>
      <c r="Q8" s="6" t="n"/>
      <c r="R8" s="6" t="n"/>
      <c r="S8" s="5" t="n">
        <v>1</v>
      </c>
      <c r="T8" s="8" t="n">
        <v>879.0599999999999</v>
      </c>
      <c r="U8" s="8" t="n">
        <v>0</v>
      </c>
      <c r="V8" s="8" t="n">
        <v>0</v>
      </c>
      <c r="W8" s="6" t="inlineStr">
        <is>
          <t>07/01/2026</t>
        </is>
      </c>
      <c r="X8" s="8" t="n">
        <v>879.0599999999999</v>
      </c>
      <c r="Y8" s="5" t="n">
        <v>59</v>
      </c>
      <c r="Z8" s="6" t="inlineStr">
        <is>
          <t>R600</t>
        </is>
      </c>
      <c r="AA8" s="6" t="n"/>
      <c r="AB8" s="6" t="n"/>
      <c r="AC8" s="6" t="n"/>
      <c r="AD8" s="5" t="n"/>
      <c r="AE8" s="6" t="inlineStr">
        <is>
          <t>BURGHER, ABRAM</t>
        </is>
      </c>
      <c r="AF8" s="6" t="inlineStr">
        <is>
          <t>ASAP - Surprise - Reems</t>
        </is>
      </c>
      <c r="AG8" s="6" t="inlineStr">
        <is>
          <t>06/22/2026</t>
        </is>
      </c>
      <c r="AH8" s="6" t="inlineStr">
        <is>
          <t>US</t>
        </is>
      </c>
      <c r="AI8" s="9" t="inlineStr">
        <is>
          <t>BCBS AZ dropped from 365 to 90 days on 01/01/2026. All dates of service here are 2026, so 90 days applies.</t>
        </is>
      </c>
      <c r="AJ8" s="5" t="n">
        <v>524</v>
      </c>
    </row>
    <row r="9">
      <c r="A9" s="2" t="n"/>
      <c r="B9" s="3" t="n"/>
      <c r="C9" s="4" t="n"/>
      <c r="D9" s="5" t="n">
        <v>563070750</v>
      </c>
      <c r="E9" s="6" t="inlineStr">
        <is>
          <t>HF553337209</t>
        </is>
      </c>
      <c r="F9" s="6" t="inlineStr">
        <is>
          <t>06/17/2026</t>
        </is>
      </c>
      <c r="G9" s="6" t="inlineStr">
        <is>
          <t>HealthSpring Medicare Advantage</t>
        </is>
      </c>
      <c r="H9" s="6" t="inlineStr">
        <is>
          <t>HealthSpring Medicare Advantage</t>
        </is>
      </c>
      <c r="I9" s="6" t="inlineStr">
        <is>
          <t>No Payer</t>
        </is>
      </c>
      <c r="J9" s="6" t="inlineStr">
        <is>
          <t>93923</t>
        </is>
      </c>
      <c r="K9" s="4" t="n"/>
      <c r="L9" s="5">
        <f>IF($M9="","",$M9-TODAY())</f>
        <v/>
      </c>
      <c r="M9" s="7" t="n">
        <v>46280</v>
      </c>
      <c r="N9" s="6" t="inlineStr">
        <is>
          <t>90 days</t>
        </is>
      </c>
      <c r="O9" s="6" t="inlineStr">
        <is>
          <t>CIGNA / CIGNA MEDICARE</t>
        </is>
      </c>
      <c r="P9" s="6" t="n"/>
      <c r="Q9" s="6" t="n"/>
      <c r="R9" s="6" t="n"/>
      <c r="S9" s="5" t="n">
        <v>1</v>
      </c>
      <c r="T9" s="8" t="n">
        <v>879.0599999999999</v>
      </c>
      <c r="U9" s="8" t="n">
        <v>0</v>
      </c>
      <c r="V9" s="8" t="n">
        <v>0</v>
      </c>
      <c r="W9" s="6" t="inlineStr">
        <is>
          <t>06/29/2026</t>
        </is>
      </c>
      <c r="X9" s="8" t="n">
        <v>879.0599999999999</v>
      </c>
      <c r="Y9" s="5" t="n">
        <v>52</v>
      </c>
      <c r="Z9" s="6" t="inlineStr">
        <is>
          <t>I872</t>
        </is>
      </c>
      <c r="AA9" s="6" t="inlineStr">
        <is>
          <t>I739</t>
        </is>
      </c>
      <c r="AB9" s="6" t="n"/>
      <c r="AC9" s="6" t="n"/>
      <c r="AD9" s="5" t="n"/>
      <c r="AE9" s="6" t="inlineStr">
        <is>
          <t>BURGHER, ABRAM</t>
        </is>
      </c>
      <c r="AF9" s="6" t="inlineStr">
        <is>
          <t>ASAP - Surprise - Reems</t>
        </is>
      </c>
      <c r="AG9" s="6" t="inlineStr">
        <is>
          <t>06/22/2026</t>
        </is>
      </c>
      <c r="AH9" s="6" t="inlineStr">
        <is>
          <t>US</t>
        </is>
      </c>
      <c r="AI9" s="9" t="n"/>
      <c r="AJ9" s="5" t="n">
        <v>917</v>
      </c>
    </row>
    <row r="10">
      <c r="A10" s="2" t="n"/>
      <c r="B10" s="3" t="n"/>
      <c r="C10" s="4" t="n"/>
      <c r="D10" s="5" t="n">
        <v>564069244</v>
      </c>
      <c r="E10" s="6" t="inlineStr">
        <is>
          <t>HF372182502</t>
        </is>
      </c>
      <c r="F10" s="6" t="inlineStr">
        <is>
          <t>06/25/2026</t>
        </is>
      </c>
      <c r="G10" s="6" t="inlineStr">
        <is>
          <t>United Healthcare</t>
        </is>
      </c>
      <c r="H10" s="6" t="inlineStr">
        <is>
          <t>United Healthcare</t>
        </is>
      </c>
      <c r="I10" s="6" t="inlineStr">
        <is>
          <t>No Payer</t>
        </is>
      </c>
      <c r="J10" s="6" t="inlineStr">
        <is>
          <t>93970</t>
        </is>
      </c>
      <c r="K10" s="4" t="n"/>
      <c r="L10" s="5">
        <f>IF($M10="","",$M10-TODAY())</f>
        <v/>
      </c>
      <c r="M10" s="7" t="n">
        <v>46288</v>
      </c>
      <c r="N10" s="6" t="inlineStr">
        <is>
          <t>90 days</t>
        </is>
      </c>
      <c r="O10" s="6" t="inlineStr">
        <is>
          <t>UHC COMMERCIAL</t>
        </is>
      </c>
      <c r="P10" s="6" t="n"/>
      <c r="Q10" s="6" t="n"/>
      <c r="R10" s="6" t="n"/>
      <c r="S10" s="5" t="n">
        <v>1</v>
      </c>
      <c r="T10" s="8" t="n">
        <v>1294.23</v>
      </c>
      <c r="U10" s="8" t="n">
        <v>0</v>
      </c>
      <c r="V10" s="8" t="n">
        <v>0</v>
      </c>
      <c r="W10" s="6" t="n"/>
      <c r="X10" s="8" t="n">
        <v>1294.23</v>
      </c>
      <c r="Y10" s="5" t="n">
        <v>44</v>
      </c>
      <c r="Z10" s="6" t="inlineStr">
        <is>
          <t>G9009</t>
        </is>
      </c>
      <c r="AA10" s="6" t="n"/>
      <c r="AB10" s="6" t="n"/>
      <c r="AC10" s="6" t="n"/>
      <c r="AD10" s="5" t="n"/>
      <c r="AE10" s="6" t="inlineStr">
        <is>
          <t>TURLEY, TODD</t>
        </is>
      </c>
      <c r="AF10" s="6" t="inlineStr">
        <is>
          <t>ASAP - DEER VALLEY 240</t>
        </is>
      </c>
      <c r="AG10" s="6" t="inlineStr">
        <is>
          <t>07/01/2026</t>
        </is>
      </c>
      <c r="AH10" s="6" t="inlineStr">
        <is>
          <t>US</t>
        </is>
      </c>
      <c r="AI10" s="9" t="n"/>
      <c r="AJ10" s="5" t="n">
        <v>1026</v>
      </c>
    </row>
    <row r="11">
      <c r="A11" s="2" t="n"/>
      <c r="B11" s="3" t="n"/>
      <c r="C11" s="4" t="n"/>
      <c r="D11" s="5" t="n">
        <v>564069244</v>
      </c>
      <c r="E11" s="6" t="inlineStr">
        <is>
          <t>HF372182502</t>
        </is>
      </c>
      <c r="F11" s="6" t="inlineStr">
        <is>
          <t>06/25/2026</t>
        </is>
      </c>
      <c r="G11" s="6" t="inlineStr">
        <is>
          <t>United Healthcare</t>
        </is>
      </c>
      <c r="H11" s="6" t="inlineStr">
        <is>
          <t>United Healthcare</t>
        </is>
      </c>
      <c r="I11" s="6" t="inlineStr">
        <is>
          <t>No Payer</t>
        </is>
      </c>
      <c r="J11" s="6" t="inlineStr">
        <is>
          <t>93925</t>
        </is>
      </c>
      <c r="K11" s="4" t="n"/>
      <c r="L11" s="5">
        <f>IF($M11="","",$M11-TODAY())</f>
        <v/>
      </c>
      <c r="M11" s="7" t="n">
        <v>46288</v>
      </c>
      <c r="N11" s="6" t="inlineStr">
        <is>
          <t>90 days</t>
        </is>
      </c>
      <c r="O11" s="6" t="inlineStr">
        <is>
          <t>UHC COMMERCIAL</t>
        </is>
      </c>
      <c r="P11" s="6" t="n"/>
      <c r="Q11" s="6" t="n"/>
      <c r="R11" s="6" t="n"/>
      <c r="S11" s="5" t="n">
        <v>1</v>
      </c>
      <c r="T11" s="8" t="n">
        <v>1649.2</v>
      </c>
      <c r="U11" s="8" t="n">
        <v>0</v>
      </c>
      <c r="V11" s="8" t="n">
        <v>0</v>
      </c>
      <c r="W11" s="6" t="n"/>
      <c r="X11" s="8" t="n">
        <v>1649.2</v>
      </c>
      <c r="Y11" s="5" t="n">
        <v>44</v>
      </c>
      <c r="Z11" s="6" t="inlineStr">
        <is>
          <t>G9009</t>
        </is>
      </c>
      <c r="AA11" s="6" t="n"/>
      <c r="AB11" s="6" t="n"/>
      <c r="AC11" s="6" t="n"/>
      <c r="AD11" s="5" t="n"/>
      <c r="AE11" s="6" t="inlineStr">
        <is>
          <t>TURLEY, TODD</t>
        </is>
      </c>
      <c r="AF11" s="6" t="inlineStr">
        <is>
          <t>ASAP - DEER VALLEY 240</t>
        </is>
      </c>
      <c r="AG11" s="6" t="inlineStr">
        <is>
          <t>07/01/2026</t>
        </is>
      </c>
      <c r="AH11" s="6" t="inlineStr">
        <is>
          <t>US</t>
        </is>
      </c>
      <c r="AI11" s="9" t="n"/>
      <c r="AJ11" s="5" t="n">
        <v>1048</v>
      </c>
    </row>
    <row r="12">
      <c r="A12" s="2" t="n"/>
      <c r="B12" s="3" t="n"/>
      <c r="C12" s="4" t="n"/>
      <c r="D12" s="5" t="n">
        <v>564069244</v>
      </c>
      <c r="E12" s="6" t="inlineStr">
        <is>
          <t>HF372182502</t>
        </is>
      </c>
      <c r="F12" s="6" t="inlineStr">
        <is>
          <t>06/25/2026</t>
        </is>
      </c>
      <c r="G12" s="6" t="inlineStr">
        <is>
          <t>United Healthcare</t>
        </is>
      </c>
      <c r="H12" s="6" t="inlineStr">
        <is>
          <t>United Healthcare</t>
        </is>
      </c>
      <c r="I12" s="6" t="inlineStr">
        <is>
          <t>No Payer</t>
        </is>
      </c>
      <c r="J12" s="6" t="inlineStr">
        <is>
          <t>93923</t>
        </is>
      </c>
      <c r="K12" s="4" t="n"/>
      <c r="L12" s="5">
        <f>IF($M12="","",$M12-TODAY())</f>
        <v/>
      </c>
      <c r="M12" s="7" t="n">
        <v>46288</v>
      </c>
      <c r="N12" s="6" t="inlineStr">
        <is>
          <t>90 days</t>
        </is>
      </c>
      <c r="O12" s="6" t="inlineStr">
        <is>
          <t>UHC COMMERCIAL</t>
        </is>
      </c>
      <c r="P12" s="6" t="n"/>
      <c r="Q12" s="6" t="n"/>
      <c r="R12" s="6" t="n"/>
      <c r="S12" s="5" t="n">
        <v>1</v>
      </c>
      <c r="T12" s="8" t="n">
        <v>879.0599999999999</v>
      </c>
      <c r="U12" s="8" t="n">
        <v>0</v>
      </c>
      <c r="V12" s="8" t="n">
        <v>0</v>
      </c>
      <c r="W12" s="6" t="n"/>
      <c r="X12" s="8" t="n">
        <v>879.0599999999999</v>
      </c>
      <c r="Y12" s="5" t="n">
        <v>44</v>
      </c>
      <c r="Z12" s="6" t="inlineStr">
        <is>
          <t>G9009</t>
        </is>
      </c>
      <c r="AA12" s="6" t="n"/>
      <c r="AB12" s="6" t="n"/>
      <c r="AC12" s="6" t="n"/>
      <c r="AD12" s="5" t="n"/>
      <c r="AE12" s="6" t="inlineStr">
        <is>
          <t>TURLEY, TODD</t>
        </is>
      </c>
      <c r="AF12" s="6" t="inlineStr">
        <is>
          <t>ASAP - DEER VALLEY 240</t>
        </is>
      </c>
      <c r="AG12" s="6" t="inlineStr">
        <is>
          <t>07/01/2026</t>
        </is>
      </c>
      <c r="AH12" s="6" t="inlineStr">
        <is>
          <t>US</t>
        </is>
      </c>
      <c r="AI12" s="9" t="n"/>
      <c r="AJ12" s="5" t="n">
        <v>1050</v>
      </c>
    </row>
    <row r="13">
      <c r="A13" s="2" t="n"/>
      <c r="B13" s="3" t="n"/>
      <c r="C13" s="4" t="n"/>
      <c r="D13" s="5" t="n">
        <v>564070165</v>
      </c>
      <c r="E13" s="6" t="inlineStr">
        <is>
          <t>HF554188284</t>
        </is>
      </c>
      <c r="F13" s="6" t="inlineStr">
        <is>
          <t>06/30/2026</t>
        </is>
      </c>
      <c r="G13" s="6" t="inlineStr">
        <is>
          <t>UnitedHealthcare Community Plan / Arizona Long Term Care</t>
        </is>
      </c>
      <c r="H13" s="6" t="inlineStr">
        <is>
          <t>UnitedHealthcare Community Plan / Arizona Long Term Care</t>
        </is>
      </c>
      <c r="I13" s="6" t="inlineStr">
        <is>
          <t>Banner University Family Care / ACC (AHCCS Complete Care)</t>
        </is>
      </c>
      <c r="J13" s="6" t="inlineStr">
        <is>
          <t>93923</t>
        </is>
      </c>
      <c r="K13" s="4" t="n"/>
      <c r="L13" s="5">
        <f>IF($M13="","",$M13-TODAY())</f>
        <v/>
      </c>
      <c r="M13" s="7" t="n">
        <v>46293</v>
      </c>
      <c r="N13" s="6" t="inlineStr">
        <is>
          <t>90 days</t>
        </is>
      </c>
      <c r="O13" s="6" t="inlineStr">
        <is>
          <t>UHC COMMUNITY</t>
        </is>
      </c>
      <c r="P13" s="6" t="n"/>
      <c r="Q13" s="6" t="n"/>
      <c r="R13" s="6" t="n"/>
      <c r="S13" s="5" t="n">
        <v>1</v>
      </c>
      <c r="T13" s="8" t="n">
        <v>879.0599999999999</v>
      </c>
      <c r="U13" s="8" t="n">
        <v>0</v>
      </c>
      <c r="V13" s="8" t="n">
        <v>0</v>
      </c>
      <c r="W13" s="6" t="n"/>
      <c r="X13" s="8" t="n">
        <v>879.0599999999999</v>
      </c>
      <c r="Y13" s="5" t="n">
        <v>39</v>
      </c>
      <c r="Z13" s="6" t="inlineStr">
        <is>
          <t>M79604</t>
        </is>
      </c>
      <c r="AA13" s="6" t="inlineStr">
        <is>
          <t>M79662</t>
        </is>
      </c>
      <c r="AB13" s="6" t="inlineStr">
        <is>
          <t>I739</t>
        </is>
      </c>
      <c r="AC13" s="6" t="n"/>
      <c r="AD13" s="5" t="n"/>
      <c r="AE13" s="6" t="inlineStr">
        <is>
          <t>LEATHEM, JARRETT</t>
        </is>
      </c>
      <c r="AF13" s="6" t="inlineStr">
        <is>
          <t>ASAP - Gilbert</t>
        </is>
      </c>
      <c r="AG13" s="6" t="inlineStr">
        <is>
          <t>07/01/2026</t>
        </is>
      </c>
      <c r="AH13" s="6" t="inlineStr">
        <is>
          <t>US</t>
        </is>
      </c>
      <c r="AI13" s="9" t="n"/>
      <c r="AJ13" s="5" t="n">
        <v>644</v>
      </c>
    </row>
    <row r="14">
      <c r="A14" s="2" t="n"/>
      <c r="B14" s="3" t="n"/>
      <c r="C14" s="4" t="n"/>
      <c r="D14" s="5" t="n">
        <v>564070165</v>
      </c>
      <c r="E14" s="6" t="inlineStr">
        <is>
          <t>HF554188284</t>
        </is>
      </c>
      <c r="F14" s="6" t="inlineStr">
        <is>
          <t>06/30/2026</t>
        </is>
      </c>
      <c r="G14" s="6" t="inlineStr">
        <is>
          <t>UnitedHealthcare Community Plan / Arizona Long Term Care</t>
        </is>
      </c>
      <c r="H14" s="6" t="inlineStr">
        <is>
          <t>UnitedHealthcare Community Plan / Arizona Long Term Care</t>
        </is>
      </c>
      <c r="I14" s="6" t="inlineStr">
        <is>
          <t>Banner University Family Care / ACC (AHCCS Complete Care)</t>
        </is>
      </c>
      <c r="J14" s="6" t="inlineStr">
        <is>
          <t>93925</t>
        </is>
      </c>
      <c r="K14" s="4" t="n"/>
      <c r="L14" s="5">
        <f>IF($M14="","",$M14-TODAY())</f>
        <v/>
      </c>
      <c r="M14" s="7" t="n">
        <v>46293</v>
      </c>
      <c r="N14" s="6" t="inlineStr">
        <is>
          <t>90 days</t>
        </is>
      </c>
      <c r="O14" s="6" t="inlineStr">
        <is>
          <t>UHC COMMUNITY</t>
        </is>
      </c>
      <c r="P14" s="6" t="n"/>
      <c r="Q14" s="6" t="n"/>
      <c r="R14" s="6" t="n"/>
      <c r="S14" s="5" t="n">
        <v>1</v>
      </c>
      <c r="T14" s="8" t="n">
        <v>1649.2</v>
      </c>
      <c r="U14" s="8" t="n">
        <v>0</v>
      </c>
      <c r="V14" s="8" t="n">
        <v>0</v>
      </c>
      <c r="W14" s="6" t="n"/>
      <c r="X14" s="8" t="n">
        <v>1649.2</v>
      </c>
      <c r="Y14" s="5" t="n">
        <v>39</v>
      </c>
      <c r="Z14" s="6" t="inlineStr">
        <is>
          <t>M79604</t>
        </is>
      </c>
      <c r="AA14" s="6" t="inlineStr">
        <is>
          <t>M79662</t>
        </is>
      </c>
      <c r="AB14" s="6" t="inlineStr">
        <is>
          <t>I739</t>
        </is>
      </c>
      <c r="AC14" s="6" t="n"/>
      <c r="AD14" s="5" t="n"/>
      <c r="AE14" s="6" t="inlineStr">
        <is>
          <t>LEATHEM, JARRETT</t>
        </is>
      </c>
      <c r="AF14" s="6" t="inlineStr">
        <is>
          <t>ASAP - Gilbert</t>
        </is>
      </c>
      <c r="AG14" s="6" t="inlineStr">
        <is>
          <t>07/01/2026</t>
        </is>
      </c>
      <c r="AH14" s="6" t="inlineStr">
        <is>
          <t>US</t>
        </is>
      </c>
      <c r="AI14" s="9" t="n"/>
      <c r="AJ14" s="5" t="n">
        <v>645</v>
      </c>
    </row>
    <row r="15">
      <c r="A15" s="2" t="n"/>
      <c r="B15" s="3" t="n"/>
      <c r="C15" s="4" t="n"/>
      <c r="D15" s="5" t="n">
        <v>564070165</v>
      </c>
      <c r="E15" s="6" t="inlineStr">
        <is>
          <t>HF554188284</t>
        </is>
      </c>
      <c r="F15" s="6" t="inlineStr">
        <is>
          <t>06/30/2026</t>
        </is>
      </c>
      <c r="G15" s="6" t="inlineStr">
        <is>
          <t>UnitedHealthcare Community Plan / Arizona Long Term Care</t>
        </is>
      </c>
      <c r="H15" s="6" t="inlineStr">
        <is>
          <t>UnitedHealthcare Community Plan / Arizona Long Term Care</t>
        </is>
      </c>
      <c r="I15" s="6" t="inlineStr">
        <is>
          <t>Banner University Family Care / ACC (AHCCS Complete Care)</t>
        </is>
      </c>
      <c r="J15" s="6" t="inlineStr">
        <is>
          <t>93970</t>
        </is>
      </c>
      <c r="K15" s="4" t="n"/>
      <c r="L15" s="5">
        <f>IF($M15="","",$M15-TODAY())</f>
        <v/>
      </c>
      <c r="M15" s="7" t="n">
        <v>46293</v>
      </c>
      <c r="N15" s="6" t="inlineStr">
        <is>
          <t>90 days</t>
        </is>
      </c>
      <c r="O15" s="6" t="inlineStr">
        <is>
          <t>UHC COMMUNITY</t>
        </is>
      </c>
      <c r="P15" s="6" t="n"/>
      <c r="Q15" s="6" t="n"/>
      <c r="R15" s="6" t="n"/>
      <c r="S15" s="5" t="n">
        <v>1</v>
      </c>
      <c r="T15" s="8" t="n">
        <v>1294.23</v>
      </c>
      <c r="U15" s="8" t="n">
        <v>0</v>
      </c>
      <c r="V15" s="8" t="n">
        <v>0</v>
      </c>
      <c r="W15" s="6" t="n"/>
      <c r="X15" s="8" t="n">
        <v>1294.23</v>
      </c>
      <c r="Y15" s="5" t="n">
        <v>39</v>
      </c>
      <c r="Z15" s="6" t="inlineStr">
        <is>
          <t>M79604</t>
        </is>
      </c>
      <c r="AA15" s="6" t="inlineStr">
        <is>
          <t>M79662</t>
        </is>
      </c>
      <c r="AB15" s="6" t="inlineStr">
        <is>
          <t>I739</t>
        </is>
      </c>
      <c r="AC15" s="6" t="n"/>
      <c r="AD15" s="5" t="n"/>
      <c r="AE15" s="6" t="inlineStr">
        <is>
          <t>LEATHEM, JARRETT</t>
        </is>
      </c>
      <c r="AF15" s="6" t="inlineStr">
        <is>
          <t>ASAP - Gilbert</t>
        </is>
      </c>
      <c r="AG15" s="6" t="inlineStr">
        <is>
          <t>07/01/2026</t>
        </is>
      </c>
      <c r="AH15" s="6" t="inlineStr">
        <is>
          <t>US</t>
        </is>
      </c>
      <c r="AI15" s="9" t="n"/>
      <c r="AJ15" s="5" t="n">
        <v>646</v>
      </c>
    </row>
    <row r="16">
      <c r="A16" s="2" t="n"/>
      <c r="B16" s="3" t="n"/>
      <c r="C16" s="4" t="n"/>
      <c r="D16" s="5" t="n">
        <v>563071059</v>
      </c>
      <c r="E16" s="6" t="inlineStr">
        <is>
          <t>HF559503595</t>
        </is>
      </c>
      <c r="F16" s="6" t="inlineStr">
        <is>
          <t>06/17/2026</t>
        </is>
      </c>
      <c r="G16" s="6" t="inlineStr">
        <is>
          <t>Banner Aetna</t>
        </is>
      </c>
      <c r="H16" s="6" t="inlineStr">
        <is>
          <t>Banner Aetna</t>
        </is>
      </c>
      <c r="I16" s="6" t="inlineStr">
        <is>
          <t>No Payer</t>
        </is>
      </c>
      <c r="J16" s="6" t="inlineStr">
        <is>
          <t>93923</t>
        </is>
      </c>
      <c r="K16" s="4" t="n"/>
      <c r="L16" s="5">
        <f>IF($M16="","",$M16-TODAY())</f>
        <v/>
      </c>
      <c r="M16" s="7" t="n">
        <v>46310</v>
      </c>
      <c r="N16" s="6" t="inlineStr">
        <is>
          <t>120 days</t>
        </is>
      </c>
      <c r="O16" s="6" t="inlineStr">
        <is>
          <t>BANNER HEALTH &amp; AETNA</t>
        </is>
      </c>
      <c r="P16" s="6" t="n"/>
      <c r="Q16" s="6" t="n"/>
      <c r="R16" s="6" t="n"/>
      <c r="S16" s="5" t="n">
        <v>1</v>
      </c>
      <c r="T16" s="8" t="n">
        <v>879.0599999999999</v>
      </c>
      <c r="U16" s="8" t="n">
        <v>0</v>
      </c>
      <c r="V16" s="8" t="n">
        <v>0</v>
      </c>
      <c r="W16" s="6" t="inlineStr">
        <is>
          <t>07/24/2026</t>
        </is>
      </c>
      <c r="X16" s="8" t="n">
        <v>879.0599999999999</v>
      </c>
      <c r="Y16" s="5" t="n">
        <v>52</v>
      </c>
      <c r="Z16" s="6" t="inlineStr">
        <is>
          <t>R600</t>
        </is>
      </c>
      <c r="AA16" s="6" t="n"/>
      <c r="AB16" s="6" t="n"/>
      <c r="AC16" s="6" t="n"/>
      <c r="AD16" s="5" t="n"/>
      <c r="AE16" s="6" t="inlineStr">
        <is>
          <t>BURGHER, ABRAM</t>
        </is>
      </c>
      <c r="AF16" s="6" t="inlineStr">
        <is>
          <t>ASAP - Surprise - Reems</t>
        </is>
      </c>
      <c r="AG16" s="6" t="inlineStr">
        <is>
          <t>06/22/2026</t>
        </is>
      </c>
      <c r="AH16" s="6" t="inlineStr">
        <is>
          <t>US</t>
        </is>
      </c>
      <c r="AI16" s="9" t="n"/>
      <c r="AJ16" s="5" t="n">
        <v>404</v>
      </c>
    </row>
    <row r="17">
      <c r="A17" s="2" t="n"/>
      <c r="B17" s="3" t="n"/>
      <c r="C17" s="4" t="n"/>
      <c r="D17" s="5" t="n">
        <v>564059272</v>
      </c>
      <c r="E17" s="6" t="inlineStr">
        <is>
          <t>HF557103622</t>
        </is>
      </c>
      <c r="F17" s="6" t="inlineStr">
        <is>
          <t>06/18/2026</t>
        </is>
      </c>
      <c r="G17" s="6" t="inlineStr">
        <is>
          <t>TRIWEST VA CCN CLAIMS</t>
        </is>
      </c>
      <c r="H17" s="6" t="inlineStr">
        <is>
          <t>TRIWEST VA CCN CLAIMS</t>
        </is>
      </c>
      <c r="I17" s="6" t="inlineStr">
        <is>
          <t>No Payer</t>
        </is>
      </c>
      <c r="J17" s="6" t="inlineStr">
        <is>
          <t>93925</t>
        </is>
      </c>
      <c r="K17" s="4" t="n"/>
      <c r="L17" s="5">
        <f>IF($M17="","",$M17-TODAY())</f>
        <v/>
      </c>
      <c r="M17" s="7" t="n">
        <v>46371</v>
      </c>
      <c r="N17" s="6" t="inlineStr">
        <is>
          <t>180 days</t>
        </is>
      </c>
      <c r="O17" s="6" t="inlineStr">
        <is>
          <t>VETERANS ADMIN (VA CCN)</t>
        </is>
      </c>
      <c r="P17" s="6" t="n"/>
      <c r="Q17" s="6" t="n"/>
      <c r="R17" s="6" t="n"/>
      <c r="S17" s="5" t="n">
        <v>1</v>
      </c>
      <c r="T17" s="8" t="n">
        <v>1649.2</v>
      </c>
      <c r="U17" s="8" t="n">
        <v>0</v>
      </c>
      <c r="V17" s="8" t="n">
        <v>0</v>
      </c>
      <c r="W17" s="6" t="n"/>
      <c r="X17" s="8" t="n">
        <v>1649.2</v>
      </c>
      <c r="Y17" s="5" t="n">
        <v>51</v>
      </c>
      <c r="Z17" s="6" t="inlineStr">
        <is>
          <t>R2243</t>
        </is>
      </c>
      <c r="AA17" s="6" t="n"/>
      <c r="AB17" s="6" t="n"/>
      <c r="AC17" s="6" t="n"/>
      <c r="AD17" s="5" t="n"/>
      <c r="AE17" s="6" t="inlineStr">
        <is>
          <t>TURLEY, TODD</t>
        </is>
      </c>
      <c r="AF17" s="6" t="inlineStr">
        <is>
          <t>ASAP - DEER VALLEY 240</t>
        </is>
      </c>
      <c r="AG17" s="6" t="inlineStr">
        <is>
          <t>07/01/2026</t>
        </is>
      </c>
      <c r="AH17" s="6" t="inlineStr">
        <is>
          <t>US</t>
        </is>
      </c>
      <c r="AI17" s="9" t="n"/>
      <c r="AJ17" s="5" t="n">
        <v>527</v>
      </c>
    </row>
    <row r="18">
      <c r="A18" s="2" t="n"/>
      <c r="B18" s="3" t="n"/>
      <c r="C18" s="4" t="n"/>
      <c r="D18" s="5" t="n">
        <v>564059272</v>
      </c>
      <c r="E18" s="6" t="inlineStr">
        <is>
          <t>HF557103622</t>
        </is>
      </c>
      <c r="F18" s="6" t="inlineStr">
        <is>
          <t>06/18/2026</t>
        </is>
      </c>
      <c r="G18" s="6" t="inlineStr">
        <is>
          <t>TRIWEST VA CCN CLAIMS</t>
        </is>
      </c>
      <c r="H18" s="6" t="inlineStr">
        <is>
          <t>TRIWEST VA CCN CLAIMS</t>
        </is>
      </c>
      <c r="I18" s="6" t="inlineStr">
        <is>
          <t>No Payer</t>
        </is>
      </c>
      <c r="J18" s="6" t="inlineStr">
        <is>
          <t>93923</t>
        </is>
      </c>
      <c r="K18" s="4" t="n"/>
      <c r="L18" s="5">
        <f>IF($M18="","",$M18-TODAY())</f>
        <v/>
      </c>
      <c r="M18" s="7" t="n">
        <v>46371</v>
      </c>
      <c r="N18" s="6" t="inlineStr">
        <is>
          <t>180 days</t>
        </is>
      </c>
      <c r="O18" s="6" t="inlineStr">
        <is>
          <t>VETERANS ADMIN (VA CCN)</t>
        </is>
      </c>
      <c r="P18" s="6" t="n"/>
      <c r="Q18" s="6" t="n"/>
      <c r="R18" s="6" t="n"/>
      <c r="S18" s="5" t="n">
        <v>1</v>
      </c>
      <c r="T18" s="8" t="n">
        <v>879.0599999999999</v>
      </c>
      <c r="U18" s="8" t="n">
        <v>0</v>
      </c>
      <c r="V18" s="8" t="n">
        <v>0</v>
      </c>
      <c r="W18" s="6" t="n"/>
      <c r="X18" s="8" t="n">
        <v>879.0599999999999</v>
      </c>
      <c r="Y18" s="5" t="n">
        <v>51</v>
      </c>
      <c r="Z18" s="6" t="inlineStr">
        <is>
          <t>R2243</t>
        </is>
      </c>
      <c r="AA18" s="6" t="n"/>
      <c r="AB18" s="6" t="n"/>
      <c r="AC18" s="6" t="n"/>
      <c r="AD18" s="5" t="n"/>
      <c r="AE18" s="6" t="inlineStr">
        <is>
          <t>TURLEY, TODD</t>
        </is>
      </c>
      <c r="AF18" s="6" t="inlineStr">
        <is>
          <t>ASAP - DEER VALLEY 240</t>
        </is>
      </c>
      <c r="AG18" s="6" t="inlineStr">
        <is>
          <t>07/01/2026</t>
        </is>
      </c>
      <c r="AH18" s="6" t="inlineStr">
        <is>
          <t>US</t>
        </is>
      </c>
      <c r="AI18" s="9" t="n"/>
      <c r="AJ18" s="5" t="n">
        <v>528</v>
      </c>
    </row>
    <row r="19">
      <c r="A19" s="2" t="n"/>
      <c r="B19" s="3" t="n"/>
      <c r="C19" s="4" t="n"/>
      <c r="D19" s="5" t="n">
        <v>564059272</v>
      </c>
      <c r="E19" s="6" t="inlineStr">
        <is>
          <t>HF557103622</t>
        </is>
      </c>
      <c r="F19" s="6" t="inlineStr">
        <is>
          <t>06/18/2026</t>
        </is>
      </c>
      <c r="G19" s="6" t="inlineStr">
        <is>
          <t>TRIWEST VA CCN CLAIMS</t>
        </is>
      </c>
      <c r="H19" s="6" t="inlineStr">
        <is>
          <t>TRIWEST VA CCN CLAIMS</t>
        </is>
      </c>
      <c r="I19" s="6" t="inlineStr">
        <is>
          <t>No Payer</t>
        </is>
      </c>
      <c r="J19" s="6" t="inlineStr">
        <is>
          <t>93970</t>
        </is>
      </c>
      <c r="K19" s="4" t="n"/>
      <c r="L19" s="5">
        <f>IF($M19="","",$M19-TODAY())</f>
        <v/>
      </c>
      <c r="M19" s="7" t="n">
        <v>46371</v>
      </c>
      <c r="N19" s="6" t="inlineStr">
        <is>
          <t>180 days</t>
        </is>
      </c>
      <c r="O19" s="6" t="inlineStr">
        <is>
          <t>VETERANS ADMIN (VA CCN)</t>
        </is>
      </c>
      <c r="P19" s="6" t="n"/>
      <c r="Q19" s="6" t="n"/>
      <c r="R19" s="6" t="n"/>
      <c r="S19" s="5" t="n">
        <v>1</v>
      </c>
      <c r="T19" s="8" t="n">
        <v>1294.23</v>
      </c>
      <c r="U19" s="8" t="n">
        <v>0</v>
      </c>
      <c r="V19" s="8" t="n">
        <v>0</v>
      </c>
      <c r="W19" s="6" t="n"/>
      <c r="X19" s="8" t="n">
        <v>1294.23</v>
      </c>
      <c r="Y19" s="5" t="n">
        <v>51</v>
      </c>
      <c r="Z19" s="6" t="inlineStr">
        <is>
          <t>R2243</t>
        </is>
      </c>
      <c r="AA19" s="6" t="n"/>
      <c r="AB19" s="6" t="n"/>
      <c r="AC19" s="6" t="n"/>
      <c r="AD19" s="5" t="n"/>
      <c r="AE19" s="6" t="inlineStr">
        <is>
          <t>TURLEY, TODD</t>
        </is>
      </c>
      <c r="AF19" s="6" t="inlineStr">
        <is>
          <t>ASAP - DEER VALLEY 240</t>
        </is>
      </c>
      <c r="AG19" s="6" t="inlineStr">
        <is>
          <t>07/01/2026</t>
        </is>
      </c>
      <c r="AH19" s="6" t="inlineStr">
        <is>
          <t>US</t>
        </is>
      </c>
      <c r="AI19" s="9" t="n"/>
      <c r="AJ19" s="5" t="n">
        <v>529</v>
      </c>
    </row>
    <row r="20">
      <c r="A20" s="2" t="n"/>
      <c r="B20" s="3" t="n"/>
      <c r="C20" s="4" t="n"/>
      <c r="D20" s="5" t="n">
        <v>563006512</v>
      </c>
      <c r="E20" s="6" t="inlineStr">
        <is>
          <t>HF441949223</t>
        </is>
      </c>
      <c r="F20" s="6" t="inlineStr">
        <is>
          <t>06/02/2026</t>
        </is>
      </c>
      <c r="G20" s="6" t="inlineStr">
        <is>
          <t>Medicare Part B Arizona *</t>
        </is>
      </c>
      <c r="H20" s="6" t="inlineStr">
        <is>
          <t>Medicare Part B Arizona *</t>
        </is>
      </c>
      <c r="I20" s="6" t="inlineStr">
        <is>
          <t>AARP United Healthcare</t>
        </is>
      </c>
      <c r="J20" s="6" t="inlineStr">
        <is>
          <t>93970</t>
        </is>
      </c>
      <c r="K20" s="4" t="n"/>
      <c r="L20" s="5">
        <f>IF($M20="","",$M20-TODAY())</f>
        <v/>
      </c>
      <c r="M20" s="7" t="n">
        <v>46540</v>
      </c>
      <c r="N20" s="6" t="inlineStr">
        <is>
          <t>365 days</t>
        </is>
      </c>
      <c r="O20" s="6" t="inlineStr">
        <is>
          <t>MEDICARE</t>
        </is>
      </c>
      <c r="P20" s="6" t="n"/>
      <c r="Q20" s="6" t="n"/>
      <c r="R20" s="6" t="n"/>
      <c r="S20" s="5" t="n">
        <v>1</v>
      </c>
      <c r="T20" s="8" t="n">
        <v>1294.23</v>
      </c>
      <c r="U20" s="8" t="n">
        <v>0</v>
      </c>
      <c r="V20" s="8" t="n">
        <v>0</v>
      </c>
      <c r="W20" s="6" t="inlineStr">
        <is>
          <t>06/29/2026</t>
        </is>
      </c>
      <c r="X20" s="8" t="n">
        <v>1294.23</v>
      </c>
      <c r="Y20" s="5" t="n">
        <v>67</v>
      </c>
      <c r="Z20" s="6" t="inlineStr">
        <is>
          <t>R609</t>
        </is>
      </c>
      <c r="AA20" s="6" t="inlineStr">
        <is>
          <t>R2240</t>
        </is>
      </c>
      <c r="AB20" s="6" t="n"/>
      <c r="AC20" s="6" t="n"/>
      <c r="AD20" s="5" t="n"/>
      <c r="AE20" s="6" t="inlineStr">
        <is>
          <t>LEATHEM, JARRETT</t>
        </is>
      </c>
      <c r="AF20" s="6" t="inlineStr">
        <is>
          <t>ASAP - Gilbert</t>
        </is>
      </c>
      <c r="AG20" s="6" t="inlineStr">
        <is>
          <t>06/22/2026</t>
        </is>
      </c>
      <c r="AH20" s="6" t="inlineStr">
        <is>
          <t>US</t>
        </is>
      </c>
      <c r="AI20" s="9" t="n"/>
      <c r="AJ20" s="5" t="n">
        <v>549</v>
      </c>
    </row>
    <row r="21">
      <c r="A21" s="2" t="n"/>
      <c r="B21" s="3" t="n"/>
      <c r="C21" s="4" t="n"/>
      <c r="D21" s="5" t="n">
        <v>563006512</v>
      </c>
      <c r="E21" s="6" t="inlineStr">
        <is>
          <t>HF441949223</t>
        </is>
      </c>
      <c r="F21" s="6" t="inlineStr">
        <is>
          <t>06/02/2026</t>
        </is>
      </c>
      <c r="G21" s="6" t="inlineStr">
        <is>
          <t>Medicare Part B Arizona *</t>
        </is>
      </c>
      <c r="H21" s="6" t="inlineStr">
        <is>
          <t>Medicare Part B Arizona *</t>
        </is>
      </c>
      <c r="I21" s="6" t="inlineStr">
        <is>
          <t>AARP United Healthcare</t>
        </is>
      </c>
      <c r="J21" s="6" t="inlineStr">
        <is>
          <t>93923</t>
        </is>
      </c>
      <c r="K21" s="4" t="n"/>
      <c r="L21" s="5">
        <f>IF($M21="","",$M21-TODAY())</f>
        <v/>
      </c>
      <c r="M21" s="7" t="n">
        <v>46540</v>
      </c>
      <c r="N21" s="6" t="inlineStr">
        <is>
          <t>365 days</t>
        </is>
      </c>
      <c r="O21" s="6" t="inlineStr">
        <is>
          <t>MEDICARE</t>
        </is>
      </c>
      <c r="P21" s="6" t="n"/>
      <c r="Q21" s="6" t="n"/>
      <c r="R21" s="6" t="n"/>
      <c r="S21" s="5" t="n">
        <v>1</v>
      </c>
      <c r="T21" s="8" t="n">
        <v>879.0599999999999</v>
      </c>
      <c r="U21" s="8" t="n">
        <v>0</v>
      </c>
      <c r="V21" s="8" t="n">
        <v>0</v>
      </c>
      <c r="W21" s="6" t="inlineStr">
        <is>
          <t>06/29/2026</t>
        </is>
      </c>
      <c r="X21" s="8" t="n">
        <v>879.0599999999999</v>
      </c>
      <c r="Y21" s="5" t="n">
        <v>67</v>
      </c>
      <c r="Z21" s="6" t="inlineStr">
        <is>
          <t>R609</t>
        </is>
      </c>
      <c r="AA21" s="6" t="inlineStr">
        <is>
          <t>R2240</t>
        </is>
      </c>
      <c r="AB21" s="6" t="n"/>
      <c r="AC21" s="6" t="n"/>
      <c r="AD21" s="5" t="n"/>
      <c r="AE21" s="6" t="inlineStr">
        <is>
          <t>LEATHEM, JARRETT</t>
        </is>
      </c>
      <c r="AF21" s="6" t="inlineStr">
        <is>
          <t>ASAP - Gilbert</t>
        </is>
      </c>
      <c r="AG21" s="6" t="inlineStr">
        <is>
          <t>06/22/2026</t>
        </is>
      </c>
      <c r="AH21" s="6" t="inlineStr">
        <is>
          <t>US</t>
        </is>
      </c>
      <c r="AI21" s="9" t="n"/>
      <c r="AJ21" s="5" t="n">
        <v>550</v>
      </c>
    </row>
    <row r="22">
      <c r="A22" s="2" t="n"/>
      <c r="B22" s="3" t="n"/>
      <c r="C22" s="4" t="n"/>
      <c r="D22" s="5" t="n">
        <v>563006512</v>
      </c>
      <c r="E22" s="6" t="inlineStr">
        <is>
          <t>HF441949223</t>
        </is>
      </c>
      <c r="F22" s="6" t="inlineStr">
        <is>
          <t>06/02/2026</t>
        </is>
      </c>
      <c r="G22" s="6" t="inlineStr">
        <is>
          <t>Medicare Part B Arizona *</t>
        </is>
      </c>
      <c r="H22" s="6" t="inlineStr">
        <is>
          <t>Medicare Part B Arizona *</t>
        </is>
      </c>
      <c r="I22" s="6" t="inlineStr">
        <is>
          <t>AARP United Healthcare</t>
        </is>
      </c>
      <c r="J22" s="6" t="inlineStr">
        <is>
          <t>93925</t>
        </is>
      </c>
      <c r="K22" s="4" t="n"/>
      <c r="L22" s="5">
        <f>IF($M22="","",$M22-TODAY())</f>
        <v/>
      </c>
      <c r="M22" s="7" t="n">
        <v>46540</v>
      </c>
      <c r="N22" s="6" t="inlineStr">
        <is>
          <t>365 days</t>
        </is>
      </c>
      <c r="O22" s="6" t="inlineStr">
        <is>
          <t>MEDICARE</t>
        </is>
      </c>
      <c r="P22" s="6" t="n"/>
      <c r="Q22" s="6" t="n"/>
      <c r="R22" s="6" t="n"/>
      <c r="S22" s="5" t="n">
        <v>1</v>
      </c>
      <c r="T22" s="8" t="n">
        <v>1649.2</v>
      </c>
      <c r="U22" s="8" t="n">
        <v>0</v>
      </c>
      <c r="V22" s="8" t="n">
        <v>0</v>
      </c>
      <c r="W22" s="6" t="inlineStr">
        <is>
          <t>06/29/2026</t>
        </is>
      </c>
      <c r="X22" s="8" t="n">
        <v>1649.2</v>
      </c>
      <c r="Y22" s="5" t="n">
        <v>67</v>
      </c>
      <c r="Z22" s="6" t="inlineStr">
        <is>
          <t>R609</t>
        </is>
      </c>
      <c r="AA22" s="6" t="inlineStr">
        <is>
          <t>R2240</t>
        </is>
      </c>
      <c r="AB22" s="6" t="n"/>
      <c r="AC22" s="6" t="n"/>
      <c r="AD22" s="5" t="n"/>
      <c r="AE22" s="6" t="inlineStr">
        <is>
          <t>LEATHEM, JARRETT</t>
        </is>
      </c>
      <c r="AF22" s="6" t="inlineStr">
        <is>
          <t>ASAP - Gilbert</t>
        </is>
      </c>
      <c r="AG22" s="6" t="inlineStr">
        <is>
          <t>06/22/2026</t>
        </is>
      </c>
      <c r="AH22" s="6" t="inlineStr">
        <is>
          <t>US</t>
        </is>
      </c>
      <c r="AI22" s="9" t="n"/>
      <c r="AJ22" s="5" t="n">
        <v>551</v>
      </c>
    </row>
    <row r="23">
      <c r="A23" s="2" t="inlineStr">
        <is>
          <t>Finalized</t>
        </is>
      </c>
      <c r="B23" s="3" t="n"/>
      <c r="C23" s="4" t="n"/>
      <c r="D23" s="5" t="n">
        <v>563023730</v>
      </c>
      <c r="E23" s="6" t="inlineStr">
        <is>
          <t>HF544718675</t>
        </is>
      </c>
      <c r="F23" s="6" t="inlineStr">
        <is>
          <t>06/04/2026</t>
        </is>
      </c>
      <c r="G23" s="6" t="inlineStr">
        <is>
          <t>AARP United Healthcare</t>
        </is>
      </c>
      <c r="H23" s="6" t="inlineStr">
        <is>
          <t>Medicare Part B Arizona *</t>
        </is>
      </c>
      <c r="I23" s="6" t="inlineStr">
        <is>
          <t>AARP United Healthcare</t>
        </is>
      </c>
      <c r="J23" s="6" t="inlineStr">
        <is>
          <t>93925</t>
        </is>
      </c>
      <c r="K23" s="4" t="n"/>
      <c r="L23" s="5">
        <f>IF($M23="","",$M23-TODAY())</f>
        <v/>
      </c>
      <c r="M23" s="7" t="n">
        <v>46542</v>
      </c>
      <c r="N23" s="6" t="inlineStr">
        <is>
          <t>365 days</t>
        </is>
      </c>
      <c r="O23" s="6" t="inlineStr">
        <is>
          <t>MEDICARE</t>
        </is>
      </c>
      <c r="P23" s="6" t="n"/>
      <c r="Q23" s="6" t="n"/>
      <c r="R23" s="6" t="n"/>
      <c r="S23" s="5" t="n">
        <v>1</v>
      </c>
      <c r="T23" s="8" t="n">
        <v>1649.2</v>
      </c>
      <c r="U23" s="8" t="n">
        <v>1438.65</v>
      </c>
      <c r="V23" s="8" t="n">
        <v>164.45</v>
      </c>
      <c r="W23" s="6" t="inlineStr">
        <is>
          <t>07/07/2026</t>
        </is>
      </c>
      <c r="X23" s="8" t="n">
        <v>46.1</v>
      </c>
      <c r="Y23" s="5" t="n">
        <v>65</v>
      </c>
      <c r="Z23" s="6" t="inlineStr">
        <is>
          <t>M79604</t>
        </is>
      </c>
      <c r="AA23" s="6" t="inlineStr">
        <is>
          <t>M79605</t>
        </is>
      </c>
      <c r="AB23" s="6" t="inlineStr">
        <is>
          <t>R202</t>
        </is>
      </c>
      <c r="AC23" s="6" t="n"/>
      <c r="AD23" s="5" t="n">
        <v>566075174</v>
      </c>
      <c r="AE23" s="6" t="inlineStr">
        <is>
          <t>TURLEY, TODD</t>
        </is>
      </c>
      <c r="AF23" s="6" t="inlineStr">
        <is>
          <t>ASAP - DEER VALLEY 240</t>
        </is>
      </c>
      <c r="AG23" s="6" t="inlineStr">
        <is>
          <t>06/22/2026</t>
        </is>
      </c>
      <c r="AH23" s="6" t="inlineStr">
        <is>
          <t>US</t>
        </is>
      </c>
      <c r="AI23" s="9" t="n"/>
      <c r="AJ23" s="5" t="n">
        <v>235</v>
      </c>
    </row>
    <row r="24">
      <c r="A24" s="2" t="inlineStr">
        <is>
          <t>Finalized</t>
        </is>
      </c>
      <c r="B24" s="3" t="n"/>
      <c r="C24" s="4" t="n"/>
      <c r="D24" s="5" t="n">
        <v>563023730</v>
      </c>
      <c r="E24" s="6" t="inlineStr">
        <is>
          <t>HF544718675</t>
        </is>
      </c>
      <c r="F24" s="6" t="inlineStr">
        <is>
          <t>06/04/2026</t>
        </is>
      </c>
      <c r="G24" s="6" t="inlineStr">
        <is>
          <t>AARP United Healthcare</t>
        </is>
      </c>
      <c r="H24" s="6" t="inlineStr">
        <is>
          <t>Medicare Part B Arizona *</t>
        </is>
      </c>
      <c r="I24" s="6" t="inlineStr">
        <is>
          <t>AARP United Healthcare</t>
        </is>
      </c>
      <c r="J24" s="6" t="inlineStr">
        <is>
          <t>93970</t>
        </is>
      </c>
      <c r="K24" s="4" t="n"/>
      <c r="L24" s="5">
        <f>IF($M24="","",$M24-TODAY())</f>
        <v/>
      </c>
      <c r="M24" s="7" t="n">
        <v>46542</v>
      </c>
      <c r="N24" s="6" t="inlineStr">
        <is>
          <t>365 days</t>
        </is>
      </c>
      <c r="O24" s="6" t="inlineStr">
        <is>
          <t>MEDICARE</t>
        </is>
      </c>
      <c r="P24" s="6" t="n"/>
      <c r="Q24" s="6" t="n"/>
      <c r="R24" s="6" t="n"/>
      <c r="S24" s="5" t="n">
        <v>1</v>
      </c>
      <c r="T24" s="8" t="n">
        <v>1294.23</v>
      </c>
      <c r="U24" s="8" t="n">
        <v>1164.6</v>
      </c>
      <c r="V24" s="8" t="n">
        <v>101.25</v>
      </c>
      <c r="W24" s="6" t="inlineStr">
        <is>
          <t>07/07/2026</t>
        </is>
      </c>
      <c r="X24" s="8" t="n">
        <v>28.38</v>
      </c>
      <c r="Y24" s="5" t="n">
        <v>65</v>
      </c>
      <c r="Z24" s="6" t="inlineStr">
        <is>
          <t>M79604</t>
        </is>
      </c>
      <c r="AA24" s="6" t="inlineStr">
        <is>
          <t>M79605</t>
        </is>
      </c>
      <c r="AB24" s="6" t="inlineStr">
        <is>
          <t>R202</t>
        </is>
      </c>
      <c r="AC24" s="6" t="n"/>
      <c r="AD24" s="5" t="n">
        <v>566075174</v>
      </c>
      <c r="AE24" s="6" t="inlineStr">
        <is>
          <t>TURLEY, TODD</t>
        </is>
      </c>
      <c r="AF24" s="6" t="inlineStr">
        <is>
          <t>ASAP - DEER VALLEY 240</t>
        </is>
      </c>
      <c r="AG24" s="6" t="inlineStr">
        <is>
          <t>06/22/2026</t>
        </is>
      </c>
      <c r="AH24" s="6" t="inlineStr">
        <is>
          <t>US</t>
        </is>
      </c>
      <c r="AI24" s="9" t="n"/>
      <c r="AJ24" s="5" t="n">
        <v>268</v>
      </c>
    </row>
    <row r="25">
      <c r="A25" s="2" t="inlineStr">
        <is>
          <t>Finalized</t>
        </is>
      </c>
      <c r="B25" s="3" t="n"/>
      <c r="C25" s="4" t="n"/>
      <c r="D25" s="5" t="n">
        <v>563023730</v>
      </c>
      <c r="E25" s="6" t="inlineStr">
        <is>
          <t>HF544718675</t>
        </is>
      </c>
      <c r="F25" s="6" t="inlineStr">
        <is>
          <t>06/04/2026</t>
        </is>
      </c>
      <c r="G25" s="6" t="inlineStr">
        <is>
          <t>AARP United Healthcare</t>
        </is>
      </c>
      <c r="H25" s="6" t="inlineStr">
        <is>
          <t>Medicare Part B Arizona *</t>
        </is>
      </c>
      <c r="I25" s="6" t="inlineStr">
        <is>
          <t>AARP United Healthcare</t>
        </is>
      </c>
      <c r="J25" s="6" t="inlineStr">
        <is>
          <t>93923</t>
        </is>
      </c>
      <c r="K25" s="4" t="n"/>
      <c r="L25" s="5">
        <f>IF($M25="","",$M25-TODAY())</f>
        <v/>
      </c>
      <c r="M25" s="7" t="n">
        <v>46542</v>
      </c>
      <c r="N25" s="6" t="inlineStr">
        <is>
          <t>365 days</t>
        </is>
      </c>
      <c r="O25" s="6" t="inlineStr">
        <is>
          <t>MEDICARE</t>
        </is>
      </c>
      <c r="P25" s="6" t="n"/>
      <c r="Q25" s="6" t="n"/>
      <c r="R25" s="6" t="n"/>
      <c r="S25" s="5" t="n">
        <v>1</v>
      </c>
      <c r="T25" s="8" t="n">
        <v>879.0599999999999</v>
      </c>
      <c r="U25" s="8" t="n">
        <v>785.49</v>
      </c>
      <c r="V25" s="8" t="n">
        <v>73.08</v>
      </c>
      <c r="W25" s="6" t="inlineStr">
        <is>
          <t>07/07/2026</t>
        </is>
      </c>
      <c r="X25" s="8" t="n">
        <v>20.49</v>
      </c>
      <c r="Y25" s="5" t="n">
        <v>65</v>
      </c>
      <c r="Z25" s="6" t="inlineStr">
        <is>
          <t>M79604</t>
        </is>
      </c>
      <c r="AA25" s="6" t="inlineStr">
        <is>
          <t>M79605</t>
        </is>
      </c>
      <c r="AB25" s="6" t="inlineStr">
        <is>
          <t>R202</t>
        </is>
      </c>
      <c r="AC25" s="6" t="n"/>
      <c r="AD25" s="5" t="n">
        <v>566075174</v>
      </c>
      <c r="AE25" s="6" t="inlineStr">
        <is>
          <t>TURLEY, TODD</t>
        </is>
      </c>
      <c r="AF25" s="6" t="inlineStr">
        <is>
          <t>ASAP - DEER VALLEY 240</t>
        </is>
      </c>
      <c r="AG25" s="6" t="inlineStr">
        <is>
          <t>06/22/2026</t>
        </is>
      </c>
      <c r="AH25" s="6" t="inlineStr">
        <is>
          <t>US</t>
        </is>
      </c>
      <c r="AI25" s="9" t="n"/>
      <c r="AJ25" s="5" t="n">
        <v>269</v>
      </c>
    </row>
    <row r="26">
      <c r="A26" s="2" t="inlineStr">
        <is>
          <t>Finalized</t>
        </is>
      </c>
      <c r="B26" s="3" t="n"/>
      <c r="C26" s="4" t="n"/>
      <c r="D26" s="5" t="n">
        <v>563024734</v>
      </c>
      <c r="E26" s="6" t="inlineStr">
        <is>
          <t>HF364431204</t>
        </is>
      </c>
      <c r="F26" s="6" t="inlineStr">
        <is>
          <t>06/04/2026</t>
        </is>
      </c>
      <c r="G26" s="6" t="inlineStr">
        <is>
          <t>Bankers Life Colonial Penn Life</t>
        </is>
      </c>
      <c r="H26" s="6" t="inlineStr">
        <is>
          <t>Medicare Part B Arizona *</t>
        </is>
      </c>
      <c r="I26" s="6" t="inlineStr">
        <is>
          <t>Bankers Life Colonial Penn Life</t>
        </is>
      </c>
      <c r="J26" s="6" t="inlineStr">
        <is>
          <t>93970</t>
        </is>
      </c>
      <c r="K26" s="4" t="n"/>
      <c r="L26" s="5">
        <f>IF($M26="","",$M26-TODAY())</f>
        <v/>
      </c>
      <c r="M26" s="7" t="n">
        <v>46542</v>
      </c>
      <c r="N26" s="6" t="inlineStr">
        <is>
          <t>365 days</t>
        </is>
      </c>
      <c r="O26" s="6" t="inlineStr">
        <is>
          <t>MEDICARE</t>
        </is>
      </c>
      <c r="P26" s="6" t="n"/>
      <c r="Q26" s="6" t="n"/>
      <c r="R26" s="6" t="n"/>
      <c r="S26" s="5" t="n">
        <v>1</v>
      </c>
      <c r="T26" s="8" t="n">
        <v>1294.23</v>
      </c>
      <c r="U26" s="8" t="n">
        <v>1164.6</v>
      </c>
      <c r="V26" s="8" t="n">
        <v>101.25</v>
      </c>
      <c r="W26" s="6" t="inlineStr">
        <is>
          <t>07/07/2026</t>
        </is>
      </c>
      <c r="X26" s="8" t="n">
        <v>28.38</v>
      </c>
      <c r="Y26" s="5" t="n">
        <v>65</v>
      </c>
      <c r="Z26" s="6" t="inlineStr">
        <is>
          <t>R2241</t>
        </is>
      </c>
      <c r="AA26" s="6" t="n"/>
      <c r="AB26" s="6" t="n"/>
      <c r="AC26" s="6" t="n"/>
      <c r="AD26" s="5" t="n">
        <v>566075177</v>
      </c>
      <c r="AE26" s="6" t="inlineStr">
        <is>
          <t>TURLEY, TODD</t>
        </is>
      </c>
      <c r="AF26" s="6" t="inlineStr">
        <is>
          <t>ASAP - DEER VALLEY 240</t>
        </is>
      </c>
      <c r="AG26" s="6" t="inlineStr">
        <is>
          <t>06/22/2026</t>
        </is>
      </c>
      <c r="AH26" s="6" t="inlineStr">
        <is>
          <t>US</t>
        </is>
      </c>
      <c r="AI26" s="9" t="n"/>
      <c r="AJ26" s="5" t="n">
        <v>125</v>
      </c>
    </row>
    <row r="27">
      <c r="A27" s="2" t="inlineStr">
        <is>
          <t>Finalized</t>
        </is>
      </c>
      <c r="B27" s="3" t="n"/>
      <c r="C27" s="4" t="n"/>
      <c r="D27" s="5" t="n">
        <v>563024734</v>
      </c>
      <c r="E27" s="6" t="inlineStr">
        <is>
          <t>HF364431204</t>
        </is>
      </c>
      <c r="F27" s="6" t="inlineStr">
        <is>
          <t>06/04/2026</t>
        </is>
      </c>
      <c r="G27" s="6" t="inlineStr">
        <is>
          <t>Bankers Life Colonial Penn Life</t>
        </is>
      </c>
      <c r="H27" s="6" t="inlineStr">
        <is>
          <t>Medicare Part B Arizona *</t>
        </is>
      </c>
      <c r="I27" s="6" t="inlineStr">
        <is>
          <t>Bankers Life Colonial Penn Life</t>
        </is>
      </c>
      <c r="J27" s="6" t="inlineStr">
        <is>
          <t>93925</t>
        </is>
      </c>
      <c r="K27" s="4" t="n"/>
      <c r="L27" s="5">
        <f>IF($M27="","",$M27-TODAY())</f>
        <v/>
      </c>
      <c r="M27" s="7" t="n">
        <v>46542</v>
      </c>
      <c r="N27" s="6" t="inlineStr">
        <is>
          <t>365 days</t>
        </is>
      </c>
      <c r="O27" s="6" t="inlineStr">
        <is>
          <t>MEDICARE</t>
        </is>
      </c>
      <c r="P27" s="6" t="n"/>
      <c r="Q27" s="6" t="n"/>
      <c r="R27" s="6" t="n"/>
      <c r="S27" s="5" t="n">
        <v>1</v>
      </c>
      <c r="T27" s="8" t="n">
        <v>1649.2</v>
      </c>
      <c r="U27" s="8" t="n">
        <v>1438.65</v>
      </c>
      <c r="V27" s="8" t="n">
        <v>164.45</v>
      </c>
      <c r="W27" s="6" t="inlineStr">
        <is>
          <t>07/07/2026</t>
        </is>
      </c>
      <c r="X27" s="8" t="n">
        <v>46.1</v>
      </c>
      <c r="Y27" s="5" t="n">
        <v>65</v>
      </c>
      <c r="Z27" s="6" t="inlineStr">
        <is>
          <t>R2241</t>
        </is>
      </c>
      <c r="AA27" s="6" t="n"/>
      <c r="AB27" s="6" t="n"/>
      <c r="AC27" s="6" t="n"/>
      <c r="AD27" s="5" t="n">
        <v>566075177</v>
      </c>
      <c r="AE27" s="6" t="inlineStr">
        <is>
          <t>TURLEY, TODD</t>
        </is>
      </c>
      <c r="AF27" s="6" t="inlineStr">
        <is>
          <t>ASAP - DEER VALLEY 240</t>
        </is>
      </c>
      <c r="AG27" s="6" t="inlineStr">
        <is>
          <t>06/22/2026</t>
        </is>
      </c>
      <c r="AH27" s="6" t="inlineStr">
        <is>
          <t>US</t>
        </is>
      </c>
      <c r="AI27" s="9" t="n"/>
      <c r="AJ27" s="5" t="n">
        <v>165</v>
      </c>
    </row>
    <row r="28">
      <c r="A28" s="2" t="inlineStr">
        <is>
          <t>Finalized</t>
        </is>
      </c>
      <c r="B28" s="3" t="n"/>
      <c r="C28" s="4" t="n"/>
      <c r="D28" s="5" t="n">
        <v>563024734</v>
      </c>
      <c r="E28" s="6" t="inlineStr">
        <is>
          <t>HF364431204</t>
        </is>
      </c>
      <c r="F28" s="6" t="inlineStr">
        <is>
          <t>06/04/2026</t>
        </is>
      </c>
      <c r="G28" s="6" t="inlineStr">
        <is>
          <t>Bankers Life Colonial Penn Life</t>
        </is>
      </c>
      <c r="H28" s="6" t="inlineStr">
        <is>
          <t>Medicare Part B Arizona *</t>
        </is>
      </c>
      <c r="I28" s="6" t="inlineStr">
        <is>
          <t>Bankers Life Colonial Penn Life</t>
        </is>
      </c>
      <c r="J28" s="6" t="inlineStr">
        <is>
          <t>93923</t>
        </is>
      </c>
      <c r="K28" s="4" t="n"/>
      <c r="L28" s="5">
        <f>IF($M28="","",$M28-TODAY())</f>
        <v/>
      </c>
      <c r="M28" s="7" t="n">
        <v>46542</v>
      </c>
      <c r="N28" s="6" t="inlineStr">
        <is>
          <t>365 days</t>
        </is>
      </c>
      <c r="O28" s="6" t="inlineStr">
        <is>
          <t>MEDICARE</t>
        </is>
      </c>
      <c r="P28" s="6" t="n"/>
      <c r="Q28" s="6" t="n"/>
      <c r="R28" s="6" t="n"/>
      <c r="S28" s="5" t="n">
        <v>1</v>
      </c>
      <c r="T28" s="8" t="n">
        <v>879.0599999999999</v>
      </c>
      <c r="U28" s="8" t="n">
        <v>785.49</v>
      </c>
      <c r="V28" s="8" t="n">
        <v>73.08</v>
      </c>
      <c r="W28" s="6" t="inlineStr">
        <is>
          <t>07/07/2026</t>
        </is>
      </c>
      <c r="X28" s="8" t="n">
        <v>20.49</v>
      </c>
      <c r="Y28" s="5" t="n">
        <v>65</v>
      </c>
      <c r="Z28" s="6" t="inlineStr">
        <is>
          <t>R2241</t>
        </is>
      </c>
      <c r="AA28" s="6" t="n"/>
      <c r="AB28" s="6" t="n"/>
      <c r="AC28" s="6" t="n"/>
      <c r="AD28" s="5" t="n">
        <v>566075177</v>
      </c>
      <c r="AE28" s="6" t="inlineStr">
        <is>
          <t>TURLEY, TODD</t>
        </is>
      </c>
      <c r="AF28" s="6" t="inlineStr">
        <is>
          <t>ASAP - DEER VALLEY 240</t>
        </is>
      </c>
      <c r="AG28" s="6" t="inlineStr">
        <is>
          <t>06/22/2026</t>
        </is>
      </c>
      <c r="AH28" s="6" t="inlineStr">
        <is>
          <t>US</t>
        </is>
      </c>
      <c r="AI28" s="9" t="n"/>
      <c r="AJ28" s="5" t="n">
        <v>166</v>
      </c>
    </row>
    <row r="29">
      <c r="A29" s="2" t="n"/>
      <c r="B29" s="3" t="n"/>
      <c r="C29" s="4" t="n"/>
      <c r="D29" s="5" t="n">
        <v>563068412</v>
      </c>
      <c r="E29" s="6" t="inlineStr">
        <is>
          <t>HF559660036</t>
        </is>
      </c>
      <c r="F29" s="6" t="inlineStr">
        <is>
          <t>06/16/2026</t>
        </is>
      </c>
      <c r="G29" s="6" t="inlineStr">
        <is>
          <t>Medicare Part B Arizona *</t>
        </is>
      </c>
      <c r="H29" s="6" t="inlineStr">
        <is>
          <t>Medicare Part B Arizona *</t>
        </is>
      </c>
      <c r="I29" s="6" t="inlineStr">
        <is>
          <t>No Payer</t>
        </is>
      </c>
      <c r="J29" s="6" t="inlineStr">
        <is>
          <t>93923</t>
        </is>
      </c>
      <c r="K29" s="4" t="n"/>
      <c r="L29" s="5">
        <f>IF($M29="","",$M29-TODAY())</f>
        <v/>
      </c>
      <c r="M29" s="7" t="n">
        <v>46554</v>
      </c>
      <c r="N29" s="6" t="inlineStr">
        <is>
          <t>365 days</t>
        </is>
      </c>
      <c r="O29" s="6" t="inlineStr">
        <is>
          <t>MEDICARE</t>
        </is>
      </c>
      <c r="P29" s="6" t="n"/>
      <c r="Q29" s="6" t="n"/>
      <c r="R29" s="6" t="n"/>
      <c r="S29" s="5" t="n">
        <v>1</v>
      </c>
      <c r="T29" s="8" t="n">
        <v>879.0599999999999</v>
      </c>
      <c r="U29" s="8" t="n">
        <v>0</v>
      </c>
      <c r="V29" s="8" t="n">
        <v>0</v>
      </c>
      <c r="W29" s="6" t="inlineStr">
        <is>
          <t>06/29/2026</t>
        </is>
      </c>
      <c r="X29" s="8" t="n">
        <v>879.0599999999999</v>
      </c>
      <c r="Y29" s="5" t="n">
        <v>53</v>
      </c>
      <c r="Z29" s="6" t="inlineStr">
        <is>
          <t>G549</t>
        </is>
      </c>
      <c r="AA29" s="6" t="inlineStr">
        <is>
          <t>I70213</t>
        </is>
      </c>
      <c r="AB29" s="6" t="n"/>
      <c r="AC29" s="6" t="n"/>
      <c r="AD29" s="5" t="n"/>
      <c r="AE29" s="6" t="inlineStr">
        <is>
          <t>LEATHEM, JARRETT</t>
        </is>
      </c>
      <c r="AF29" s="6" t="inlineStr">
        <is>
          <t>ASAP - Gilbert</t>
        </is>
      </c>
      <c r="AG29" s="6" t="inlineStr">
        <is>
          <t>06/22/2026</t>
        </is>
      </c>
      <c r="AH29" s="6" t="inlineStr">
        <is>
          <t>US</t>
        </is>
      </c>
      <c r="AI29" s="9" t="n"/>
      <c r="AJ29" s="5" t="n">
        <v>326</v>
      </c>
    </row>
    <row r="30">
      <c r="A30" s="2" t="n"/>
      <c r="B30" s="3" t="n"/>
      <c r="C30" s="4" t="n"/>
      <c r="D30" s="5" t="n">
        <v>563068412</v>
      </c>
      <c r="E30" s="6" t="inlineStr">
        <is>
          <t>HF559660036</t>
        </is>
      </c>
      <c r="F30" s="6" t="inlineStr">
        <is>
          <t>06/16/2026</t>
        </is>
      </c>
      <c r="G30" s="6" t="inlineStr">
        <is>
          <t>Medicare Part B Arizona *</t>
        </is>
      </c>
      <c r="H30" s="6" t="inlineStr">
        <is>
          <t>Medicare Part B Arizona *</t>
        </is>
      </c>
      <c r="I30" s="6" t="inlineStr">
        <is>
          <t>No Payer</t>
        </is>
      </c>
      <c r="J30" s="6" t="inlineStr">
        <is>
          <t>93970</t>
        </is>
      </c>
      <c r="K30" s="4" t="n"/>
      <c r="L30" s="5">
        <f>IF($M30="","",$M30-TODAY())</f>
        <v/>
      </c>
      <c r="M30" s="7" t="n">
        <v>46554</v>
      </c>
      <c r="N30" s="6" t="inlineStr">
        <is>
          <t>365 days</t>
        </is>
      </c>
      <c r="O30" s="6" t="inlineStr">
        <is>
          <t>MEDICARE</t>
        </is>
      </c>
      <c r="P30" s="6" t="n"/>
      <c r="Q30" s="6" t="n"/>
      <c r="R30" s="6" t="n"/>
      <c r="S30" s="5" t="n">
        <v>1</v>
      </c>
      <c r="T30" s="8" t="n">
        <v>1294.23</v>
      </c>
      <c r="U30" s="8" t="n">
        <v>0</v>
      </c>
      <c r="V30" s="8" t="n">
        <v>0</v>
      </c>
      <c r="W30" s="6" t="inlineStr">
        <is>
          <t>06/29/2026</t>
        </is>
      </c>
      <c r="X30" s="8" t="n">
        <v>1294.23</v>
      </c>
      <c r="Y30" s="5" t="n">
        <v>53</v>
      </c>
      <c r="Z30" s="6" t="inlineStr">
        <is>
          <t>G549</t>
        </is>
      </c>
      <c r="AA30" s="6" t="inlineStr">
        <is>
          <t>I70213</t>
        </is>
      </c>
      <c r="AB30" s="6" t="n"/>
      <c r="AC30" s="6" t="n"/>
      <c r="AD30" s="5" t="n"/>
      <c r="AE30" s="6" t="inlineStr">
        <is>
          <t>LEATHEM, JARRETT</t>
        </is>
      </c>
      <c r="AF30" s="6" t="inlineStr">
        <is>
          <t>ASAP - Gilbert</t>
        </is>
      </c>
      <c r="AG30" s="6" t="inlineStr">
        <is>
          <t>06/22/2026</t>
        </is>
      </c>
      <c r="AH30" s="6" t="inlineStr">
        <is>
          <t>US</t>
        </is>
      </c>
      <c r="AI30" s="9" t="n"/>
      <c r="AJ30" s="5" t="n">
        <v>327</v>
      </c>
    </row>
    <row r="31">
      <c r="A31" s="2" t="n"/>
      <c r="B31" s="3" t="n"/>
      <c r="C31" s="4" t="n"/>
      <c r="D31" s="5" t="n">
        <v>563068412</v>
      </c>
      <c r="E31" s="6" t="inlineStr">
        <is>
          <t>HF559660036</t>
        </is>
      </c>
      <c r="F31" s="6" t="inlineStr">
        <is>
          <t>06/16/2026</t>
        </is>
      </c>
      <c r="G31" s="6" t="inlineStr">
        <is>
          <t>Medicare Part B Arizona *</t>
        </is>
      </c>
      <c r="H31" s="6" t="inlineStr">
        <is>
          <t>Medicare Part B Arizona *</t>
        </is>
      </c>
      <c r="I31" s="6" t="inlineStr">
        <is>
          <t>No Payer</t>
        </is>
      </c>
      <c r="J31" s="6" t="inlineStr">
        <is>
          <t>93925</t>
        </is>
      </c>
      <c r="K31" s="4" t="n"/>
      <c r="L31" s="5">
        <f>IF($M31="","",$M31-TODAY())</f>
        <v/>
      </c>
      <c r="M31" s="7" t="n">
        <v>46554</v>
      </c>
      <c r="N31" s="6" t="inlineStr">
        <is>
          <t>365 days</t>
        </is>
      </c>
      <c r="O31" s="6" t="inlineStr">
        <is>
          <t>MEDICARE</t>
        </is>
      </c>
      <c r="P31" s="6" t="n"/>
      <c r="Q31" s="6" t="n"/>
      <c r="R31" s="6" t="n"/>
      <c r="S31" s="5" t="n">
        <v>1</v>
      </c>
      <c r="T31" s="8" t="n">
        <v>1649.2</v>
      </c>
      <c r="U31" s="8" t="n">
        <v>0</v>
      </c>
      <c r="V31" s="8" t="n">
        <v>0</v>
      </c>
      <c r="W31" s="6" t="inlineStr">
        <is>
          <t>06/29/2026</t>
        </is>
      </c>
      <c r="X31" s="8" t="n">
        <v>1649.2</v>
      </c>
      <c r="Y31" s="5" t="n">
        <v>53</v>
      </c>
      <c r="Z31" s="6" t="inlineStr">
        <is>
          <t>G549</t>
        </is>
      </c>
      <c r="AA31" s="6" t="inlineStr">
        <is>
          <t>I70213</t>
        </is>
      </c>
      <c r="AB31" s="6" t="n"/>
      <c r="AC31" s="6" t="n"/>
      <c r="AD31" s="5" t="n"/>
      <c r="AE31" s="6" t="inlineStr">
        <is>
          <t>LEATHEM, JARRETT</t>
        </is>
      </c>
      <c r="AF31" s="6" t="inlineStr">
        <is>
          <t>ASAP - Gilbert</t>
        </is>
      </c>
      <c r="AG31" s="6" t="inlineStr">
        <is>
          <t>06/22/2026</t>
        </is>
      </c>
      <c r="AH31" s="6" t="inlineStr">
        <is>
          <t>US</t>
        </is>
      </c>
      <c r="AI31" s="9" t="n"/>
      <c r="AJ31" s="5" t="n">
        <v>328</v>
      </c>
    </row>
    <row r="32">
      <c r="A32" s="2" t="n"/>
      <c r="B32" s="3" t="n"/>
      <c r="C32" s="4" t="n"/>
      <c r="D32" s="5" t="n">
        <v>564058406</v>
      </c>
      <c r="E32" s="6" t="inlineStr">
        <is>
          <t>HF467995431</t>
        </is>
      </c>
      <c r="F32" s="6" t="inlineStr">
        <is>
          <t>06/18/2026</t>
        </is>
      </c>
      <c r="G32" s="6" t="inlineStr">
        <is>
          <t>Medicare Part B Arizona *</t>
        </is>
      </c>
      <c r="H32" s="6" t="inlineStr">
        <is>
          <t>Medicare Part B Arizona *</t>
        </is>
      </c>
      <c r="I32" s="6" t="inlineStr">
        <is>
          <t>AARP United Healthcare</t>
        </is>
      </c>
      <c r="J32" s="6" t="inlineStr">
        <is>
          <t>93970</t>
        </is>
      </c>
      <c r="K32" s="4" t="n"/>
      <c r="L32" s="5">
        <f>IF($M32="","",$M32-TODAY())</f>
        <v/>
      </c>
      <c r="M32" s="7" t="n">
        <v>46556</v>
      </c>
      <c r="N32" s="6" t="inlineStr">
        <is>
          <t>365 days</t>
        </is>
      </c>
      <c r="O32" s="6" t="inlineStr">
        <is>
          <t>MEDICARE</t>
        </is>
      </c>
      <c r="P32" s="6" t="n"/>
      <c r="Q32" s="6" t="n"/>
      <c r="R32" s="6" t="n"/>
      <c r="S32" s="5" t="n">
        <v>1</v>
      </c>
      <c r="T32" s="8" t="n">
        <v>1294.23</v>
      </c>
      <c r="U32" s="8" t="n">
        <v>0</v>
      </c>
      <c r="V32" s="8" t="n">
        <v>0</v>
      </c>
      <c r="W32" s="6" t="inlineStr">
        <is>
          <t>07/09/2026</t>
        </is>
      </c>
      <c r="X32" s="8" t="n">
        <v>1294.23</v>
      </c>
      <c r="Y32" s="5" t="n">
        <v>51</v>
      </c>
      <c r="Z32" s="6" t="inlineStr">
        <is>
          <t>I83811</t>
        </is>
      </c>
      <c r="AA32" s="6" t="inlineStr">
        <is>
          <t>I872</t>
        </is>
      </c>
      <c r="AB32" s="6" t="inlineStr">
        <is>
          <t>M1711</t>
        </is>
      </c>
      <c r="AC32" s="6" t="n"/>
      <c r="AD32" s="5" t="n"/>
      <c r="AE32" s="6" t="inlineStr">
        <is>
          <t>TURLEY, TODD</t>
        </is>
      </c>
      <c r="AF32" s="6" t="inlineStr">
        <is>
          <t>ASAP - DEER VALLEY 240</t>
        </is>
      </c>
      <c r="AG32" s="6" t="inlineStr">
        <is>
          <t>07/01/2026</t>
        </is>
      </c>
      <c r="AH32" s="6" t="inlineStr">
        <is>
          <t>US</t>
        </is>
      </c>
      <c r="AI32" s="9" t="n"/>
      <c r="AJ32" s="5" t="n">
        <v>874</v>
      </c>
    </row>
    <row r="33">
      <c r="A33" s="2" t="inlineStr">
        <is>
          <t>Finalized</t>
        </is>
      </c>
      <c r="B33" s="3" t="n"/>
      <c r="C33" s="4" t="n"/>
      <c r="D33" s="5" t="n">
        <v>564587230</v>
      </c>
      <c r="E33" s="6" t="inlineStr">
        <is>
          <t>HF497148337</t>
        </is>
      </c>
      <c r="F33" s="6" t="inlineStr">
        <is>
          <t>06/23/2026</t>
        </is>
      </c>
      <c r="G33" s="6" t="inlineStr">
        <is>
          <t>Aetna Senior Supplemental (AESSI) - Secondary Only 62118</t>
        </is>
      </c>
      <c r="H33" s="6" t="inlineStr">
        <is>
          <t>Medicare Part B Arizona *</t>
        </is>
      </c>
      <c r="I33" s="6" t="inlineStr">
        <is>
          <t>Aetna Senior Supplemental (AESSI) - Secondary Only 62118</t>
        </is>
      </c>
      <c r="J33" s="6" t="inlineStr">
        <is>
          <t>93970</t>
        </is>
      </c>
      <c r="K33" s="4" t="n"/>
      <c r="L33" s="5">
        <f>IF($M33="","",$M33-TODAY())</f>
        <v/>
      </c>
      <c r="M33" s="7" t="n">
        <v>46561</v>
      </c>
      <c r="N33" s="6" t="inlineStr">
        <is>
          <t>365 days</t>
        </is>
      </c>
      <c r="O33" s="6" t="inlineStr">
        <is>
          <t>MEDICARE</t>
        </is>
      </c>
      <c r="P33" s="6" t="n"/>
      <c r="Q33" s="6" t="n"/>
      <c r="R33" s="6" t="n"/>
      <c r="S33" s="5" t="n">
        <v>1</v>
      </c>
      <c r="T33" s="8" t="n">
        <v>1294.23</v>
      </c>
      <c r="U33" s="8" t="n">
        <v>1131</v>
      </c>
      <c r="V33" s="8" t="n">
        <v>127.49</v>
      </c>
      <c r="W33" s="6" t="inlineStr">
        <is>
          <t>07/22/2026</t>
        </is>
      </c>
      <c r="X33" s="8" t="n">
        <v>35.74</v>
      </c>
      <c r="Y33" s="5" t="n">
        <v>46</v>
      </c>
      <c r="Z33" s="6" t="inlineStr">
        <is>
          <t>I83011</t>
        </is>
      </c>
      <c r="AA33" s="6" t="inlineStr">
        <is>
          <t>I872</t>
        </is>
      </c>
      <c r="AB33" s="6" t="n"/>
      <c r="AC33" s="6" t="n"/>
      <c r="AD33" s="5" t="n">
        <v>567791264</v>
      </c>
      <c r="AE33" s="6" t="inlineStr">
        <is>
          <t>LEATHEM, JARRETT</t>
        </is>
      </c>
      <c r="AF33" s="6" t="inlineStr">
        <is>
          <t>ASAP - Gilbert</t>
        </is>
      </c>
      <c r="AG33" s="6" t="inlineStr">
        <is>
          <t>07/07/2026</t>
        </is>
      </c>
      <c r="AH33" s="6" t="inlineStr">
        <is>
          <t>US</t>
        </is>
      </c>
      <c r="AI33" s="9" t="n"/>
      <c r="AJ33" s="5" t="n">
        <v>170</v>
      </c>
    </row>
    <row r="34">
      <c r="A34" s="2" t="inlineStr">
        <is>
          <t>Finalized</t>
        </is>
      </c>
      <c r="B34" s="3" t="n"/>
      <c r="C34" s="4" t="n"/>
      <c r="D34" s="5" t="n">
        <v>564546707</v>
      </c>
      <c r="E34" s="6" t="inlineStr">
        <is>
          <t>HF562069201</t>
        </is>
      </c>
      <c r="F34" s="6" t="inlineStr">
        <is>
          <t>06/30/2026</t>
        </is>
      </c>
      <c r="G34" s="6" t="inlineStr">
        <is>
          <t>Mutual of Omaha Insurance Company</t>
        </is>
      </c>
      <c r="H34" s="6" t="inlineStr">
        <is>
          <t>Medicare Part B Arizona *</t>
        </is>
      </c>
      <c r="I34" s="6" t="inlineStr">
        <is>
          <t>Mutual of Omaha Insurance Company</t>
        </is>
      </c>
      <c r="J34" s="6" t="inlineStr">
        <is>
          <t>93923</t>
        </is>
      </c>
      <c r="K34" s="4" t="n"/>
      <c r="L34" s="5">
        <f>IF($M34="","",$M34-TODAY())</f>
        <v/>
      </c>
      <c r="M34" s="7" t="n">
        <v>46568</v>
      </c>
      <c r="N34" s="6" t="inlineStr">
        <is>
          <t>365 days</t>
        </is>
      </c>
      <c r="O34" s="6" t="inlineStr">
        <is>
          <t>MEDICARE</t>
        </is>
      </c>
      <c r="P34" s="6" t="n"/>
      <c r="Q34" s="6" t="n"/>
      <c r="R34" s="6" t="n"/>
      <c r="S34" s="5" t="n">
        <v>1</v>
      </c>
      <c r="T34" s="8" t="n">
        <v>879.0599999999999</v>
      </c>
      <c r="U34" s="8" t="n">
        <v>785.49</v>
      </c>
      <c r="V34" s="8" t="n">
        <v>73.08</v>
      </c>
      <c r="W34" s="6" t="inlineStr">
        <is>
          <t>07/22/2026</t>
        </is>
      </c>
      <c r="X34" s="8" t="n">
        <v>20.49</v>
      </c>
      <c r="Y34" s="5" t="n">
        <v>39</v>
      </c>
      <c r="Z34" s="6" t="inlineStr">
        <is>
          <t>I739</t>
        </is>
      </c>
      <c r="AA34" s="6" t="inlineStr">
        <is>
          <t>M79605</t>
        </is>
      </c>
      <c r="AB34" s="6" t="inlineStr">
        <is>
          <t>M79604</t>
        </is>
      </c>
      <c r="AC34" s="6" t="n"/>
      <c r="AD34" s="5" t="n">
        <v>567791377</v>
      </c>
      <c r="AE34" s="6" t="inlineStr">
        <is>
          <t>LEATHEM, JARRETT</t>
        </is>
      </c>
      <c r="AF34" s="6" t="inlineStr">
        <is>
          <t>ASAP - Gilbert</t>
        </is>
      </c>
      <c r="AG34" s="6" t="inlineStr">
        <is>
          <t>07/07/2026</t>
        </is>
      </c>
      <c r="AH34" s="6" t="inlineStr">
        <is>
          <t>US</t>
        </is>
      </c>
      <c r="AI34" s="9" t="n"/>
      <c r="AJ34" s="5" t="n">
        <v>74</v>
      </c>
    </row>
    <row r="35">
      <c r="A35" s="2" t="inlineStr">
        <is>
          <t>Finalized</t>
        </is>
      </c>
      <c r="B35" s="3" t="n"/>
      <c r="C35" s="4" t="n"/>
      <c r="D35" s="5" t="n">
        <v>564546707</v>
      </c>
      <c r="E35" s="6" t="inlineStr">
        <is>
          <t>HF562069201</t>
        </is>
      </c>
      <c r="F35" s="6" t="inlineStr">
        <is>
          <t>06/30/2026</t>
        </is>
      </c>
      <c r="G35" s="6" t="inlineStr">
        <is>
          <t>Mutual of Omaha Insurance Company</t>
        </is>
      </c>
      <c r="H35" s="6" t="inlineStr">
        <is>
          <t>Medicare Part B Arizona *</t>
        </is>
      </c>
      <c r="I35" s="6" t="inlineStr">
        <is>
          <t>Mutual of Omaha Insurance Company</t>
        </is>
      </c>
      <c r="J35" s="6" t="inlineStr">
        <is>
          <t>93970</t>
        </is>
      </c>
      <c r="K35" s="4" t="n"/>
      <c r="L35" s="5">
        <f>IF($M35="","",$M35-TODAY())</f>
        <v/>
      </c>
      <c r="M35" s="7" t="n">
        <v>46568</v>
      </c>
      <c r="N35" s="6" t="inlineStr">
        <is>
          <t>365 days</t>
        </is>
      </c>
      <c r="O35" s="6" t="inlineStr">
        <is>
          <t>MEDICARE</t>
        </is>
      </c>
      <c r="P35" s="6" t="n"/>
      <c r="Q35" s="6" t="n"/>
      <c r="R35" s="6" t="n"/>
      <c r="S35" s="5" t="n">
        <v>1</v>
      </c>
      <c r="T35" s="8" t="n">
        <v>1294.23</v>
      </c>
      <c r="U35" s="8" t="n">
        <v>1164.6</v>
      </c>
      <c r="V35" s="8" t="n">
        <v>101.25</v>
      </c>
      <c r="W35" s="6" t="inlineStr">
        <is>
          <t>07/22/2026</t>
        </is>
      </c>
      <c r="X35" s="8" t="n">
        <v>28.38</v>
      </c>
      <c r="Y35" s="5" t="n">
        <v>39</v>
      </c>
      <c r="Z35" s="6" t="inlineStr">
        <is>
          <t>I739</t>
        </is>
      </c>
      <c r="AA35" s="6" t="inlineStr">
        <is>
          <t>M79605</t>
        </is>
      </c>
      <c r="AB35" s="6" t="inlineStr">
        <is>
          <t>M79604</t>
        </is>
      </c>
      <c r="AC35" s="6" t="n"/>
      <c r="AD35" s="5" t="n">
        <v>567791377</v>
      </c>
      <c r="AE35" s="6" t="inlineStr">
        <is>
          <t>LEATHEM, JARRETT</t>
        </is>
      </c>
      <c r="AF35" s="6" t="inlineStr">
        <is>
          <t>ASAP - Gilbert</t>
        </is>
      </c>
      <c r="AG35" s="6" t="inlineStr">
        <is>
          <t>07/07/2026</t>
        </is>
      </c>
      <c r="AH35" s="6" t="inlineStr">
        <is>
          <t>US</t>
        </is>
      </c>
      <c r="AI35" s="9" t="n"/>
      <c r="AJ35" s="5" t="n">
        <v>75</v>
      </c>
    </row>
    <row r="36">
      <c r="A36" s="2" t="inlineStr">
        <is>
          <t>Finalized</t>
        </is>
      </c>
      <c r="B36" s="3" t="n"/>
      <c r="C36" s="4" t="n"/>
      <c r="D36" s="5" t="n">
        <v>564546707</v>
      </c>
      <c r="E36" s="6" t="inlineStr">
        <is>
          <t>HF562069201</t>
        </is>
      </c>
      <c r="F36" s="6" t="inlineStr">
        <is>
          <t>06/30/2026</t>
        </is>
      </c>
      <c r="G36" s="6" t="inlineStr">
        <is>
          <t>Mutual of Omaha Insurance Company</t>
        </is>
      </c>
      <c r="H36" s="6" t="inlineStr">
        <is>
          <t>Medicare Part B Arizona *</t>
        </is>
      </c>
      <c r="I36" s="6" t="inlineStr">
        <is>
          <t>Mutual of Omaha Insurance Company</t>
        </is>
      </c>
      <c r="J36" s="6" t="inlineStr">
        <is>
          <t>93925</t>
        </is>
      </c>
      <c r="K36" s="4" t="n"/>
      <c r="L36" s="5">
        <f>IF($M36="","",$M36-TODAY())</f>
        <v/>
      </c>
      <c r="M36" s="7" t="n">
        <v>46568</v>
      </c>
      <c r="N36" s="6" t="inlineStr">
        <is>
          <t>365 days</t>
        </is>
      </c>
      <c r="O36" s="6" t="inlineStr">
        <is>
          <t>MEDICARE</t>
        </is>
      </c>
      <c r="P36" s="6" t="n"/>
      <c r="Q36" s="6" t="n"/>
      <c r="R36" s="6" t="n"/>
      <c r="S36" s="5" t="n">
        <v>1</v>
      </c>
      <c r="T36" s="8" t="n">
        <v>1649.2</v>
      </c>
      <c r="U36" s="8" t="n">
        <v>1438.65</v>
      </c>
      <c r="V36" s="8" t="n">
        <v>164.45</v>
      </c>
      <c r="W36" s="6" t="inlineStr">
        <is>
          <t>07/22/2026</t>
        </is>
      </c>
      <c r="X36" s="8" t="n">
        <v>46.1</v>
      </c>
      <c r="Y36" s="5" t="n">
        <v>39</v>
      </c>
      <c r="Z36" s="6" t="inlineStr">
        <is>
          <t>I739</t>
        </is>
      </c>
      <c r="AA36" s="6" t="inlineStr">
        <is>
          <t>M79605</t>
        </is>
      </c>
      <c r="AB36" s="6" t="inlineStr">
        <is>
          <t>M79604</t>
        </is>
      </c>
      <c r="AC36" s="6" t="n"/>
      <c r="AD36" s="5" t="n">
        <v>567791377</v>
      </c>
      <c r="AE36" s="6" t="inlineStr">
        <is>
          <t>LEATHEM, JARRETT</t>
        </is>
      </c>
      <c r="AF36" s="6" t="inlineStr">
        <is>
          <t>ASAP - Gilbert</t>
        </is>
      </c>
      <c r="AG36" s="6" t="inlineStr">
        <is>
          <t>07/07/2026</t>
        </is>
      </c>
      <c r="AH36" s="6" t="inlineStr">
        <is>
          <t>US</t>
        </is>
      </c>
      <c r="AI36" s="9" t="n"/>
      <c r="AJ36" s="5" t="n">
        <v>155</v>
      </c>
    </row>
    <row r="37">
      <c r="A37" s="2" t="inlineStr">
        <is>
          <t>Denied</t>
        </is>
      </c>
      <c r="B37" s="3" t="inlineStr">
        <is>
          <t>Delete 93923 that's bundling, and resubmitted -  93923 billed on claim 568263929 - Processed Date 06/25/2026</t>
        </is>
      </c>
      <c r="C37" s="4" t="n">
        <v>46198</v>
      </c>
      <c r="D37" s="5" t="n">
        <v>563065806</v>
      </c>
      <c r="E37" s="6" t="inlineStr">
        <is>
          <t>HF550504744</t>
        </is>
      </c>
      <c r="F37" s="6" t="inlineStr">
        <is>
          <t>06/11/2026</t>
        </is>
      </c>
      <c r="G37" s="6" t="inlineStr">
        <is>
          <t>Devoted Health Plan</t>
        </is>
      </c>
      <c r="H37" s="6" t="inlineStr">
        <is>
          <t>Devoted Health Plan</t>
        </is>
      </c>
      <c r="I37" s="6" t="inlineStr">
        <is>
          <t>No Payer</t>
        </is>
      </c>
      <c r="J37" s="6" t="inlineStr">
        <is>
          <t>93923</t>
        </is>
      </c>
      <c r="K37" s="4" t="n"/>
      <c r="L37" s="5">
        <f>IF($M37="","",$M37-TODAY())</f>
        <v/>
      </c>
      <c r="M37" s="7" t="n">
        <v>46244</v>
      </c>
      <c r="N37" s="6" t="inlineStr">
        <is>
          <t>60 days</t>
        </is>
      </c>
      <c r="O37" s="6" t="inlineStr">
        <is>
          <t>DEVOTED</t>
        </is>
      </c>
      <c r="P37" s="6" t="n"/>
      <c r="Q37" s="6" t="n"/>
      <c r="R37" s="6" t="n"/>
      <c r="S37" s="5" t="n">
        <v>1</v>
      </c>
      <c r="T37" s="8" t="n">
        <v>879.0599999999999</v>
      </c>
      <c r="U37" s="8" t="n">
        <v>0</v>
      </c>
      <c r="V37" s="8" t="n">
        <v>0</v>
      </c>
      <c r="W37" s="6" t="inlineStr">
        <is>
          <t>06/29/2026</t>
        </is>
      </c>
      <c r="X37" s="8" t="n">
        <v>879.0599999999999</v>
      </c>
      <c r="Y37" s="5" t="n">
        <v>58</v>
      </c>
      <c r="Z37" s="6" t="inlineStr">
        <is>
          <t>G5790</t>
        </is>
      </c>
      <c r="AA37" s="6" t="inlineStr">
        <is>
          <t>M5459</t>
        </is>
      </c>
      <c r="AB37" s="6" t="inlineStr">
        <is>
          <t>M546</t>
        </is>
      </c>
      <c r="AC37" s="6" t="inlineStr">
        <is>
          <t>N39498</t>
        </is>
      </c>
      <c r="AD37" s="5" t="n"/>
      <c r="AE37" s="6" t="inlineStr">
        <is>
          <t>TURLEY, TODD</t>
        </is>
      </c>
      <c r="AF37" s="6" t="inlineStr">
        <is>
          <t>ASAP - DEER VALLEY 240</t>
        </is>
      </c>
      <c r="AG37" s="6" t="inlineStr">
        <is>
          <t>06/22/2026</t>
        </is>
      </c>
      <c r="AH37" s="6" t="inlineStr">
        <is>
          <t>US</t>
        </is>
      </c>
      <c r="AI37" s="9" t="n"/>
      <c r="AJ37" s="5" t="n">
        <v>824</v>
      </c>
    </row>
    <row r="38">
      <c r="A38" s="2" t="inlineStr">
        <is>
          <t>Denied</t>
        </is>
      </c>
      <c r="B38" s="3" t="inlineStr">
        <is>
          <t>Delete 93923 that's bundling, and resubmitted -  93923 billed on claim 568263929 - Processed Date 06/25/2026</t>
        </is>
      </c>
      <c r="C38" s="4" t="n">
        <v>46198</v>
      </c>
      <c r="D38" s="5" t="n">
        <v>563065806</v>
      </c>
      <c r="E38" s="6" t="inlineStr">
        <is>
          <t>HF550504744</t>
        </is>
      </c>
      <c r="F38" s="6" t="inlineStr">
        <is>
          <t>06/11/2026</t>
        </is>
      </c>
      <c r="G38" s="6" t="inlineStr">
        <is>
          <t>Devoted Health Plan</t>
        </is>
      </c>
      <c r="H38" s="6" t="inlineStr">
        <is>
          <t>Devoted Health Plan</t>
        </is>
      </c>
      <c r="I38" s="6" t="inlineStr">
        <is>
          <t>No Payer</t>
        </is>
      </c>
      <c r="J38" s="6" t="inlineStr">
        <is>
          <t>93925</t>
        </is>
      </c>
      <c r="K38" s="4" t="n"/>
      <c r="L38" s="5">
        <f>IF($M38="","",$M38-TODAY())</f>
        <v/>
      </c>
      <c r="M38" s="7" t="n">
        <v>46244</v>
      </c>
      <c r="N38" s="6" t="inlineStr">
        <is>
          <t>60 days</t>
        </is>
      </c>
      <c r="O38" s="6" t="inlineStr">
        <is>
          <t>DEVOTED</t>
        </is>
      </c>
      <c r="P38" s="6" t="n"/>
      <c r="Q38" s="6" t="n"/>
      <c r="R38" s="6" t="n"/>
      <c r="S38" s="5" t="n">
        <v>1</v>
      </c>
      <c r="T38" s="8" t="n">
        <v>1649.2</v>
      </c>
      <c r="U38" s="8" t="n">
        <v>0</v>
      </c>
      <c r="V38" s="8" t="n">
        <v>0</v>
      </c>
      <c r="W38" s="6" t="inlineStr">
        <is>
          <t>06/29/2026</t>
        </is>
      </c>
      <c r="X38" s="8" t="n">
        <v>1649.2</v>
      </c>
      <c r="Y38" s="5" t="n">
        <v>58</v>
      </c>
      <c r="Z38" s="6" t="inlineStr">
        <is>
          <t>G5790</t>
        </is>
      </c>
      <c r="AA38" s="6" t="inlineStr">
        <is>
          <t>M5459</t>
        </is>
      </c>
      <c r="AB38" s="6" t="inlineStr">
        <is>
          <t>M546</t>
        </is>
      </c>
      <c r="AC38" s="6" t="inlineStr">
        <is>
          <t>N39498</t>
        </is>
      </c>
      <c r="AD38" s="5" t="n"/>
      <c r="AE38" s="6" t="inlineStr">
        <is>
          <t>TURLEY, TODD</t>
        </is>
      </c>
      <c r="AF38" s="6" t="inlineStr">
        <is>
          <t>ASAP - DEER VALLEY 240</t>
        </is>
      </c>
      <c r="AG38" s="6" t="inlineStr">
        <is>
          <t>06/22/2026</t>
        </is>
      </c>
      <c r="AH38" s="6" t="inlineStr">
        <is>
          <t>US</t>
        </is>
      </c>
      <c r="AI38" s="9" t="n"/>
      <c r="AJ38" s="5" t="n">
        <v>825</v>
      </c>
    </row>
    <row r="39">
      <c r="A39" s="2" t="inlineStr">
        <is>
          <t>Denied</t>
        </is>
      </c>
      <c r="B39" s="3" t="inlineStr">
        <is>
          <t>Delete 93923 that's bundling, and resubmitted -  93923 billed on claim 568263929 - Processed Date 06/25/2026</t>
        </is>
      </c>
      <c r="C39" s="4" t="n">
        <v>46198</v>
      </c>
      <c r="D39" s="5" t="n">
        <v>563065806</v>
      </c>
      <c r="E39" s="6" t="inlineStr">
        <is>
          <t>HF550504744</t>
        </is>
      </c>
      <c r="F39" s="6" t="inlineStr">
        <is>
          <t>06/11/2026</t>
        </is>
      </c>
      <c r="G39" s="6" t="inlineStr">
        <is>
          <t>Devoted Health Plan</t>
        </is>
      </c>
      <c r="H39" s="6" t="inlineStr">
        <is>
          <t>Devoted Health Plan</t>
        </is>
      </c>
      <c r="I39" s="6" t="inlineStr">
        <is>
          <t>No Payer</t>
        </is>
      </c>
      <c r="J39" s="6" t="inlineStr">
        <is>
          <t>93970</t>
        </is>
      </c>
      <c r="K39" s="4" t="n"/>
      <c r="L39" s="5">
        <f>IF($M39="","",$M39-TODAY())</f>
        <v/>
      </c>
      <c r="M39" s="7" t="n">
        <v>46244</v>
      </c>
      <c r="N39" s="6" t="inlineStr">
        <is>
          <t>60 days</t>
        </is>
      </c>
      <c r="O39" s="6" t="inlineStr">
        <is>
          <t>DEVOTED</t>
        </is>
      </c>
      <c r="P39" s="6" t="n"/>
      <c r="Q39" s="6" t="n"/>
      <c r="R39" s="6" t="n"/>
      <c r="S39" s="5" t="n">
        <v>1</v>
      </c>
      <c r="T39" s="8" t="n">
        <v>1294.23</v>
      </c>
      <c r="U39" s="8" t="n">
        <v>0</v>
      </c>
      <c r="V39" s="8" t="n">
        <v>0</v>
      </c>
      <c r="W39" s="6" t="inlineStr">
        <is>
          <t>06/29/2026</t>
        </is>
      </c>
      <c r="X39" s="8" t="n">
        <v>1294.23</v>
      </c>
      <c r="Y39" s="5" t="n">
        <v>58</v>
      </c>
      <c r="Z39" s="6" t="inlineStr">
        <is>
          <t>G5790</t>
        </is>
      </c>
      <c r="AA39" s="6" t="inlineStr">
        <is>
          <t>M5459</t>
        </is>
      </c>
      <c r="AB39" s="6" t="inlineStr">
        <is>
          <t>M546</t>
        </is>
      </c>
      <c r="AC39" s="6" t="inlineStr">
        <is>
          <t>N39498</t>
        </is>
      </c>
      <c r="AD39" s="5" t="n"/>
      <c r="AE39" s="6" t="inlineStr">
        <is>
          <t>TURLEY, TODD</t>
        </is>
      </c>
      <c r="AF39" s="6" t="inlineStr">
        <is>
          <t>ASAP - DEER VALLEY 240</t>
        </is>
      </c>
      <c r="AG39" s="6" t="inlineStr">
        <is>
          <t>06/22/2026</t>
        </is>
      </c>
      <c r="AH39" s="6" t="inlineStr">
        <is>
          <t>US</t>
        </is>
      </c>
      <c r="AI39" s="9" t="n"/>
      <c r="AJ39" s="5" t="n">
        <v>826</v>
      </c>
    </row>
    <row r="40">
      <c r="A40" s="2" t="n"/>
      <c r="B40" s="3" t="n"/>
      <c r="C40" s="4" t="n"/>
      <c r="D40" s="5" t="n">
        <v>563009396</v>
      </c>
      <c r="E40" s="6" t="inlineStr">
        <is>
          <t>HF449340318</t>
        </is>
      </c>
      <c r="F40" s="6" t="inlineStr">
        <is>
          <t>06/03/2026</t>
        </is>
      </c>
      <c r="G40" s="6" t="inlineStr">
        <is>
          <t>UMR Wausau / UHIS</t>
        </is>
      </c>
      <c r="H40" s="6" t="inlineStr">
        <is>
          <t>UMR Wausau / UHIS</t>
        </is>
      </c>
      <c r="I40" s="6" t="inlineStr">
        <is>
          <t>No Payer</t>
        </is>
      </c>
      <c r="J40" s="6" t="inlineStr">
        <is>
          <t>93925</t>
        </is>
      </c>
      <c r="K40" s="4" t="n"/>
      <c r="L40" s="5">
        <f>IF($M40="","",$M40-TODAY())</f>
        <v/>
      </c>
      <c r="M40" s="7" t="n"/>
      <c r="N40" s="6" t="n"/>
      <c r="O40" s="6" t="inlineStr">
        <is>
          <t>UMR / WAUSAU</t>
        </is>
      </c>
      <c r="P40" s="6" t="n"/>
      <c r="Q40" s="6" t="n"/>
      <c r="R40" s="6" t="n"/>
      <c r="S40" s="5" t="n">
        <v>1</v>
      </c>
      <c r="T40" s="8" t="n">
        <v>1649.2</v>
      </c>
      <c r="U40" s="8" t="n">
        <v>0</v>
      </c>
      <c r="V40" s="8" t="n">
        <v>0</v>
      </c>
      <c r="W40" s="6" t="inlineStr">
        <is>
          <t>07/17/2026</t>
        </is>
      </c>
      <c r="X40" s="8" t="n">
        <v>1649.2</v>
      </c>
      <c r="Y40" s="5" t="n">
        <v>66</v>
      </c>
      <c r="Z40" s="6" t="inlineStr">
        <is>
          <t>R609</t>
        </is>
      </c>
      <c r="AA40" s="6" t="inlineStr">
        <is>
          <t>M79604</t>
        </is>
      </c>
      <c r="AB40" s="6" t="inlineStr">
        <is>
          <t>M79605</t>
        </is>
      </c>
      <c r="AC40" s="6" t="n"/>
      <c r="AD40" s="5" t="n"/>
      <c r="AE40" s="6" t="inlineStr">
        <is>
          <t>BURGHER, ABRAM</t>
        </is>
      </c>
      <c r="AF40" s="6" t="inlineStr">
        <is>
          <t>ASAP - Surprise - Reems</t>
        </is>
      </c>
      <c r="AG40" s="6" t="inlineStr">
        <is>
          <t>06/22/2026</t>
        </is>
      </c>
      <c r="AH40" s="6" t="inlineStr">
        <is>
          <t>US</t>
        </is>
      </c>
      <c r="AI40" s="9" t="n"/>
      <c r="AJ40" s="5" t="n">
        <v>478</v>
      </c>
    </row>
    <row r="41">
      <c r="A41" s="2" t="n"/>
      <c r="B41" s="3" t="n"/>
      <c r="C41" s="4" t="n"/>
      <c r="D41" s="5" t="n">
        <v>566543992</v>
      </c>
      <c r="E41" s="6" t="inlineStr">
        <is>
          <t>HF552713619</t>
        </is>
      </c>
      <c r="F41" s="6" t="inlineStr">
        <is>
          <t>06/04/2026</t>
        </is>
      </c>
      <c r="G41" s="6" t="inlineStr">
        <is>
          <t>Mercy Care Health Plan Advantage (AHCCCS)</t>
        </is>
      </c>
      <c r="H41" s="6" t="inlineStr">
        <is>
          <t>Mercy Care Health Plan Advantage (AHCCCS)</t>
        </is>
      </c>
      <c r="I41" s="6" t="inlineStr">
        <is>
          <t>No Payer</t>
        </is>
      </c>
      <c r="J41" s="6" t="inlineStr">
        <is>
          <t>93923</t>
        </is>
      </c>
      <c r="K41" s="4" t="n"/>
      <c r="L41" s="5">
        <f>IF($M41="","",$M41-TODAY())</f>
        <v/>
      </c>
      <c r="M41" s="7" t="n"/>
      <c r="N41" s="6" t="n"/>
      <c r="O41" s="6" t="inlineStr">
        <is>
          <t>MERCY CARE ADVANTAGE</t>
        </is>
      </c>
      <c r="P41" s="6" t="n"/>
      <c r="Q41" s="6" t="n"/>
      <c r="R41" s="6" t="n"/>
      <c r="S41" s="5" t="n">
        <v>1</v>
      </c>
      <c r="T41" s="8" t="n">
        <v>879.0599999999999</v>
      </c>
      <c r="U41" s="8" t="n">
        <v>0</v>
      </c>
      <c r="V41" s="8" t="n">
        <v>0</v>
      </c>
      <c r="W41" s="6" t="n"/>
      <c r="X41" s="8" t="n">
        <v>879.0599999999999</v>
      </c>
      <c r="Y41" s="5" t="n">
        <v>65</v>
      </c>
      <c r="Z41" s="6" t="inlineStr">
        <is>
          <t>R2243</t>
        </is>
      </c>
      <c r="AA41" s="6" t="inlineStr">
        <is>
          <t>M79661</t>
        </is>
      </c>
      <c r="AB41" s="6" t="inlineStr">
        <is>
          <t>M79662</t>
        </is>
      </c>
      <c r="AC41" s="6" t="n"/>
      <c r="AD41" s="5" t="n"/>
      <c r="AE41" s="6" t="inlineStr">
        <is>
          <t>TURLEY, TODD</t>
        </is>
      </c>
      <c r="AF41" s="6" t="inlineStr">
        <is>
          <t>ASAP - DEER VALLEY 240</t>
        </is>
      </c>
      <c r="AG41" s="6" t="inlineStr">
        <is>
          <t>06/22/2026</t>
        </is>
      </c>
      <c r="AH41" s="6" t="inlineStr">
        <is>
          <t>US</t>
        </is>
      </c>
      <c r="AI41" s="9" t="n"/>
      <c r="AJ41" s="5" t="n">
        <v>969</v>
      </c>
    </row>
    <row r="42">
      <c r="A42" s="2" t="n"/>
      <c r="B42" s="3" t="n"/>
      <c r="C42" s="4" t="n"/>
      <c r="D42" s="5" t="n">
        <v>566543992</v>
      </c>
      <c r="E42" s="6" t="inlineStr">
        <is>
          <t>HF552713619</t>
        </is>
      </c>
      <c r="F42" s="6" t="inlineStr">
        <is>
          <t>06/04/2026</t>
        </is>
      </c>
      <c r="G42" s="6" t="inlineStr">
        <is>
          <t>Mercy Care Health Plan Advantage (AHCCCS)</t>
        </is>
      </c>
      <c r="H42" s="6" t="inlineStr">
        <is>
          <t>Mercy Care Health Plan Advantage (AHCCCS)</t>
        </is>
      </c>
      <c r="I42" s="6" t="inlineStr">
        <is>
          <t>No Payer</t>
        </is>
      </c>
      <c r="J42" s="6" t="inlineStr">
        <is>
          <t>93925</t>
        </is>
      </c>
      <c r="K42" s="4" t="n"/>
      <c r="L42" s="5">
        <f>IF($M42="","",$M42-TODAY())</f>
        <v/>
      </c>
      <c r="M42" s="7" t="n"/>
      <c r="N42" s="6" t="n"/>
      <c r="O42" s="6" t="inlineStr">
        <is>
          <t>MERCY CARE ADVANTAGE</t>
        </is>
      </c>
      <c r="P42" s="6" t="n"/>
      <c r="Q42" s="6" t="n"/>
      <c r="R42" s="6" t="n"/>
      <c r="S42" s="5" t="n">
        <v>1</v>
      </c>
      <c r="T42" s="8" t="n">
        <v>1649.2</v>
      </c>
      <c r="U42" s="8" t="n">
        <v>0</v>
      </c>
      <c r="V42" s="8" t="n">
        <v>0</v>
      </c>
      <c r="W42" s="6" t="n"/>
      <c r="X42" s="8" t="n">
        <v>1649.2</v>
      </c>
      <c r="Y42" s="5" t="n">
        <v>65</v>
      </c>
      <c r="Z42" s="6" t="inlineStr">
        <is>
          <t>R2243</t>
        </is>
      </c>
      <c r="AA42" s="6" t="inlineStr">
        <is>
          <t>M79661</t>
        </is>
      </c>
      <c r="AB42" s="6" t="inlineStr">
        <is>
          <t>M79662</t>
        </is>
      </c>
      <c r="AC42" s="6" t="n"/>
      <c r="AD42" s="5" t="n"/>
      <c r="AE42" s="6" t="inlineStr">
        <is>
          <t>TURLEY, TODD</t>
        </is>
      </c>
      <c r="AF42" s="6" t="inlineStr">
        <is>
          <t>ASAP - DEER VALLEY 240</t>
        </is>
      </c>
      <c r="AG42" s="6" t="inlineStr">
        <is>
          <t>06/22/2026</t>
        </is>
      </c>
      <c r="AH42" s="6" t="inlineStr">
        <is>
          <t>US</t>
        </is>
      </c>
      <c r="AI42" s="9" t="n"/>
      <c r="AJ42" s="5" t="n">
        <v>971</v>
      </c>
    </row>
    <row r="43">
      <c r="A43" s="2" t="n"/>
      <c r="B43" s="3" t="n"/>
      <c r="C43" s="4" t="n"/>
      <c r="D43" s="5" t="n">
        <v>566543992</v>
      </c>
      <c r="E43" s="6" t="inlineStr">
        <is>
          <t>HF552713619</t>
        </is>
      </c>
      <c r="F43" s="6" t="inlineStr">
        <is>
          <t>06/04/2026</t>
        </is>
      </c>
      <c r="G43" s="6" t="inlineStr">
        <is>
          <t>Mercy Care Health Plan Advantage (AHCCCS)</t>
        </is>
      </c>
      <c r="H43" s="6" t="inlineStr">
        <is>
          <t>Mercy Care Health Plan Advantage (AHCCCS)</t>
        </is>
      </c>
      <c r="I43" s="6" t="inlineStr">
        <is>
          <t>No Payer</t>
        </is>
      </c>
      <c r="J43" s="6" t="inlineStr">
        <is>
          <t>93970</t>
        </is>
      </c>
      <c r="K43" s="4" t="n"/>
      <c r="L43" s="5">
        <f>IF($M43="","",$M43-TODAY())</f>
        <v/>
      </c>
      <c r="M43" s="7" t="n"/>
      <c r="N43" s="6" t="n"/>
      <c r="O43" s="6" t="inlineStr">
        <is>
          <t>MERCY CARE ADVANTAGE</t>
        </is>
      </c>
      <c r="P43" s="6" t="n"/>
      <c r="Q43" s="6" t="n"/>
      <c r="R43" s="6" t="n"/>
      <c r="S43" s="5" t="n">
        <v>1</v>
      </c>
      <c r="T43" s="8" t="n">
        <v>1294.23</v>
      </c>
      <c r="U43" s="8" t="n">
        <v>0</v>
      </c>
      <c r="V43" s="8" t="n">
        <v>0</v>
      </c>
      <c r="W43" s="6" t="n"/>
      <c r="X43" s="8" t="n">
        <v>1294.23</v>
      </c>
      <c r="Y43" s="5" t="n">
        <v>65</v>
      </c>
      <c r="Z43" s="6" t="inlineStr">
        <is>
          <t>R2243</t>
        </is>
      </c>
      <c r="AA43" s="6" t="inlineStr">
        <is>
          <t>M79661</t>
        </is>
      </c>
      <c r="AB43" s="6" t="inlineStr">
        <is>
          <t>M79662</t>
        </is>
      </c>
      <c r="AC43" s="6" t="n"/>
      <c r="AD43" s="5" t="n"/>
      <c r="AE43" s="6" t="inlineStr">
        <is>
          <t>TURLEY, TODD</t>
        </is>
      </c>
      <c r="AF43" s="6" t="inlineStr">
        <is>
          <t>ASAP - DEER VALLEY 240</t>
        </is>
      </c>
      <c r="AG43" s="6" t="inlineStr">
        <is>
          <t>06/22/2026</t>
        </is>
      </c>
      <c r="AH43" s="6" t="inlineStr">
        <is>
          <t>US</t>
        </is>
      </c>
      <c r="AI43" s="9" t="n"/>
      <c r="AJ43" s="5" t="n">
        <v>999</v>
      </c>
    </row>
    <row r="44">
      <c r="A44" s="2" t="n"/>
      <c r="B44" s="3" t="n"/>
      <c r="C44" s="4" t="n"/>
      <c r="D44" s="5" t="n">
        <v>566827110</v>
      </c>
      <c r="E44" s="6" t="inlineStr">
        <is>
          <t>HF558969171</t>
        </is>
      </c>
      <c r="F44" s="6" t="inlineStr">
        <is>
          <t>06/09/2026</t>
        </is>
      </c>
      <c r="G44" s="6" t="inlineStr">
        <is>
          <t>SCAN Health Plan (Village Health Plan)</t>
        </is>
      </c>
      <c r="H44" s="6" t="inlineStr">
        <is>
          <t>SCAN Health Plan (Village Health Plan)</t>
        </is>
      </c>
      <c r="I44" s="6" t="inlineStr">
        <is>
          <t>No Payer</t>
        </is>
      </c>
      <c r="J44" s="6" t="inlineStr">
        <is>
          <t>93970</t>
        </is>
      </c>
      <c r="K44" s="4" t="n"/>
      <c r="L44" s="5">
        <f>IF($M44="","",$M44-TODAY())</f>
        <v/>
      </c>
      <c r="M44" s="7" t="n"/>
      <c r="N44" s="6" t="n"/>
      <c r="O44" s="6" t="inlineStr">
        <is>
          <t>Not on reference list</t>
        </is>
      </c>
      <c r="P44" s="6" t="n"/>
      <c r="Q44" s="6" t="n"/>
      <c r="R44" s="6" t="n"/>
      <c r="S44" s="5" t="n">
        <v>1</v>
      </c>
      <c r="T44" s="8" t="n">
        <v>1294.23</v>
      </c>
      <c r="U44" s="8" t="n">
        <v>0</v>
      </c>
      <c r="V44" s="8" t="n">
        <v>0</v>
      </c>
      <c r="W44" s="6" t="inlineStr">
        <is>
          <t>07/20/2026</t>
        </is>
      </c>
      <c r="X44" s="8" t="n">
        <v>1294.23</v>
      </c>
      <c r="Y44" s="5" t="n">
        <v>60</v>
      </c>
      <c r="Z44" s="6" t="inlineStr">
        <is>
          <t>I872</t>
        </is>
      </c>
      <c r="AA44" s="6" t="n"/>
      <c r="AB44" s="6" t="n"/>
      <c r="AC44" s="6" t="n"/>
      <c r="AD44" s="5" t="n"/>
      <c r="AE44" s="6" t="inlineStr">
        <is>
          <t>LEATHEM, JARRETT</t>
        </is>
      </c>
      <c r="AF44" s="6" t="inlineStr">
        <is>
          <t>ASAP - Gilbert</t>
        </is>
      </c>
      <c r="AG44" s="6" t="inlineStr">
        <is>
          <t>06/22/2026</t>
        </is>
      </c>
      <c r="AH44" s="6" t="inlineStr">
        <is>
          <t>US</t>
        </is>
      </c>
      <c r="AI44" s="9" t="inlineStr">
        <is>
          <t>No timely filing limit on file for this payer - confirm the limit from the contract or provider manual before working this claim.</t>
        </is>
      </c>
      <c r="AJ44" s="5" t="n">
        <v>587</v>
      </c>
    </row>
    <row r="45">
      <c r="A45" s="2" t="n"/>
      <c r="B45" s="3" t="n"/>
      <c r="C45" s="4" t="n"/>
      <c r="D45" s="5" t="n">
        <v>566827110</v>
      </c>
      <c r="E45" s="6" t="inlineStr">
        <is>
          <t>HF558969171</t>
        </is>
      </c>
      <c r="F45" s="6" t="inlineStr">
        <is>
          <t>06/09/2026</t>
        </is>
      </c>
      <c r="G45" s="6" t="inlineStr">
        <is>
          <t>SCAN Health Plan (Village Health Plan)</t>
        </is>
      </c>
      <c r="H45" s="6" t="inlineStr">
        <is>
          <t>SCAN Health Plan (Village Health Plan)</t>
        </is>
      </c>
      <c r="I45" s="6" t="inlineStr">
        <is>
          <t>No Payer</t>
        </is>
      </c>
      <c r="J45" s="6" t="inlineStr">
        <is>
          <t>93923</t>
        </is>
      </c>
      <c r="K45" s="4" t="n"/>
      <c r="L45" s="5">
        <f>IF($M45="","",$M45-TODAY())</f>
        <v/>
      </c>
      <c r="M45" s="7" t="n"/>
      <c r="N45" s="6" t="n"/>
      <c r="O45" s="6" t="inlineStr">
        <is>
          <t>Not on reference list</t>
        </is>
      </c>
      <c r="P45" s="6" t="n"/>
      <c r="Q45" s="6" t="n"/>
      <c r="R45" s="6" t="n"/>
      <c r="S45" s="5" t="n">
        <v>1</v>
      </c>
      <c r="T45" s="8" t="n">
        <v>879.0599999999999</v>
      </c>
      <c r="U45" s="8" t="n">
        <v>0</v>
      </c>
      <c r="V45" s="8" t="n">
        <v>0</v>
      </c>
      <c r="W45" s="6" t="inlineStr">
        <is>
          <t>07/20/2026</t>
        </is>
      </c>
      <c r="X45" s="8" t="n">
        <v>879.0599999999999</v>
      </c>
      <c r="Y45" s="5" t="n">
        <v>60</v>
      </c>
      <c r="Z45" s="6" t="inlineStr">
        <is>
          <t>I872</t>
        </is>
      </c>
      <c r="AA45" s="6" t="n"/>
      <c r="AB45" s="6" t="n"/>
      <c r="AC45" s="6" t="n"/>
      <c r="AD45" s="5" t="n"/>
      <c r="AE45" s="6" t="inlineStr">
        <is>
          <t>LEATHEM, JARRETT</t>
        </is>
      </c>
      <c r="AF45" s="6" t="inlineStr">
        <is>
          <t>ASAP - Gilbert</t>
        </is>
      </c>
      <c r="AG45" s="6" t="inlineStr">
        <is>
          <t>06/22/2026</t>
        </is>
      </c>
      <c r="AH45" s="6" t="inlineStr">
        <is>
          <t>US</t>
        </is>
      </c>
      <c r="AI45" s="9" t="inlineStr">
        <is>
          <t>No timely filing limit on file for this payer - confirm the limit from the contract or provider manual before working this claim.</t>
        </is>
      </c>
      <c r="AJ45" s="5" t="n">
        <v>588</v>
      </c>
    </row>
    <row r="46">
      <c r="A46" s="2" t="n"/>
      <c r="B46" s="3" t="n"/>
      <c r="C46" s="4" t="n"/>
      <c r="D46" s="5" t="n">
        <v>563069183</v>
      </c>
      <c r="E46" s="6" t="inlineStr">
        <is>
          <t>HF449340318</t>
        </is>
      </c>
      <c r="F46" s="6" t="inlineStr">
        <is>
          <t>06/17/2026</t>
        </is>
      </c>
      <c r="G46" s="6" t="inlineStr">
        <is>
          <t>UMR Wausau / UHIS</t>
        </is>
      </c>
      <c r="H46" s="6" t="inlineStr">
        <is>
          <t>UMR Wausau / UHIS</t>
        </is>
      </c>
      <c r="I46" s="6" t="inlineStr">
        <is>
          <t>No Payer</t>
        </is>
      </c>
      <c r="J46" s="6" t="inlineStr">
        <is>
          <t>93970</t>
        </is>
      </c>
      <c r="K46" s="4" t="n"/>
      <c r="L46" s="5">
        <f>IF($M46="","",$M46-TODAY())</f>
        <v/>
      </c>
      <c r="M46" s="7" t="n"/>
      <c r="N46" s="6" t="n"/>
      <c r="O46" s="6" t="inlineStr">
        <is>
          <t>UMR / WAUSAU</t>
        </is>
      </c>
      <c r="P46" s="6" t="n"/>
      <c r="Q46" s="6" t="n"/>
      <c r="R46" s="6" t="n"/>
      <c r="S46" s="5" t="n">
        <v>1</v>
      </c>
      <c r="T46" s="8" t="n">
        <v>1294.23</v>
      </c>
      <c r="U46" s="8" t="n">
        <v>0</v>
      </c>
      <c r="V46" s="8" t="n">
        <v>0</v>
      </c>
      <c r="W46" s="6" t="inlineStr">
        <is>
          <t>07/17/2026</t>
        </is>
      </c>
      <c r="X46" s="8" t="n">
        <v>1294.23</v>
      </c>
      <c r="Y46" s="5" t="n">
        <v>52</v>
      </c>
      <c r="Z46" s="6" t="inlineStr">
        <is>
          <t>R609</t>
        </is>
      </c>
      <c r="AA46" s="6" t="n"/>
      <c r="AB46" s="6" t="n"/>
      <c r="AC46" s="6" t="n"/>
      <c r="AD46" s="5" t="n"/>
      <c r="AE46" s="6" t="inlineStr">
        <is>
          <t>BURGHER, ABRAM</t>
        </is>
      </c>
      <c r="AF46" s="6" t="inlineStr">
        <is>
          <t>ASAP - Surprise - Reems</t>
        </is>
      </c>
      <c r="AG46" s="6" t="inlineStr">
        <is>
          <t>06/22/2026</t>
        </is>
      </c>
      <c r="AH46" s="6" t="inlineStr">
        <is>
          <t>US</t>
        </is>
      </c>
      <c r="AI46" s="9" t="n"/>
      <c r="AJ46" s="5" t="n">
        <v>906</v>
      </c>
    </row>
  </sheetData>
  <autoFilter ref="A1:AJ46"/>
  <conditionalFormatting sqref="L2:O4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2026-06 June - Specialty Claims</t>
        </is>
      </c>
    </row>
    <row r="2">
      <c r="A2" s="11" t="inlineStr"/>
    </row>
    <row r="3">
      <c r="A3" s="11" t="inlineStr">
        <is>
          <t>430 claim lines with a date of service in 2026-06 June,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2</t>
        </is>
      </c>
    </row>
    <row r="9">
      <c r="A9" s="11" t="inlineStr">
        <is>
          <t xml:space="preserve">    2 - Due in 6-30 days: 92</t>
        </is>
      </c>
    </row>
    <row r="10">
      <c r="A10" s="11" t="inlineStr">
        <is>
          <t xml:space="preserve">    3 - Due in 31+ days: 284</t>
        </is>
      </c>
    </row>
    <row r="11">
      <c r="A11" s="11" t="inlineStr">
        <is>
          <t xml:space="preserve">    4 - Past deadline: 10</t>
        </is>
      </c>
    </row>
    <row r="12">
      <c r="A12" s="11" t="inlineStr">
        <is>
          <t xml:space="preserve">    5 - No limit on file: 42</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2026-08-12T19:39:33Z</dcterms:created>
  <dcterms:modified xsi:type="dcterms:W3CDTF">2026-08-12T19:39:33Z</dcterms:modified>
</cp:coreProperties>
</file>