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624" documentId="11_735C0F7BC9D7D8A8BEA7D9DD7CD4B246F56C61F3" xr6:coauthVersionLast="47" xr6:coauthVersionMax="47" xr10:uidLastSave="{6F124372-877A-48E9-993E-5329421CF1B3}"/>
  <bookViews>
    <workbookView xWindow="-28920" yWindow="-1875" windowWidth="29040" windowHeight="15720" activeTab="4"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BH!$A$1:$AO$62</definedName>
    <definedName name="_xlnm._FilterDatabase" localSheetId="1" hidden="1">DME!$A$1:$AO$48</definedName>
    <definedName name="_xlnm._FilterDatabase" localSheetId="2" hidden="1">GAE!$A$1:$AO$21</definedName>
    <definedName name="_xlnm._FilterDatabase" localSheetId="3" hidden="1">ORTHO!$A$1:$AO$31</definedName>
    <definedName name="_xlnm._FilterDatabase" localSheetId="4" hidden="1">US!$A$1:$AO$22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 ref="AO1" authorId="0" shapeId="0" xr:uid="{00000000-0006-0000-00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C6D148B5-52E3-4461-AA10-02EA4EE928DC}">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 ref="AO1" authorId="0" shapeId="0" xr:uid="{00000000-0006-0000-01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FB688E4-B18E-464C-89B4-9E8177021829}">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 ref="AO1" authorId="0" shapeId="0" xr:uid="{00000000-0006-0000-02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9793ED7-7256-4028-AA3D-BB9906D274EA}">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 ref="AO1" authorId="0" shapeId="0" xr:uid="{00000000-0006-0000-03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F753D99-D29F-438F-B9B4-ABC435519ECD}">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 ref="AO1" authorId="0" shapeId="0" xr:uid="{00000000-0006-0000-04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sharedStrings.xml><?xml version="1.0" encoding="utf-8"?>
<sst xmlns="http://schemas.openxmlformats.org/spreadsheetml/2006/main" count="4631" uniqueCount="955">
  <si>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</si>
  <si>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</si>
  <si>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</si>
  <si>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</si>
  <si>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</si>
  <si>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</si>
  <si>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</si>
  <si>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</si>
  <si>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</si>
  <si>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</si>
  <si>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</si>
  <si>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</si>
  <si>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</si>
  <si>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</si>
  <si>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</si>
  <si>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</si>
  <si>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</si>
  <si>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</si>
  <si>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</si>
  <si>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</si>
  <si>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</si>
  <si>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</si>
  <si>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</si>
  <si>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</si>
  <si>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</si>
  <si>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</si>
  <si>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</si>
  <si>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</si>
  <si>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</si>
  <si>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</si>
  <si>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</si>
  <si>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</si>
  <si>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</si>
  <si>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</si>
  <si>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</si>
  <si>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</si>
  <si>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</si>
  <si>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</si>
  <si>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</si>
  <si>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</si>
  <si>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</si>
  <si>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Finalized</t>
  </si>
  <si>
    <t>PAID</t>
  </si>
  <si>
    <t>HF545720168</t>
  </si>
  <si>
    <t>UnitedHealthcare Community Plan / Arizona Long Term Care</t>
  </si>
  <si>
    <t>No Payer</t>
  </si>
  <si>
    <t>99492 x1; 99494 x1</t>
  </si>
  <si>
    <t>90 days</t>
  </si>
  <si>
    <t>UHC COMMUNITY</t>
  </si>
  <si>
    <t>180 days</t>
  </si>
  <si>
    <t>Processed date</t>
  </si>
  <si>
    <t>365 days</t>
  </si>
  <si>
    <t>1</t>
  </si>
  <si>
    <t>F32A</t>
  </si>
  <si>
    <t>F411</t>
  </si>
  <si>
    <t>MEARS, CHAD</t>
  </si>
  <si>
    <t>ASAP Peoria</t>
  </si>
  <si>
    <t>BH</t>
  </si>
  <si>
    <t>563, 564</t>
  </si>
  <si>
    <t>HF511721208</t>
  </si>
  <si>
    <t>99494 x1; 99492 x1</t>
  </si>
  <si>
    <t>F39</t>
  </si>
  <si>
    <t>KALLGREN, MARK</t>
  </si>
  <si>
    <t>ASAP - Gilbert</t>
  </si>
  <si>
    <t>911, 952</t>
  </si>
  <si>
    <t>HF533454516</t>
  </si>
  <si>
    <t>UHC Group Medicare Advantage</t>
  </si>
  <si>
    <t>UHC MA</t>
  </si>
  <si>
    <t>BURGHER, ABRAM</t>
  </si>
  <si>
    <t>223, 224</t>
  </si>
  <si>
    <t>HF543376536</t>
  </si>
  <si>
    <t>F4320</t>
  </si>
  <si>
    <t>ASAP - DEER VALLEY</t>
  </si>
  <si>
    <t>888, 889</t>
  </si>
  <si>
    <t>HF525006986</t>
  </si>
  <si>
    <t>Mercy Care Plan (AHCCCS) - Complete Care &amp; Long Term Care (LTC)</t>
  </si>
  <si>
    <t>SARKAR, AWNIK</t>
  </si>
  <si>
    <t>561, 562</t>
  </si>
  <si>
    <t>Denied</t>
  </si>
  <si>
    <t>Added Date of Current Illness, claim note, and resubmitted - Prior CoCM on DOS 03/05/2026</t>
  </si>
  <si>
    <t>HF372010397</t>
  </si>
  <si>
    <t>Optum Care Medical Network of Arizona, Utah, &amp; Washington (LifePrint)</t>
  </si>
  <si>
    <t>99493 x1; 99494 x1</t>
  </si>
  <si>
    <t>OPTUM</t>
  </si>
  <si>
    <t>F1190</t>
  </si>
  <si>
    <t>LEATHEM, JARRETT</t>
  </si>
  <si>
    <t>620, 621</t>
  </si>
  <si>
    <t>HF504127051</t>
  </si>
  <si>
    <t>F419</t>
  </si>
  <si>
    <t>775, 776</t>
  </si>
  <si>
    <t>HF396067099</t>
  </si>
  <si>
    <t>F332</t>
  </si>
  <si>
    <t>O'NEIL, ROY</t>
  </si>
  <si>
    <t>974, 975</t>
  </si>
  <si>
    <t>Added mod 24, and resubmitted</t>
  </si>
  <si>
    <t>HF527805618</t>
  </si>
  <si>
    <t>F4323</t>
  </si>
  <si>
    <t>TURLEY, TODD</t>
  </si>
  <si>
    <t>736, 737</t>
  </si>
  <si>
    <t>HF556561019</t>
  </si>
  <si>
    <t>KRAUSE, JEFFREY</t>
  </si>
  <si>
    <t>609, 610</t>
  </si>
  <si>
    <t>HF367456680</t>
  </si>
  <si>
    <t>881, 883</t>
  </si>
  <si>
    <t>HF523425107</t>
  </si>
  <si>
    <t>227, 228</t>
  </si>
  <si>
    <t>HF404885397</t>
  </si>
  <si>
    <t>99494 x1; 99493 x1</t>
  </si>
  <si>
    <t>F339</t>
  </si>
  <si>
    <t>MORALES, DAVID</t>
  </si>
  <si>
    <t>1003, 1004</t>
  </si>
  <si>
    <t>HF520885336</t>
  </si>
  <si>
    <t>MCMURDIE, TODD</t>
  </si>
  <si>
    <t>ASAP - Surprise - Reems</t>
  </si>
  <si>
    <t>236, 237</t>
  </si>
  <si>
    <t xml:space="preserve">***Start chat on UHC portal to check the rendering provider status </t>
  </si>
  <si>
    <t>HF559372689</t>
  </si>
  <si>
    <t>99484 x1</t>
  </si>
  <si>
    <t>Z79891</t>
  </si>
  <si>
    <t>Z1331</t>
  </si>
  <si>
    <t>WILSON, JARED</t>
  </si>
  <si>
    <t>ASAP - Tucson</t>
  </si>
  <si>
    <t>895</t>
  </si>
  <si>
    <t>HF499452983</t>
  </si>
  <si>
    <t>99494 x2; 99493 x1</t>
  </si>
  <si>
    <t>2, 1</t>
  </si>
  <si>
    <t>641, 642</t>
  </si>
  <si>
    <t>Pending</t>
  </si>
  <si>
    <t>Uploaded MR - Action required on portal - PIQ-90437788</t>
  </si>
  <si>
    <t>HF441046082</t>
  </si>
  <si>
    <t>United Healthcare</t>
  </si>
  <si>
    <t>UHC COMMERCIAL</t>
  </si>
  <si>
    <t>LUKE, TIMOTHY</t>
  </si>
  <si>
    <t>ASAP - Avondale</t>
  </si>
  <si>
    <t>1000, 1001</t>
  </si>
  <si>
    <t>HF561451630</t>
  </si>
  <si>
    <t>Blue Cross Blue Shield of Arizona (BCBS AZ)</t>
  </si>
  <si>
    <t>BCBS</t>
  </si>
  <si>
    <t>643</t>
  </si>
  <si>
    <t>HF551927338</t>
  </si>
  <si>
    <t>225, 226</t>
  </si>
  <si>
    <t>HF560594716</t>
  </si>
  <si>
    <t>970</t>
  </si>
  <si>
    <t>HF560559288</t>
  </si>
  <si>
    <t>CURRIE, DAVID</t>
  </si>
  <si>
    <t>302, 303</t>
  </si>
  <si>
    <t>HF542993364</t>
  </si>
  <si>
    <t>310, 311</t>
  </si>
  <si>
    <t>HF559534762</t>
  </si>
  <si>
    <t>G894</t>
  </si>
  <si>
    <t>1074</t>
  </si>
  <si>
    <t>HF563227502</t>
  </si>
  <si>
    <t>99484+95 x1</t>
  </si>
  <si>
    <t>95</t>
  </si>
  <si>
    <t>G8921</t>
  </si>
  <si>
    <t>M792</t>
  </si>
  <si>
    <t>M79601</t>
  </si>
  <si>
    <t>M25531</t>
  </si>
  <si>
    <t>493</t>
  </si>
  <si>
    <t>HF515993669</t>
  </si>
  <si>
    <t>617, 618</t>
  </si>
  <si>
    <t>HF427642543</t>
  </si>
  <si>
    <t>99492 x1</t>
  </si>
  <si>
    <t>600</t>
  </si>
  <si>
    <t>HF550023598</t>
  </si>
  <si>
    <t>Aetna Legacy</t>
  </si>
  <si>
    <t>120 days</t>
  </si>
  <si>
    <t>AETNA</t>
  </si>
  <si>
    <t>602, 603</t>
  </si>
  <si>
    <t>HF508997880</t>
  </si>
  <si>
    <t>TRIWEST VA CCN CLAIMS</t>
  </si>
  <si>
    <t>TRIWEST</t>
  </si>
  <si>
    <t>810, 811</t>
  </si>
  <si>
    <t>HF509339752</t>
  </si>
  <si>
    <t>Aetna Medicare PPO</t>
  </si>
  <si>
    <t>861, 862</t>
  </si>
  <si>
    <t>HF462418285</t>
  </si>
  <si>
    <t>1056, 1057</t>
  </si>
  <si>
    <t>HF507546981</t>
  </si>
  <si>
    <t>1027, 1049</t>
  </si>
  <si>
    <t>HF529910506</t>
  </si>
  <si>
    <t>Banner Health &amp; Aetna Health Insurance Company</t>
  </si>
  <si>
    <t>99493 x1; 99494 x2</t>
  </si>
  <si>
    <t>BANNER HEALTH &amp; AETNA</t>
  </si>
  <si>
    <t>1, 2</t>
  </si>
  <si>
    <t>F330</t>
  </si>
  <si>
    <t>238, 239</t>
  </si>
  <si>
    <t>HF524119358</t>
  </si>
  <si>
    <t>AMBETTER</t>
  </si>
  <si>
    <t>Date of service</t>
  </si>
  <si>
    <t>516, 517</t>
  </si>
  <si>
    <t>HF545220191</t>
  </si>
  <si>
    <t>998, 1002</t>
  </si>
  <si>
    <t>HF534791010</t>
  </si>
  <si>
    <t>847, 848</t>
  </si>
  <si>
    <t>HF521915818</t>
  </si>
  <si>
    <t>1041, 1042</t>
  </si>
  <si>
    <t>HF332213773</t>
  </si>
  <si>
    <t>823, 830</t>
  </si>
  <si>
    <t>HF447955847</t>
  </si>
  <si>
    <t>832, 833</t>
  </si>
  <si>
    <t>HF541566740</t>
  </si>
  <si>
    <t>Health Choice Pathway (Health Choice Generations)</t>
  </si>
  <si>
    <t>Health Choice Arizona</t>
  </si>
  <si>
    <t>HEALTH CHOICE PATHWAY (HEALTH CHOICE GENERATIONS)</t>
  </si>
  <si>
    <t>60 days</t>
  </si>
  <si>
    <t>288, 289</t>
  </si>
  <si>
    <t>HF548624574</t>
  </si>
  <si>
    <t>Medicare Part B Arizona *</t>
  </si>
  <si>
    <t>MEDICARE</t>
  </si>
  <si>
    <t>944, 1066</t>
  </si>
  <si>
    <t>HF531871840</t>
  </si>
  <si>
    <t>902, 903</t>
  </si>
  <si>
    <t>HF467945918</t>
  </si>
  <si>
    <t>United HealthCare Dual Complete</t>
  </si>
  <si>
    <t>Banner University Family Care / ACC (AHCCS Complete Care)</t>
  </si>
  <si>
    <t>UHC DUAL COMPLETE</t>
  </si>
  <si>
    <t>1014, 1015</t>
  </si>
  <si>
    <t>HF447635685</t>
  </si>
  <si>
    <t>F331</t>
  </si>
  <si>
    <t>1061, 1063</t>
  </si>
  <si>
    <t>HF507014455</t>
  </si>
  <si>
    <t>MediCo Insurance Company</t>
  </si>
  <si>
    <t>597, 599</t>
  </si>
  <si>
    <t>HF557143389</t>
  </si>
  <si>
    <t>254</t>
  </si>
  <si>
    <t>HF346503488</t>
  </si>
  <si>
    <t>Mutual of Omaha Insurance Company</t>
  </si>
  <si>
    <t>955, 958</t>
  </si>
  <si>
    <t>HF438354537</t>
  </si>
  <si>
    <t>AARP United Healthcare</t>
  </si>
  <si>
    <t>843, 844</t>
  </si>
  <si>
    <t>HF479558457</t>
  </si>
  <si>
    <t>CSI Life Medicare Supplement</t>
  </si>
  <si>
    <t>814, 815</t>
  </si>
  <si>
    <t>HF541827163</t>
  </si>
  <si>
    <t>Medicaid Arizona</t>
  </si>
  <si>
    <t>380, 381</t>
  </si>
  <si>
    <t>HF329358524</t>
  </si>
  <si>
    <t>751, 752</t>
  </si>
  <si>
    <t>HF491787199</t>
  </si>
  <si>
    <t>1052, 1053</t>
  </si>
  <si>
    <t>HF466876535</t>
  </si>
  <si>
    <t>413, 414</t>
  </si>
  <si>
    <t>HF497761457</t>
  </si>
  <si>
    <t>1079, 1080</t>
  </si>
  <si>
    <t>HF331215534</t>
  </si>
  <si>
    <t>Aetna Senior Supplemental (AESSI) - Secondary Only 62118</t>
  </si>
  <si>
    <t>240, 241</t>
  </si>
  <si>
    <t>HF390397148</t>
  </si>
  <si>
    <t>221, 222</t>
  </si>
  <si>
    <t>HF331440491</t>
  </si>
  <si>
    <t>Physicians Mutual Insurance Company - ENS</t>
  </si>
  <si>
    <t>474, 475</t>
  </si>
  <si>
    <t>HF514978991</t>
  </si>
  <si>
    <t>Bankers Life Colonial Penn Life</t>
  </si>
  <si>
    <t>476, 477</t>
  </si>
  <si>
    <t>HF528650589</t>
  </si>
  <si>
    <t>425</t>
  </si>
  <si>
    <t>HF491042482</t>
  </si>
  <si>
    <t>605, 606</t>
  </si>
  <si>
    <t>HF538325410</t>
  </si>
  <si>
    <t>409, 410</t>
  </si>
  <si>
    <t>HF550003369</t>
  </si>
  <si>
    <t>1081, 1082</t>
  </si>
  <si>
    <t>HF548654337</t>
  </si>
  <si>
    <t>926, 927</t>
  </si>
  <si>
    <t>HF541437694</t>
  </si>
  <si>
    <t>596, 598</t>
  </si>
  <si>
    <t>HF470696196</t>
  </si>
  <si>
    <t>F4321</t>
  </si>
  <si>
    <t>244, 245</t>
  </si>
  <si>
    <t>HF534611051</t>
  </si>
  <si>
    <t>242, 243</t>
  </si>
  <si>
    <t>HF334376585</t>
  </si>
  <si>
    <t>Health Net of Arizona, California, Oregon &amp; Washington - All Plans</t>
  </si>
  <si>
    <t>827, 828</t>
  </si>
  <si>
    <t>HF460186731</t>
  </si>
  <si>
    <t>880, 882</t>
  </si>
  <si>
    <t>HF538932939</t>
  </si>
  <si>
    <t>AARP MedicareComplete (SecureHorizons &amp; Oxford Network)</t>
  </si>
  <si>
    <t>AARP MA CHOICE / MEDICARE COMPLETE</t>
  </si>
  <si>
    <t>607, 608</t>
  </si>
  <si>
    <t>HF542472046</t>
  </si>
  <si>
    <t>Tricare West</t>
  </si>
  <si>
    <t>99484+25 x1</t>
  </si>
  <si>
    <t>Not on reference list</t>
  </si>
  <si>
    <t>25</t>
  </si>
  <si>
    <t>R6884</t>
  </si>
  <si>
    <t>M25551</t>
  </si>
  <si>
    <t>M25552</t>
  </si>
  <si>
    <t>G5771</t>
  </si>
  <si>
    <t>1051</t>
  </si>
  <si>
    <t>HF557340272</t>
  </si>
  <si>
    <t>Tricare for Life (All Regions)</t>
  </si>
  <si>
    <t>185, 186</t>
  </si>
  <si>
    <t>HF480446878</t>
  </si>
  <si>
    <t>Meritain Health</t>
  </si>
  <si>
    <t>1030</t>
  </si>
  <si>
    <t>HF551421253</t>
  </si>
  <si>
    <t>Summit Administration Services, Inc</t>
  </si>
  <si>
    <t>956, 957</t>
  </si>
  <si>
    <t>***Waiting for account to get activated again</t>
  </si>
  <si>
    <t>HF559371386</t>
  </si>
  <si>
    <t>Gold Kidney Health Plan</t>
  </si>
  <si>
    <t>1019, 1020</t>
  </si>
  <si>
    <t>HF444036229</t>
  </si>
  <si>
    <t>Imperial Insurance Companies Inc Exchange AZ (IEXAZ) (WAYSTAR ONLY)</t>
  </si>
  <si>
    <t>1006, 1009</t>
  </si>
  <si>
    <t>Resubmitted to Optum - This was submitted to SCAN Health Plan initially and denied</t>
  </si>
  <si>
    <t>HF528535429</t>
  </si>
  <si>
    <t>Mercy Care RBHA</t>
  </si>
  <si>
    <t>1060, 1062</t>
  </si>
  <si>
    <t>HF559343228</t>
  </si>
  <si>
    <t>UMR Wausau / UHIS</t>
  </si>
  <si>
    <t>UMR / WAUSAU</t>
  </si>
  <si>
    <t>915</t>
  </si>
  <si>
    <t>HF551929698</t>
  </si>
  <si>
    <t>Alignment Health Care</t>
  </si>
  <si>
    <t>422, 423</t>
  </si>
  <si>
    <t>HF470289659</t>
  </si>
  <si>
    <t>1017, 1031</t>
  </si>
  <si>
    <t>HF561201154</t>
  </si>
  <si>
    <t>820, 822</t>
  </si>
  <si>
    <t>HF545973710</t>
  </si>
  <si>
    <t>967, 968</t>
  </si>
  <si>
    <t>HF563174710</t>
  </si>
  <si>
    <t>Banner University Care Dual Advantage Plan</t>
  </si>
  <si>
    <t>595</t>
  </si>
  <si>
    <t>Uploaded MR - Dispute ID PDXEFY2R66 - Rep Ria U said we needed to send medical records - Ref # CALLXZ3KC79Y</t>
  </si>
  <si>
    <t>HF557656306</t>
  </si>
  <si>
    <t>Devoted Health Plan</t>
  </si>
  <si>
    <t>A6023+A1 x20</t>
  </si>
  <si>
    <t>DEVOTED</t>
  </si>
  <si>
    <t>A1</t>
  </si>
  <si>
    <t>20</t>
  </si>
  <si>
    <t>M48062</t>
  </si>
  <si>
    <t>OROC, RENEE</t>
  </si>
  <si>
    <t>ASAP - Mesa</t>
  </si>
  <si>
    <t>DME</t>
  </si>
  <si>
    <t>771</t>
  </si>
  <si>
    <t>ABN signed - $0.00 charges listed for A6010 in case insurance didn't pay</t>
  </si>
  <si>
    <t>HF438667754</t>
  </si>
  <si>
    <t>A6010+A1 x20</t>
  </si>
  <si>
    <t>KOMINSKY, STEPHEN</t>
  </si>
  <si>
    <t>735</t>
  </si>
  <si>
    <t xml:space="preserve">Adjusted balance  - DND no auth </t>
  </si>
  <si>
    <t>HF488155930</t>
  </si>
  <si>
    <t>M461</t>
  </si>
  <si>
    <t>WONG, KELLY</t>
  </si>
  <si>
    <t>329</t>
  </si>
  <si>
    <t>Adjusted balance - A-code not covered under M2K plan</t>
  </si>
  <si>
    <t>HF557730068</t>
  </si>
  <si>
    <t>A6010+A2 x40</t>
  </si>
  <si>
    <t>A2</t>
  </si>
  <si>
    <t>40</t>
  </si>
  <si>
    <t>M5450</t>
  </si>
  <si>
    <t>849</t>
  </si>
  <si>
    <t>***Still processing - check again on 09/16/2026</t>
  </si>
  <si>
    <t>HF547910822</t>
  </si>
  <si>
    <t>HealthSpring Medicare Advantage</t>
  </si>
  <si>
    <t>CIGNA / CIGNA MEDICARE</t>
  </si>
  <si>
    <t>1058</t>
  </si>
  <si>
    <t>Filed reconsideration with MR - PIQ-90417169</t>
  </si>
  <si>
    <t>HF506477391</t>
  </si>
  <si>
    <t>L0650+NU x1</t>
  </si>
  <si>
    <t>NU</t>
  </si>
  <si>
    <t>M5416</t>
  </si>
  <si>
    <t>M47816</t>
  </si>
  <si>
    <t>HOLLISTER, ALICIA</t>
  </si>
  <si>
    <t>804</t>
  </si>
  <si>
    <t xml:space="preserve">***Waiting for bcbs alabama portal access - Jess sent MR throught fax </t>
  </si>
  <si>
    <t>HF537490920</t>
  </si>
  <si>
    <t>TONDINI, JENISE</t>
  </si>
  <si>
    <t>ASAP - Goodyear</t>
  </si>
  <si>
    <t>850</t>
  </si>
  <si>
    <t>Shifted charges to PT - ABN signed - no cover Acodes</t>
  </si>
  <si>
    <t>HF519300380</t>
  </si>
  <si>
    <t>A6010+A1 x10</t>
  </si>
  <si>
    <t>10</t>
  </si>
  <si>
    <t>753</t>
  </si>
  <si>
    <t>***call ins and check provider status on dos - DND rendering provider OON</t>
  </si>
  <si>
    <t>HF499093825</t>
  </si>
  <si>
    <t>L0648+KX x1</t>
  </si>
  <si>
    <t>KX</t>
  </si>
  <si>
    <t>871</t>
  </si>
  <si>
    <t>Edited insured's info, and resubmitted - DND Remark: Patient/Insured health identification number and name do not match</t>
  </si>
  <si>
    <t>HF492208813</t>
  </si>
  <si>
    <t>415</t>
  </si>
  <si>
    <t>Shifted charges to PT - ABN signed - Non-coverage - Policy Number: MP.009.35</t>
  </si>
  <si>
    <t>HF331720981</t>
  </si>
  <si>
    <t>A6023+A1 x10</t>
  </si>
  <si>
    <t>315</t>
  </si>
  <si>
    <t>HF361329895</t>
  </si>
  <si>
    <t>DYDYK, ALEXANDER</t>
  </si>
  <si>
    <t>306</t>
  </si>
  <si>
    <t>HF342712719</t>
  </si>
  <si>
    <t>M50122</t>
  </si>
  <si>
    <t>M50121</t>
  </si>
  <si>
    <t>963</t>
  </si>
  <si>
    <t>HF458717535</t>
  </si>
  <si>
    <t>A6023+A2 x25</t>
  </si>
  <si>
    <t>M961</t>
  </si>
  <si>
    <t>G90523</t>
  </si>
  <si>
    <t>424</t>
  </si>
  <si>
    <t>HF547083886</t>
  </si>
  <si>
    <t>907</t>
  </si>
  <si>
    <t>HF482747140</t>
  </si>
  <si>
    <t>A6010+A2 x10</t>
  </si>
  <si>
    <t>918</t>
  </si>
  <si>
    <t>HF560310366</t>
  </si>
  <si>
    <t>L0650+KX x1</t>
  </si>
  <si>
    <t>S22080S</t>
  </si>
  <si>
    <t>891</t>
  </si>
  <si>
    <t>HF469884720</t>
  </si>
  <si>
    <t>L0637+NU x1</t>
  </si>
  <si>
    <t>873</t>
  </si>
  <si>
    <t>HF562904021</t>
  </si>
  <si>
    <t>946</t>
  </si>
  <si>
    <t>HF563307378</t>
  </si>
  <si>
    <t>G959</t>
  </si>
  <si>
    <t>936</t>
  </si>
  <si>
    <t>HF537035136</t>
  </si>
  <si>
    <t>A6010+A2 x20</t>
  </si>
  <si>
    <t>M5459</t>
  </si>
  <si>
    <t>M5417</t>
  </si>
  <si>
    <t>664</t>
  </si>
  <si>
    <t>HF330419338</t>
  </si>
  <si>
    <t>M47814</t>
  </si>
  <si>
    <t>M5489</t>
  </si>
  <si>
    <t>ADLER, STEVEN</t>
  </si>
  <si>
    <t>945</t>
  </si>
  <si>
    <t>HF535371970</t>
  </si>
  <si>
    <t>506</t>
  </si>
  <si>
    <t>HF331630717</t>
  </si>
  <si>
    <t>A6023+A2 x20</t>
  </si>
  <si>
    <t>ASAP - Biltmore</t>
  </si>
  <si>
    <t>569</t>
  </si>
  <si>
    <t>HF496850534</t>
  </si>
  <si>
    <t>Surest (A United Healthcare Company - Formerly BIND)</t>
  </si>
  <si>
    <t>894</t>
  </si>
  <si>
    <t>HF528506830</t>
  </si>
  <si>
    <t>G5773</t>
  </si>
  <si>
    <t>TERRILL, STEPHANIE</t>
  </si>
  <si>
    <t>1016</t>
  </si>
  <si>
    <t>HF368912344</t>
  </si>
  <si>
    <t>CareGuard</t>
  </si>
  <si>
    <t>14</t>
  </si>
  <si>
    <t>HF495192860</t>
  </si>
  <si>
    <t>864</t>
  </si>
  <si>
    <t>HF538936351</t>
  </si>
  <si>
    <t>L0457+KX x1</t>
  </si>
  <si>
    <t>HEALTH CHOICE MEDICAID</t>
  </si>
  <si>
    <t>Arshad, Jawad</t>
  </si>
  <si>
    <t>397</t>
  </si>
  <si>
    <t>HF541974005</t>
  </si>
  <si>
    <t>MERCY CARE MEDICAID</t>
  </si>
  <si>
    <t>M4316</t>
  </si>
  <si>
    <t>M4726</t>
  </si>
  <si>
    <t>MCCUNNIFF, PETER</t>
  </si>
  <si>
    <t>829</t>
  </si>
  <si>
    <t>HF555347656</t>
  </si>
  <si>
    <t>DME Region D</t>
  </si>
  <si>
    <t>A6023+A2 x40</t>
  </si>
  <si>
    <t>Advanced Spine and Pain LLC DME GIL</t>
  </si>
  <si>
    <t>Advanced Spine and Pain LLC DME - Gilbert</t>
  </si>
  <si>
    <t>84</t>
  </si>
  <si>
    <t>HF545128862</t>
  </si>
  <si>
    <t>L3916+KX+RT x1</t>
  </si>
  <si>
    <t>RT</t>
  </si>
  <si>
    <t>G5601</t>
  </si>
  <si>
    <t>Advanced Spine and Pain LLC DME GWY</t>
  </si>
  <si>
    <t>Advanced Spine and Pain LLC DME - Greenway</t>
  </si>
  <si>
    <t>398</t>
  </si>
  <si>
    <t>HF428858741</t>
  </si>
  <si>
    <t>L1851+KX+LT x1; L1851+KX+RT x1</t>
  </si>
  <si>
    <t>LT, RT</t>
  </si>
  <si>
    <t>M1712, M1711</t>
  </si>
  <si>
    <t>739, 740</t>
  </si>
  <si>
    <t>HF340120024</t>
  </si>
  <si>
    <t>Advanced Spine and Pain LLC DME GYR</t>
  </si>
  <si>
    <t>Advanced Spine and Pain LLC DME - Goodyear</t>
  </si>
  <si>
    <t>73</t>
  </si>
  <si>
    <t>HF446078490</t>
  </si>
  <si>
    <t>Aetna Life &amp; Casualty Company</t>
  </si>
  <si>
    <t>322</t>
  </si>
  <si>
    <t>HF561443798</t>
  </si>
  <si>
    <t>Advanced Spine and Pain LLC DME SUR</t>
  </si>
  <si>
    <t>Advanced Spine and Pain LLC DME - Surprise Reems</t>
  </si>
  <si>
    <t>840</t>
  </si>
  <si>
    <t>HF548675546</t>
  </si>
  <si>
    <t>M533</t>
  </si>
  <si>
    <t>951</t>
  </si>
  <si>
    <t>HF489743294</t>
  </si>
  <si>
    <t>159</t>
  </si>
  <si>
    <t>HF521220935</t>
  </si>
  <si>
    <t>727</t>
  </si>
  <si>
    <t>HF543820901</t>
  </si>
  <si>
    <t>271</t>
  </si>
  <si>
    <t>HF514519994</t>
  </si>
  <si>
    <t>321</t>
  </si>
  <si>
    <t>HF540923124</t>
  </si>
  <si>
    <t>323</t>
  </si>
  <si>
    <t>HF411712712</t>
  </si>
  <si>
    <t>990</t>
  </si>
  <si>
    <t>HF559203629</t>
  </si>
  <si>
    <t>L0456+KX x1</t>
  </si>
  <si>
    <t>M8008XA</t>
  </si>
  <si>
    <t>M48061</t>
  </si>
  <si>
    <t>593</t>
  </si>
  <si>
    <t>HF511435057</t>
  </si>
  <si>
    <t>M5412</t>
  </si>
  <si>
    <t>976</t>
  </si>
  <si>
    <t>HF469070076</t>
  </si>
  <si>
    <t>Arizona Complete Health (Centene)</t>
  </si>
  <si>
    <t>68</t>
  </si>
  <si>
    <t>HF460794896</t>
  </si>
  <si>
    <t>616</t>
  </si>
  <si>
    <t>HF329393326</t>
  </si>
  <si>
    <t>Amerigroup - All States</t>
  </si>
  <si>
    <t>977</t>
  </si>
  <si>
    <t>HF493646829</t>
  </si>
  <si>
    <t>L0637+KX x1</t>
  </si>
  <si>
    <t>M4727</t>
  </si>
  <si>
    <t>M51369</t>
  </si>
  <si>
    <t>BARCOME, MARYBETH</t>
  </si>
  <si>
    <t>1005</t>
  </si>
  <si>
    <t>HF450733071</t>
  </si>
  <si>
    <t>S32000A</t>
  </si>
  <si>
    <t>916</t>
  </si>
  <si>
    <t>1065</t>
  </si>
  <si>
    <t>PENDING POSTING</t>
  </si>
  <si>
    <t>HF492807840</t>
  </si>
  <si>
    <t>36248+59 x3; 75774+26+XU x5; 36245+59 x1; 37242 x1; 75710+26+XU+RT x1; 76937+26 x1; 36246+59+RT x1</t>
  </si>
  <si>
    <t>59, 26</t>
  </si>
  <si>
    <t>XU, RT</t>
  </si>
  <si>
    <t>3, 5, 1</t>
  </si>
  <si>
    <t>M1711</t>
  </si>
  <si>
    <t>I798</t>
  </si>
  <si>
    <t>M25561</t>
  </si>
  <si>
    <t>HUNTER, DREW</t>
  </si>
  <si>
    <t>Premier Endoscopy Center, LLC</t>
  </si>
  <si>
    <t>GAE</t>
  </si>
  <si>
    <t>928, 929, 930, 931, 933, 934, 935</t>
  </si>
  <si>
    <t>Filed reconsideration with MR for 76937 - PIQ-90417618 - DND 76937 Remark: N163 Medical record does not support code billed per the code definition - Jess uploaded MR</t>
  </si>
  <si>
    <t>HF552622415</t>
  </si>
  <si>
    <t>76937+26 x1</t>
  </si>
  <si>
    <t>26, 59</t>
  </si>
  <si>
    <t>4, 1, 2</t>
  </si>
  <si>
    <t>330, 331, 332, 333, 334, 335, 336</t>
  </si>
  <si>
    <t>Uploaded MR - PIQ-90417669</t>
  </si>
  <si>
    <t>HF525787835</t>
  </si>
  <si>
    <t>36245+59 x1; 75774+26+XU x4; 75710+26+XU+LT x1; 37242 x1; 36246+59 x1; 76937+26 x1; 36246+59+LT x1</t>
  </si>
  <si>
    <t>XU, LT</t>
  </si>
  <si>
    <t>LT</t>
  </si>
  <si>
    <t>1, 4</t>
  </si>
  <si>
    <t>M1712</t>
  </si>
  <si>
    <t>M25562</t>
  </si>
  <si>
    <t>ASAP Surgery Centers North Valley LLC</t>
  </si>
  <si>
    <t>988, 989, 991, 992, 993, 994, 995</t>
  </si>
  <si>
    <t>Added mod RT to 36245, edited dxs order, and resubmitted</t>
  </si>
  <si>
    <t>HF330028627</t>
  </si>
  <si>
    <t>36248+59 x3; 75710+26+XU+RT x1; 36246+59+RT x1; 36245+59 x1; 75774+26+XU x5</t>
  </si>
  <si>
    <t>3, 1, 5</t>
  </si>
  <si>
    <t>293, 294, 295, 304, 305</t>
  </si>
  <si>
    <t>HF386554880</t>
  </si>
  <si>
    <t>76937 x1; 37242 x1; 36245+59 x1; 36248+59 x3; 75774+XU x5; 75710+XU+LT x1; 36246+59+LT x1</t>
  </si>
  <si>
    <t>59, XU</t>
  </si>
  <si>
    <t>1, 3, 5</t>
  </si>
  <si>
    <t>337, 338, 339, 340, 341, 342, 343</t>
  </si>
  <si>
    <t>76937+26 x1; 75774+26+XU x4; 36245+59 x4; 75710+26+XU+RT x1; 37242 x1</t>
  </si>
  <si>
    <t>XU</t>
  </si>
  <si>
    <t>1069, 1070, 1071, 1072, 1073</t>
  </si>
  <si>
    <t>HF534608085</t>
  </si>
  <si>
    <t>Humana Gold Plus HMO</t>
  </si>
  <si>
    <t>37242 x1; 75774+XU x4; 36245+59 x4; 76937 x1; 75710+XU+LT x1</t>
  </si>
  <si>
    <t>HUMANA MA</t>
  </si>
  <si>
    <t>XU, 59</t>
  </si>
  <si>
    <t>1043, 1044, 1045, 1046, 1047</t>
  </si>
  <si>
    <t>HF556068803</t>
  </si>
  <si>
    <t>76937+26 x1; 37242+LT x1; 36247+LT x1</t>
  </si>
  <si>
    <t>26, LT</t>
  </si>
  <si>
    <t>M722</t>
  </si>
  <si>
    <t>530, 531, 532</t>
  </si>
  <si>
    <t>HF498472279</t>
  </si>
  <si>
    <t>75774+26+XU x4; 36245+59 x4; 37242 x1; 75710+26+XU+RT x1; 76937+26 x1</t>
  </si>
  <si>
    <t>4, 1</t>
  </si>
  <si>
    <t>622, 623, 624, 625, 626</t>
  </si>
  <si>
    <t>HF559271684</t>
  </si>
  <si>
    <t>37242+LT x1; 76937 x1; 36247+LT x1</t>
  </si>
  <si>
    <t>375, 376, 377</t>
  </si>
  <si>
    <t>HF540421253</t>
  </si>
  <si>
    <t>76937 x1; 37242+LT x1; 36247+LT x1</t>
  </si>
  <si>
    <t>985, 986, 987</t>
  </si>
  <si>
    <t>HF524772530</t>
  </si>
  <si>
    <t>36245+59 x1; 37242 x1; 75774+26+XU x5; 36246+59+RT x1; 36248+59 x3; 75710+26+XU+RT x1; 76937+26 x1</t>
  </si>
  <si>
    <t>1, 5, 3</t>
  </si>
  <si>
    <t>246, 247, 248, 249, 250, 251, 252</t>
  </si>
  <si>
    <t>HF546406685</t>
  </si>
  <si>
    <t>36246+59+RT x1; 36245+59 x1; 76937+26 x1; 37242 x1; 36248+59 x3; 75774+26+XU x5; 75710+26+XU+RT x1</t>
  </si>
  <si>
    <t>RT, XU</t>
  </si>
  <si>
    <t>834, 836, 838, 839, 841, 842, 1018</t>
  </si>
  <si>
    <t>HF559340413</t>
  </si>
  <si>
    <t>Aetna Medicare HMO</t>
  </si>
  <si>
    <t>75774+26+XU x5; 36245+59 x5; 76937+26 x1; 75710+26+XU+RT x1; 37242 x1</t>
  </si>
  <si>
    <t>5, 1</t>
  </si>
  <si>
    <t>897, 898, 899, 1054, 1055</t>
  </si>
  <si>
    <t>HF552241760</t>
  </si>
  <si>
    <t>37242 x1; 75710+XU+RT x1; 75774+XU x5; 76937 x1; 36246+59+RT x1; 36248+59 x3; 36245+59 x1</t>
  </si>
  <si>
    <t>416, 417, 418, 419, 420, 421, 726</t>
  </si>
  <si>
    <t>HF494572444</t>
  </si>
  <si>
    <t>75710+26+XU+LT x1; 76937+26 x1; 36246+59+LT x1; 37242 x1; 36245+59 x1; 75774+26+XU x4; 36248+59 x2</t>
  </si>
  <si>
    <t>1, 4, 2</t>
  </si>
  <si>
    <t>959, 960, 961, 962, 964, 965, 966</t>
  </si>
  <si>
    <t>HF495515510</t>
  </si>
  <si>
    <t>75710+XU+LT x1; 75774+XU x5</t>
  </si>
  <si>
    <t>1, 5</t>
  </si>
  <si>
    <t>948, 949</t>
  </si>
  <si>
    <t>HF456620712</t>
  </si>
  <si>
    <t>75774+26+XU x3; 76937+26 x1; 36248+59 x1; 37242 x1; 36245+59 x1; 36246+59+LT x1; 75710+26+XU+LT x1</t>
  </si>
  <si>
    <t>3, 1</t>
  </si>
  <si>
    <t>189, 190, 191, 203, 204, 205, 206</t>
  </si>
  <si>
    <t>HF556732512</t>
  </si>
  <si>
    <t>CIGNA</t>
  </si>
  <si>
    <t>36246+59+RT x1; 36248+59 x3; 37242 x1; 76937+26 x1; 75774+26+XU x5; 75710+26+XU+RT x1; 36245+59 x1</t>
  </si>
  <si>
    <t>877, 878, 920, 921, 922, 923, 924</t>
  </si>
  <si>
    <t>HF541743150</t>
  </si>
  <si>
    <t>Cigna Medicare Supplemental Benefit Plans - Relay Health 13193</t>
  </si>
  <si>
    <t>36245+59 x5; 75774+26+XU x5; 75710+26+XU+RT x1; 76937+26 x1; 37242 x1</t>
  </si>
  <si>
    <t>308, 309, 312, 313, 314</t>
  </si>
  <si>
    <t>HF562630958</t>
  </si>
  <si>
    <t>USAA Life Insurance Company</t>
  </si>
  <si>
    <t>36247+59+RT x1; 76937+26 x1; 37242 x1; 75710+26+XU+RT x1; 36248+59 x4; 75774+26+XU x5</t>
  </si>
  <si>
    <t>1, 4, 5</t>
  </si>
  <si>
    <t>950, 1021, 1022, 1023, 1024, 1025</t>
  </si>
  <si>
    <t>Filed dispute ID PDX7G8WCG9 with MR</t>
  </si>
  <si>
    <t>HF548665870</t>
  </si>
  <si>
    <t>36246+59+RT x1; 36245+59 x1; 75710+26+XU+RT x1; 37242 x1; 36248+59 x3; 76937+26 x1; 75774+26+XU x5</t>
  </si>
  <si>
    <t>533, 534, 535, 536, 537, 538, 539</t>
  </si>
  <si>
    <t>Bri resubmitted to Devoted</t>
  </si>
  <si>
    <t>HF549060053</t>
  </si>
  <si>
    <t>63047 x1; 63048 x1</t>
  </si>
  <si>
    <t>MAYURAN, VIKRAM</t>
  </si>
  <si>
    <t>ORTHO</t>
  </si>
  <si>
    <t>865, 866</t>
  </si>
  <si>
    <t>Uploaded MR - PIQ-90435209</t>
  </si>
  <si>
    <t>HF548971165</t>
  </si>
  <si>
    <t>M51362</t>
  </si>
  <si>
    <t>835, 837</t>
  </si>
  <si>
    <t>Uploaded MR - PIQ-90435089</t>
  </si>
  <si>
    <t>HF554317461</t>
  </si>
  <si>
    <t>63048 x1; 63047 x1</t>
  </si>
  <si>
    <t>Q7649</t>
  </si>
  <si>
    <t>211, 212</t>
  </si>
  <si>
    <t>HF557358588</t>
  </si>
  <si>
    <t>63655 x1; 63685 x1</t>
  </si>
  <si>
    <t>219, 220</t>
  </si>
  <si>
    <t>Deleted service line 20936, and resubmitted</t>
  </si>
  <si>
    <t>HF329403331</t>
  </si>
  <si>
    <t>22845+59 x1; 22853+59 x1; 22853 x1; 22551 x1</t>
  </si>
  <si>
    <t>59</t>
  </si>
  <si>
    <t>M50021, M50022</t>
  </si>
  <si>
    <t>M50022, M5412</t>
  </si>
  <si>
    <t>M5412, M542</t>
  </si>
  <si>
    <t>M542</t>
  </si>
  <si>
    <t>399, 400, 401, 402</t>
  </si>
  <si>
    <t>***Call ins to get bar code letter if needed and insights on denials</t>
  </si>
  <si>
    <t>22856 x1</t>
  </si>
  <si>
    <t>M5010</t>
  </si>
  <si>
    <t>M4802</t>
  </si>
  <si>
    <t>291</t>
  </si>
  <si>
    <t>Uploaded MR on portal - Request ID: 36199963</t>
  </si>
  <si>
    <t>HF545081997</t>
  </si>
  <si>
    <t>20930 x1; 22612 x1; 63042+59+LT x1</t>
  </si>
  <si>
    <t>M4126</t>
  </si>
  <si>
    <t>816, 817, 818</t>
  </si>
  <si>
    <t>HF556915332</t>
  </si>
  <si>
    <t>63685 x1, 63650 x2</t>
  </si>
  <si>
    <t>210</t>
  </si>
  <si>
    <t>64708 x1; 63047 x1</t>
  </si>
  <si>
    <t>M4807</t>
  </si>
  <si>
    <t>G549</t>
  </si>
  <si>
    <t>591, 592</t>
  </si>
  <si>
    <t>Added mods 79 and RT, and resubmitted - DND 27279 Remark N525 These services are not covered when performed within the global period of another service - Proc is included in the global period of HxProc 27279+LT on Claim ID RC3153710000 Line ID 1 on date of service 04/16/2026</t>
  </si>
  <si>
    <t>27279 x1</t>
  </si>
  <si>
    <t>590</t>
  </si>
  <si>
    <t>HF546187849</t>
  </si>
  <si>
    <t>27279+LT x1</t>
  </si>
  <si>
    <t>738</t>
  </si>
  <si>
    <t>Line with 20930 removed, and resubmitted</t>
  </si>
  <si>
    <t>20930 x1; 22840+59 x1; 22840 x1</t>
  </si>
  <si>
    <t>M4692</t>
  </si>
  <si>
    <t>M4322</t>
  </si>
  <si>
    <t>772, 773, 774</t>
  </si>
  <si>
    <t>63685 x1</t>
  </si>
  <si>
    <t>403</t>
  </si>
  <si>
    <t>HF538566755</t>
  </si>
  <si>
    <t>63047+LT x1</t>
  </si>
  <si>
    <t>604</t>
  </si>
  <si>
    <t>HF544048268</t>
  </si>
  <si>
    <t>22612 x1</t>
  </si>
  <si>
    <t>M7138</t>
  </si>
  <si>
    <t>1059</t>
  </si>
  <si>
    <t>HF507823275</t>
  </si>
  <si>
    <t>M4810</t>
  </si>
  <si>
    <t>875</t>
  </si>
  <si>
    <t>M9971</t>
  </si>
  <si>
    <t>M50222</t>
  </si>
  <si>
    <t>908</t>
  </si>
  <si>
    <t>63030+LT x1</t>
  </si>
  <si>
    <t>M5126</t>
  </si>
  <si>
    <t>672</t>
  </si>
  <si>
    <t>HF493215593</t>
  </si>
  <si>
    <t>426</t>
  </si>
  <si>
    <t>HF510131965</t>
  </si>
  <si>
    <t>457</t>
  </si>
  <si>
    <t>HF330426606</t>
  </si>
  <si>
    <t>914</t>
  </si>
  <si>
    <t>HF545433577</t>
  </si>
  <si>
    <t>102</t>
  </si>
  <si>
    <t>HF429349260</t>
  </si>
  <si>
    <t>22853 x1</t>
  </si>
  <si>
    <t>AZ COMPLETE</t>
  </si>
  <si>
    <t>Banner Desert Medical Center</t>
  </si>
  <si>
    <t>581</t>
  </si>
  <si>
    <t>HF548912465</t>
  </si>
  <si>
    <t>Banner Medicare Advantage Prime HMO (BMAH)</t>
  </si>
  <si>
    <t>BANNER MEDICARE ADVANTAGE</t>
  </si>
  <si>
    <t>65 days</t>
  </si>
  <si>
    <t>M5417, M5416</t>
  </si>
  <si>
    <t>Honor Health Deer Valley Medical Center</t>
  </si>
  <si>
    <t>565, 566</t>
  </si>
  <si>
    <t>HF554708597</t>
  </si>
  <si>
    <t>872</t>
  </si>
  <si>
    <t>HF537995499</t>
  </si>
  <si>
    <t>22858 x1; 22856 x1</t>
  </si>
  <si>
    <t>M4722</t>
  </si>
  <si>
    <t>455, 456</t>
  </si>
  <si>
    <t>22856 x1; 22858 x1</t>
  </si>
  <si>
    <t>M50222, M50322</t>
  </si>
  <si>
    <t>525, 526</t>
  </si>
  <si>
    <t>187</t>
  </si>
  <si>
    <t>63045 x1; 63048 x1</t>
  </si>
  <si>
    <t>M5030</t>
  </si>
  <si>
    <t>501, 502</t>
  </si>
  <si>
    <t>HF394586216</t>
  </si>
  <si>
    <t>63047 x1</t>
  </si>
  <si>
    <t>M51360</t>
  </si>
  <si>
    <t>473</t>
  </si>
  <si>
    <t>HF548056702</t>
  </si>
  <si>
    <t>ChampVA - HAC</t>
  </si>
  <si>
    <t>63655 x1</t>
  </si>
  <si>
    <t>202</t>
  </si>
  <si>
    <t>HF335035633</t>
  </si>
  <si>
    <t>M50021</t>
  </si>
  <si>
    <t>99</t>
  </si>
  <si>
    <t>HF336577433</t>
  </si>
  <si>
    <t>770</t>
  </si>
  <si>
    <t>19, 20</t>
  </si>
  <si>
    <t>1012</t>
  </si>
  <si>
    <t>63047 x1; 64708 x1</t>
  </si>
  <si>
    <t>M48062, G549</t>
  </si>
  <si>
    <t>M4686, M48062</t>
  </si>
  <si>
    <t>1083, 1084</t>
  </si>
  <si>
    <t>HF329871729</t>
  </si>
  <si>
    <t>63030+RT x1; 64708 x1</t>
  </si>
  <si>
    <t>M4807, G549</t>
  </si>
  <si>
    <t>M5417, M4807</t>
  </si>
  <si>
    <t>M5127, M5417</t>
  </si>
  <si>
    <t>M51372, M5127</t>
  </si>
  <si>
    <t>768, 769</t>
  </si>
  <si>
    <t>HF476520532</t>
  </si>
  <si>
    <t>63047 x1; 63048 x1; 64708 x2</t>
  </si>
  <si>
    <t>G544</t>
  </si>
  <si>
    <t>978, 979, 980</t>
  </si>
  <si>
    <t>Edited dx codes for 93970 - Included dxs I83893, R600, and resubmitted</t>
  </si>
  <si>
    <t>HF548297248</t>
  </si>
  <si>
    <t>93970 x1</t>
  </si>
  <si>
    <t>I739</t>
  </si>
  <si>
    <t>Z86718</t>
  </si>
  <si>
    <t>US</t>
  </si>
  <si>
    <t>580</t>
  </si>
  <si>
    <t>Uploaded MR - PIQ-90672316</t>
  </si>
  <si>
    <t>HF537684538</t>
  </si>
  <si>
    <t>I82401</t>
  </si>
  <si>
    <t>M79604</t>
  </si>
  <si>
    <t>ASAP - DEER VALLEY 240</t>
  </si>
  <si>
    <t>671</t>
  </si>
  <si>
    <t>Uploaded MR - PIQ-90420851</t>
  </si>
  <si>
    <t>HF549710983</t>
  </si>
  <si>
    <t>93970 x1; 93925 x1; 93923 x1</t>
  </si>
  <si>
    <t>M25571</t>
  </si>
  <si>
    <t>M79671</t>
  </si>
  <si>
    <t>256, 300, 301</t>
  </si>
  <si>
    <t xml:space="preserve">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t>
  </si>
  <si>
    <t>HF545581499</t>
  </si>
  <si>
    <t>93925 x1; 93923 x1</t>
  </si>
  <si>
    <t>R600</t>
  </si>
  <si>
    <t>523, 524</t>
  </si>
  <si>
    <t>HF553337209</t>
  </si>
  <si>
    <t>93923 x1</t>
  </si>
  <si>
    <t>I872</t>
  </si>
  <si>
    <t>917</t>
  </si>
  <si>
    <t>Uploaded MR - Pending Claim Ticket: PIQ-90513385</t>
  </si>
  <si>
    <t>HF372182502</t>
  </si>
  <si>
    <t>G9009</t>
  </si>
  <si>
    <t>1026, 1048, 1050</t>
  </si>
  <si>
    <t>HF554188284</t>
  </si>
  <si>
    <t>93923 x1; 93925 x1; 93970 x1</t>
  </si>
  <si>
    <t>M79662</t>
  </si>
  <si>
    <t>644, 645, 646</t>
  </si>
  <si>
    <t>HF559503595</t>
  </si>
  <si>
    <t>Banner Aetna</t>
  </si>
  <si>
    <t>404</t>
  </si>
  <si>
    <t>HF557103622</t>
  </si>
  <si>
    <t>93925 x1; 93923 x1; 93970 x1</t>
  </si>
  <si>
    <t>R2243</t>
  </si>
  <si>
    <t>527, 528, 529</t>
  </si>
  <si>
    <t>HF552713619</t>
  </si>
  <si>
    <t>Mercy Care Health Plan Advantage (AHCCCS)</t>
  </si>
  <si>
    <t>150 days</t>
  </si>
  <si>
    <t>MERCY CARE ADVANTAGE</t>
  </si>
  <si>
    <t>M79661</t>
  </si>
  <si>
    <t>969, 971, 999</t>
  </si>
  <si>
    <t>HF441949223</t>
  </si>
  <si>
    <t>93970 x1; 93923 x1; 93925 x1</t>
  </si>
  <si>
    <t>R609</t>
  </si>
  <si>
    <t>R2240</t>
  </si>
  <si>
    <t>549, 550, 551</t>
  </si>
  <si>
    <t>HF544718675</t>
  </si>
  <si>
    <t>93925 x1; 93970 x1; 93923 x1</t>
  </si>
  <si>
    <t>M79605</t>
  </si>
  <si>
    <t>R202</t>
  </si>
  <si>
    <t>235, 268, 269</t>
  </si>
  <si>
    <t>HF364431204</t>
  </si>
  <si>
    <t>R2241</t>
  </si>
  <si>
    <t>125, 165, 166</t>
  </si>
  <si>
    <t>HF559660036</t>
  </si>
  <si>
    <t>93923 x1; 93970 x1; 93925 x1</t>
  </si>
  <si>
    <t>I70213</t>
  </si>
  <si>
    <t>326, 327, 328</t>
  </si>
  <si>
    <t>HF467995431</t>
  </si>
  <si>
    <t>I83811</t>
  </si>
  <si>
    <t>874</t>
  </si>
  <si>
    <t>HF497148337</t>
  </si>
  <si>
    <t>I83011</t>
  </si>
  <si>
    <t>170</t>
  </si>
  <si>
    <t>HF562069201</t>
  </si>
  <si>
    <t>74, 75, 155</t>
  </si>
  <si>
    <t>HF550504744</t>
  </si>
  <si>
    <t>G5790</t>
  </si>
  <si>
    <t>M546</t>
  </si>
  <si>
    <t>N39498</t>
  </si>
  <si>
    <t>824, 825, 826</t>
  </si>
  <si>
    <t>HF449340318</t>
  </si>
  <si>
    <t>93925 x1</t>
  </si>
  <si>
    <t>478</t>
  </si>
  <si>
    <t xml:space="preserve">Resubmitted to Optum - The claim was denied due to missrouted claim - Claim was initially submitted to SCAN Health Plan </t>
  </si>
  <si>
    <t>HF558969171</t>
  </si>
  <si>
    <t>93970 x1; 93923 x1</t>
  </si>
  <si>
    <t>587, 588</t>
  </si>
  <si>
    <t>906</t>
  </si>
  <si>
    <t>2026-06 June - Specialty Claims</t>
  </si>
  <si>
    <t>213 claim lines with a date of service in 2026-06 June,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</si>
  <si>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</si>
  <si>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</si>
  <si>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</si>
  <si>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1</t>
  </si>
  <si>
    <t xml:space="preserve">    2 - Due in 6-30 days: 39</t>
  </si>
  <si>
    <t xml:space="preserve">    3 - Due in 31+ days: 147</t>
  </si>
  <si>
    <t xml:space="preserve">    4 - Past deadline: 2</t>
  </si>
  <si>
    <t xml:space="preserve">    5 - No limit on file: 24</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</si>
  <si>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</si>
  <si>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</si>
  <si>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</si>
  <si>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</si>
  <si>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</si>
  <si>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</si>
  <si>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</si>
  <si>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</si>
  <si>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</si>
  <si>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</si>
  <si>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</si>
  <si>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</si>
  <si>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</si>
  <si>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</si>
  <si>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</si>
  <si>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</si>
  <si>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</si>
  <si>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</si>
  <si>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</si>
  <si>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Shifted to PT - ABN signed - No coverage - Policy Number: MP.009.35 - DND Acodes - PR_204 Patient Responsibility - This service/equipment/drug is not covered under the patient's current benefit plan</t>
  </si>
  <si>
    <t xml:space="preserve">Adjusted balance - no auth found - DND Acodes missing auth  </t>
  </si>
  <si>
    <t>***DND Acodes Preferred Homecare is responsible for these services. Please submit the claim to Preferred Homecare for consideration.</t>
  </si>
  <si>
    <t xml:space="preserve">Adjusted balance - Acodes no covered with BCBS M2K - DND missing auth </t>
  </si>
  <si>
    <t>Uploaded MR - Barcode OC2007391060002 - Confirmation ID 1000086071082</t>
  </si>
  <si>
    <t>*** DND Acodes Preferred Homecare is responsible for these services. Please submit the claim to Preferred Homecare for consideration. -Remark N216 We do not offer coverage for this type of service or the patient is not enrolled in this portion of our benefit package</t>
  </si>
  <si>
    <t>Uploaded MR - Barcode OC2007391060001 - Confirmation ID 1000086072612</t>
  </si>
  <si>
    <t>Uploaded MR - PIQ-91109484</t>
  </si>
  <si>
    <t>Uploaded MR - PIQ-91109634</t>
  </si>
  <si>
    <t>Uploaded MR - Request ID 36638918</t>
  </si>
  <si>
    <t>Rejected</t>
  </si>
  <si>
    <t>Deleted referring provider, and resubmitted - Rejected for invalid EDI. reasons 1. invalid id dataelement text (2), see entity type qualifier at position 2, nmi, nm1dn2insurancexx1356950653</t>
  </si>
  <si>
    <t>Uploaded MR - PIQ-91150157</t>
  </si>
  <si>
    <t>Filed Reconsideration Ticket Number: PIQ-91152640 - DND 63030 due too no auth</t>
  </si>
  <si>
    <t>Added plan # FEP 105, and resubmitted - DND N245 Incomplete/invalid plan information for other insurance</t>
  </si>
  <si>
    <t xml:space="preserve">Deleted referring provider, and resubmitted - Rejected due to invalid EDI </t>
  </si>
  <si>
    <t xml:space="preserve">Filed Reconsideration Request ID: TT2646380 - Authorization 19816932 denied  - DND missing auth </t>
  </si>
  <si>
    <t xml:space="preserve">secondary - added COB info, and sent claim to print - Primary paid </t>
  </si>
  <si>
    <t xml:space="preserve">Uploaded MR on portal - Request ID:36466407 - DND due to incomplete MR - Jess uploaded MR </t>
  </si>
  <si>
    <t>Uploaded MR - PIQ-91178548</t>
  </si>
  <si>
    <t>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t>
  </si>
  <si>
    <t>Insurance paid - Edited insured's info, and resubmitted - DND Remark: Patient/Insured health identification number and name do not match</t>
  </si>
  <si>
    <t>PAID - Removed Dx I872, and resubmitted</t>
  </si>
  <si>
    <t>PAID - Delete 93923 that's bundling, and resubmitted -  93923 billed on claim 568263929</t>
  </si>
  <si>
    <t xml:space="preserve">HF464911322</t>
  </si>
  <si>
    <t xml:space="preserve">HF537547660</t>
  </si>
  <si>
    <t xml:space="preserve">M5116</t>
  </si>
  <si>
    <t xml:space="preserve">G9050</t>
  </si>
  <si>
    <t xml:space="preserve">566076310</t>
  </si>
  <si>
    <t xml:space="preserve">M4312</t>
  </si>
  <si>
    <t xml:space="preserve">566076314</t>
  </si>
  <si>
    <t xml:space="preserve">HF548537700</t>
  </si>
  <si>
    <t xml:space="preserve">540 days</t>
  </si>
  <si>
    <t xml:space="preserve">568647541</t>
  </si>
  <si>
    <t xml:space="preserve">HF545223898</t>
  </si>
  <si>
    <t xml:space="preserve">99493 x1</t>
  </si>
  <si>
    <t xml:space="preserve">568647625</t>
  </si>
  <si>
    <t xml:space="preserve">HF329739318</t>
  </si>
  <si>
    <t xml:space="preserve">HF330403020</t>
  </si>
  <si>
    <t xml:space="preserve">HF537685966</t>
  </si>
  <si>
    <t xml:space="preserve">HF431164004</t>
  </si>
  <si>
    <t xml:space="preserve">HF475689954</t>
  </si>
  <si>
    <t xml:space="preserve">568648953</t>
  </si>
  <si>
    <t xml:space="preserve">HF463070842</t>
  </si>
  <si>
    <t xml:space="preserve">HF348110860</t>
  </si>
  <si>
    <t xml:space="preserve">F418</t>
  </si>
  <si>
    <t xml:space="preserve">HF559271506</t>
  </si>
  <si>
    <t xml:space="preserve">HF428301616</t>
  </si>
  <si>
    <t xml:space="preserve">HF512498576</t>
  </si>
  <si>
    <t xml:space="preserve">64708 x1</t>
  </si>
  <si>
    <t xml:space="preserve">G542</t>
  </si>
  <si>
    <t xml:space="preserve">NYSTROM, NILS</t>
  </si>
  <si>
    <t xml:space="preserve">HF347481536</t>
  </si>
  <si>
    <t xml:space="preserve">22853 x1; 22612 x1; 22840 x1</t>
  </si>
  <si>
    <t xml:space="preserve">Under Review</t>
  </si>
  <si>
    <t xml:space="preserve">Start chat on UHC portal to check the rendering provider status </t>
  </si>
  <si>
    <t xml:space="preserve">Waiting for account to get activated again</t>
  </si>
  <si>
    <t xml:space="preserve">Still processing - check again on 09/16/2026</t>
  </si>
  <si>
    <t xml:space="preserve">Waiting for bcbs alabama portal access - Jess sent MR throught fax </t>
  </si>
  <si>
    <t xml:space="preserve">call ins and check provider status on dos - DND rendering provider OON</t>
  </si>
  <si>
    <t xml:space="preserve">DND Acodes Preferred Homecare is responsible for these services. Please submit the claim to Preferred Homecare for consideration.</t>
  </si>
  <si>
    <t xml:space="preserve">DND Acodes Preferred Homecare is responsible for these services. Please submit the claim to Preferred Homecare for consideration. -Remark N216 We do not offer coverage for this type of service or the patient is not enrolled in this portion of our benefit package</t>
  </si>
  <si>
    <t xml:space="preserve">Call ins to get bar code letter if needed and insights on denials</t>
  </si>
  <si>
    <t xml:space="preserve">Statuses currently in use: Denied, Finalized, PAID, Pending, Received, Rejected, Under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</si>
</sst>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1" fontId="2" fillId="0" borderId="1" xfId="0" applyNumberFormat="1" applyFont="1" applyBorder="1" applyAlignment="1">
      <alignment horizontal="left" vertical="top"/>
    </xf>
    <xf numFmtId="0" fontId="1" fillId="2" borderId="1" xfId="0" applyFont="1" applyFill="1" applyBorder="1" applyAlignment="1">
      <alignment horizontal="center" vertical="center"/>
    </xf>
    <xf numFmtId="0" fontId="5" fillId="3" borderId="1" xfId="0" applyFont="1" applyFill="1" applyBorder="1" applyAlignment="1">
      <alignmen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5"/>
  <sheetViews>
    <sheetView zoomScale="90" workbookViewId="0">
      <pane xSplit="2" ySplit="1" topLeftCell="C2" activePane="bottomRight" state="frozen"/>
      <selection pane="topRight"/>
      <selection pane="bottomLeft"/>
      <selection pane="bottomRight" activeCell="D22" sqref="D2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37.7109375" customWidth="1"/>
    <col min="9" max="9" width="40" hidden="1" customWidth="1"/>
    <col min="10" max="10" width="24.7109375" customWidth="1"/>
    <col min="11" max="11" width="14" customWidth="1"/>
    <col min="12" max="12" width="12" customWidth="1"/>
    <col min="13" max="13" width="19.28515625" customWidth="1"/>
    <col min="14" max="14" width="17.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c r="B2" s="13"/>
      <c r="C2" s="3">
        <v>46225</v>
      </c>
      <c r="D2" s="4">
        <v>561646092</v>
      </c>
      <c r="E2" s="5" t="s">
        <v>922</v>
      </c>
      <c r="F2" s="6">
        <v>46177</v>
      </c>
      <c r="G2" s="5" t="s">
        <v>311</v>
      </c>
      <c r="H2" s="5" t="s">
        <v>574</v>
      </c>
      <c r="I2" s="5" t="s">
        <v>311</v>
      </c>
      <c r="J2" s="5" t="s">
        <v>162</v>
      </c>
      <c r="K2" s="3"/>
      <c r="L2" s="11">
        <f ca="1">IF($O2="","",$O2-TODAY())</f>
        <v>-16</v>
      </c>
      <c r="M2" s="11">
        <f ca="1">IF($F2="","",$F2+90-TODAY())</f>
        <v>-16</v>
      </c>
      <c r="N2" s="11">
        <f ca="1">IF($C2="","",$C2+540-TODAY())</f>
        <v>482</v>
      </c>
      <c r="O2" s="6">
        <v>46267</v>
      </c>
      <c r="P2" s="5" t="s">
        <v>47</v>
      </c>
      <c r="Q2" s="5" t="s">
        <v>576</v>
      </c>
      <c r="R2" s="5" t="s">
        <v>47</v>
      </c>
      <c r="S2" s="5" t="s">
        <v>189</v>
      </c>
      <c r="T2" s="5" t="s">
        <v>923</v>
      </c>
      <c r="U2" s="5" t="s">
        <v>50</v>
      </c>
      <c r="V2" s="5"/>
      <c r="W2" s="5"/>
      <c r="X2" s="5"/>
      <c r="Y2" s="5" t="s">
        <v>52</v>
      </c>
      <c r="Z2" s="7">
        <v>1029.98</v>
      </c>
      <c r="AA2" s="7">
        <v>883.53</v>
      </c>
      <c r="AB2" s="7">
        <v>121.45</v>
      </c>
      <c r="AC2" s="6">
        <v>46225</v>
      </c>
      <c r="AD2" s="7">
        <v>25</v>
      </c>
      <c r="AE2" s="4">
        <v>65</v>
      </c>
      <c r="AF2" s="5" t="s">
        <v>54</v>
      </c>
      <c r="AG2" s="5" t="s">
        <v>53</v>
      </c>
      <c r="AH2" s="5"/>
      <c r="AI2" s="5"/>
      <c r="AJ2" s="4" t="s">
        <v>924</v>
      </c>
      <c r="AK2" s="5" t="s">
        <v>100</v>
      </c>
      <c r="AL2" s="5" t="s">
        <v>72</v>
      </c>
      <c r="AM2" s="6">
        <v>46217</v>
      </c>
      <c r="AN2" s="5" t="s">
        <v>57</v>
      </c>
      <c r="AO2" s="5"/>
    </row>
    <row r="3" spans="1:41" x14ac:dyDescent="0.25">
      <c r="A3" s="2"/>
      <c r="B3" s="13"/>
      <c r="C3" s="3">
        <v>46225</v>
      </c>
      <c r="D3" s="4">
        <v>561646907</v>
      </c>
      <c r="E3" s="5" t="s">
        <v>925</v>
      </c>
      <c r="F3" s="6">
        <v>46178</v>
      </c>
      <c r="G3" s="5" t="s">
        <v>750</v>
      </c>
      <c r="H3" s="5" t="s">
        <v>574</v>
      </c>
      <c r="I3" s="5" t="s">
        <v>750</v>
      </c>
      <c r="J3" s="5" t="s">
        <v>926</v>
      </c>
      <c r="K3" s="3"/>
      <c r="L3" s="11">
        <f ca="1">IF($O3="","",$O3-TODAY())</f>
        <v>-15</v>
      </c>
      <c r="M3" s="11">
        <f ca="1">IF($F3="","",$F3+90-TODAY())</f>
        <v>-15</v>
      </c>
      <c r="N3" s="11">
        <f ca="1">IF($C3="","",$C3+540-TODAY())</f>
        <v>482</v>
      </c>
      <c r="O3" s="6">
        <v>46268</v>
      </c>
      <c r="P3" s="5" t="s">
        <v>47</v>
      </c>
      <c r="Q3" s="5" t="s">
        <v>576</v>
      </c>
      <c r="R3" s="5" t="s">
        <v>47</v>
      </c>
      <c r="S3" s="5" t="s">
        <v>189</v>
      </c>
      <c r="T3" s="5" t="s">
        <v>923</v>
      </c>
      <c r="U3" s="5" t="s">
        <v>50</v>
      </c>
      <c r="V3" s="5"/>
      <c r="W3" s="5"/>
      <c r="X3" s="5"/>
      <c r="Y3" s="5" t="s">
        <v>52</v>
      </c>
      <c r="Z3" s="7">
        <v>976.64</v>
      </c>
      <c r="AA3" s="7">
        <v>843.89</v>
      </c>
      <c r="AB3" s="7">
        <v>107.75</v>
      </c>
      <c r="AC3" s="6">
        <v>46225</v>
      </c>
      <c r="AD3" s="7">
        <v>25</v>
      </c>
      <c r="AE3" s="4">
        <v>64</v>
      </c>
      <c r="AF3" s="5" t="s">
        <v>96</v>
      </c>
      <c r="AG3" s="5"/>
      <c r="AH3" s="5"/>
      <c r="AI3" s="5"/>
      <c r="AJ3" s="4" t="s">
        <v>927</v>
      </c>
      <c r="AK3" s="5" t="s">
        <v>68</v>
      </c>
      <c r="AL3" s="5" t="s">
        <v>72</v>
      </c>
      <c r="AM3" s="6">
        <v>46217</v>
      </c>
      <c r="AN3" s="5" t="s">
        <v>57</v>
      </c>
      <c r="AO3" s="5"/>
    </row>
    <row r="4" spans="1:41" x14ac:dyDescent="0.25">
      <c r="A4" s="2" t="s">
        <v>78</v>
      </c>
      <c r="B4" s="13" t="s">
        <v>79</v>
      </c>
      <c r="C4" s="3">
        <v>46231</v>
      </c>
      <c r="D4" s="4">
        <v>570976486</v>
      </c>
      <c r="E4" s="5" t="s">
        <v>80</v>
      </c>
      <c r="F4" s="6">
        <v>46182</v>
      </c>
      <c r="G4" s="5" t="s">
        <v>81</v>
      </c>
      <c r="H4" s="5" t="s">
        <v>81</v>
      </c>
      <c r="I4" s="5" t="s">
        <v>45</v>
      </c>
      <c r="J4" s="5" t="s">
        <v>82</v>
      </c>
      <c r="K4" s="3">
        <v>46270</v>
      </c>
      <c r="L4" s="11">
        <f ca="1">IF($O4="","",$O4-TODAY())</f>
        <v>-11</v>
      </c>
      <c r="M4" s="11">
        <f ca="1">IF($C4="","",$C4+365-TODAY())</f>
        <v>313</v>
      </c>
      <c r="N4" s="11">
        <f ca="1">IF($C4="","",$C4+365-TODAY())</f>
        <v>313</v>
      </c>
      <c r="O4" s="6">
        <v>46272</v>
      </c>
      <c r="P4" s="5" t="s">
        <v>47</v>
      </c>
      <c r="Q4" s="5" t="s">
        <v>83</v>
      </c>
      <c r="R4" s="5" t="s">
        <v>51</v>
      </c>
      <c r="S4" s="5" t="s">
        <v>50</v>
      </c>
      <c r="T4" s="5" t="s">
        <v>51</v>
      </c>
      <c r="U4" s="5" t="s">
        <v>50</v>
      </c>
      <c r="V4" s="5"/>
      <c r="W4" s="5"/>
      <c r="X4" s="5"/>
      <c r="Y4" s="5" t="s">
        <v>52</v>
      </c>
      <c r="Z4" s="7">
        <v>1372.91</v>
      </c>
      <c r="AA4" s="7">
        <v>0</v>
      </c>
      <c r="AB4" s="7">
        <v>0</v>
      </c>
      <c r="AC4" s="6"/>
      <c r="AD4" s="7">
        <v>1372.91</v>
      </c>
      <c r="AE4" s="4">
        <v>60</v>
      </c>
      <c r="AF4" s="5" t="s">
        <v>84</v>
      </c>
      <c r="AG4" s="5"/>
      <c r="AH4" s="5"/>
      <c r="AI4" s="5"/>
      <c r="AJ4" s="4"/>
      <c r="AK4" s="5" t="s">
        <v>85</v>
      </c>
      <c r="AL4" s="5" t="s">
        <v>56</v>
      </c>
      <c r="AM4" s="6">
        <v>46217</v>
      </c>
      <c r="AN4" s="5" t="s">
        <v>57</v>
      </c>
      <c r="AO4" s="5" t="s">
        <v>86</v>
      </c>
    </row>
    <row r="5" spans="1:41" x14ac:dyDescent="0.25">
      <c r="A5" s="2" t="s">
        <v>78</v>
      </c>
      <c r="B5" s="13" t="s">
        <v>94</v>
      </c>
      <c r="C5" s="3">
        <v>46220</v>
      </c>
      <c r="D5" s="4">
        <v>571031540</v>
      </c>
      <c r="E5" s="5" t="s">
        <v>95</v>
      </c>
      <c r="F5" s="6">
        <v>46183</v>
      </c>
      <c r="G5" s="5" t="s">
        <v>44</v>
      </c>
      <c r="H5" s="5" t="s">
        <v>44</v>
      </c>
      <c r="I5" s="5" t="s">
        <v>45</v>
      </c>
      <c r="J5" s="5" t="s">
        <v>82</v>
      </c>
      <c r="K5" s="3">
        <v>46272</v>
      </c>
      <c r="L5" s="11">
        <f ca="1">IF($O5="","",$O5-TODAY())</f>
        <v>-10</v>
      </c>
      <c r="M5" s="11">
        <f ca="1">IF($C5="","",$C5+180-TODAY())</f>
        <v>117</v>
      </c>
      <c r="N5" s="11">
        <f ca="1">IF($C5="","",$C5+365-TODAY())</f>
        <v>302</v>
      </c>
      <c r="O5" s="6">
        <v>46273</v>
      </c>
      <c r="P5" s="5" t="s">
        <v>47</v>
      </c>
      <c r="Q5" s="5" t="s">
        <v>48</v>
      </c>
      <c r="R5" s="5" t="s">
        <v>49</v>
      </c>
      <c r="S5" s="5" t="s">
        <v>50</v>
      </c>
      <c r="T5" s="5" t="s">
        <v>51</v>
      </c>
      <c r="U5" s="5" t="s">
        <v>50</v>
      </c>
      <c r="V5" s="5"/>
      <c r="W5" s="5"/>
      <c r="X5" s="5"/>
      <c r="Y5" s="5" t="s">
        <v>52</v>
      </c>
      <c r="Z5" s="7">
        <v>1372.91</v>
      </c>
      <c r="AA5" s="7">
        <v>0</v>
      </c>
      <c r="AB5" s="7">
        <v>0</v>
      </c>
      <c r="AC5" s="6">
        <v>46224</v>
      </c>
      <c r="AD5" s="7">
        <v>1372.91</v>
      </c>
      <c r="AE5" s="4">
        <v>59</v>
      </c>
      <c r="AF5" s="5" t="s">
        <v>96</v>
      </c>
      <c r="AG5" s="5"/>
      <c r="AH5" s="5"/>
      <c r="AI5" s="5"/>
      <c r="AJ5" s="4"/>
      <c r="AK5" s="5" t="s">
        <v>97</v>
      </c>
      <c r="AL5" s="5" t="s">
        <v>72</v>
      </c>
      <c r="AM5" s="6">
        <v>46217</v>
      </c>
      <c r="AN5" s="5" t="s">
        <v>57</v>
      </c>
      <c r="AO5" s="5" t="s">
        <v>98</v>
      </c>
    </row>
    <row r="6" spans="1:41" x14ac:dyDescent="0.25">
      <c r="A6" s="2" t="s">
        <v>945</v>
      </c>
      <c r="B6" s="13" t="s">
        <v>946</v>
      </c>
      <c r="C6" s="3">
        <v>46240</v>
      </c>
      <c r="D6" s="4">
        <v>562510277</v>
      </c>
      <c r="E6" s="5" t="s">
        <v>116</v>
      </c>
      <c r="F6" s="6">
        <v>46189</v>
      </c>
      <c r="G6" s="5" t="s">
        <v>44</v>
      </c>
      <c r="H6" s="5" t="s">
        <v>44</v>
      </c>
      <c r="I6" s="5" t="s">
        <v>45</v>
      </c>
      <c r="J6" s="5" t="s">
        <v>117</v>
      </c>
      <c r="K6" s="3"/>
      <c r="L6" s="11">
        <f ca="1">IF($O6="","",$O6-TODAY())</f>
        <v>-4</v>
      </c>
      <c r="M6" s="11">
        <f ca="1">IF($C6="","",$C6+180-TODAY())</f>
        <v>137</v>
      </c>
      <c r="N6" s="11">
        <f ca="1">IF($C6="","",$C6+365-TODAY())</f>
        <v>322</v>
      </c>
      <c r="O6" s="6">
        <v>46279</v>
      </c>
      <c r="P6" s="5" t="s">
        <v>47</v>
      </c>
      <c r="Q6" s="5" t="s">
        <v>48</v>
      </c>
      <c r="R6" s="5" t="s">
        <v>49</v>
      </c>
      <c r="S6" s="5" t="s">
        <v>50</v>
      </c>
      <c r="T6" s="5" t="s">
        <v>51</v>
      </c>
      <c r="U6" s="5" t="s">
        <v>50</v>
      </c>
      <c r="V6" s="5"/>
      <c r="W6" s="5"/>
      <c r="X6" s="5"/>
      <c r="Y6" s="5" t="s">
        <v>52</v>
      </c>
      <c r="Z6" s="7">
        <v>294.42</v>
      </c>
      <c r="AA6" s="7">
        <v>0</v>
      </c>
      <c r="AB6" s="7">
        <v>0</v>
      </c>
      <c r="AC6" s="6"/>
      <c r="AD6" s="7">
        <v>294.42</v>
      </c>
      <c r="AE6" s="4">
        <v>53</v>
      </c>
      <c r="AF6" s="5" t="s">
        <v>118</v>
      </c>
      <c r="AG6" s="5" t="s">
        <v>119</v>
      </c>
      <c r="AH6" s="5"/>
      <c r="AI6" s="5"/>
      <c r="AJ6" s="4"/>
      <c r="AK6" s="5" t="s">
        <v>120</v>
      </c>
      <c r="AL6" s="5" t="s">
        <v>121</v>
      </c>
      <c r="AM6" s="6">
        <v>46233</v>
      </c>
      <c r="AN6" s="5" t="s">
        <v>57</v>
      </c>
      <c r="AO6" s="5" t="s">
        <v>122</v>
      </c>
    </row>
    <row r="7" spans="1:41" x14ac:dyDescent="0.25">
      <c r="A7" s="2"/>
      <c r="B7" s="13"/>
      <c r="C7" s="3"/>
      <c r="D7" s="4">
        <v>562534504</v>
      </c>
      <c r="E7" s="5" t="s">
        <v>928</v>
      </c>
      <c r="F7" s="6">
        <v>46189</v>
      </c>
      <c r="G7" s="5" t="s">
        <v>66</v>
      </c>
      <c r="H7" s="5" t="s">
        <v>66</v>
      </c>
      <c r="I7" s="5" t="s">
        <v>45</v>
      </c>
      <c r="J7" s="5" t="s">
        <v>46</v>
      </c>
      <c r="K7" s="3"/>
      <c r="L7" s="11">
        <f ca="1">IF($O7="","",$O7-TODAY())</f>
        <v>-4</v>
      </c>
      <c r="M7" s="11" t="str">
        <f ca="1">IF($C7="","",$C7+180-TODAY())</f>
        <v/>
      </c>
      <c r="N7" s="11" t="str">
        <f ca="1">IF($C7="","",$C7+365-TODAY())</f>
        <v/>
      </c>
      <c r="O7" s="6">
        <v>46279</v>
      </c>
      <c r="P7" s="5" t="s">
        <v>47</v>
      </c>
      <c r="Q7" s="5" t="s">
        <v>67</v>
      </c>
      <c r="R7" s="5" t="s">
        <v>49</v>
      </c>
      <c r="S7" s="5" t="s">
        <v>50</v>
      </c>
      <c r="T7" s="5" t="s">
        <v>51</v>
      </c>
      <c r="U7" s="5" t="s">
        <v>50</v>
      </c>
      <c r="V7" s="5"/>
      <c r="W7" s="5"/>
      <c r="X7" s="5"/>
      <c r="Y7" s="5" t="s">
        <v>52</v>
      </c>
      <c r="Z7" s="7">
        <v>1426.25</v>
      </c>
      <c r="AA7" s="7">
        <v>0</v>
      </c>
      <c r="AB7" s="7">
        <v>0</v>
      </c>
      <c r="AC7" s="6"/>
      <c r="AD7" s="7">
        <v>1426.25</v>
      </c>
      <c r="AE7" s="4">
        <v>53</v>
      </c>
      <c r="AF7" s="5" t="s">
        <v>71</v>
      </c>
      <c r="AG7" s="5"/>
      <c r="AH7" s="5"/>
      <c r="AI7" s="5"/>
      <c r="AJ7" s="4"/>
      <c r="AK7" s="5" t="s">
        <v>369</v>
      </c>
      <c r="AL7" s="5" t="s">
        <v>133</v>
      </c>
      <c r="AM7" s="6">
        <v>46274</v>
      </c>
      <c r="AN7" s="5" t="s">
        <v>57</v>
      </c>
      <c r="AO7" s="5"/>
    </row>
    <row r="8" spans="1:41" x14ac:dyDescent="0.25">
      <c r="A8" s="2" t="s">
        <v>127</v>
      </c>
      <c r="B8" s="2" t="s">
        <v>128</v>
      </c>
      <c r="C8" s="3"/>
      <c r="D8" s="4">
        <v>562803289</v>
      </c>
      <c r="E8" s="5" t="s">
        <v>129</v>
      </c>
      <c r="F8" s="6">
        <v>46191</v>
      </c>
      <c r="G8" s="5" t="s">
        <v>130</v>
      </c>
      <c r="H8" s="5" t="s">
        <v>130</v>
      </c>
      <c r="I8" s="5" t="s">
        <v>45</v>
      </c>
      <c r="J8" s="5" t="s">
        <v>60</v>
      </c>
      <c r="K8" s="3">
        <v>46272</v>
      </c>
      <c r="L8" s="11">
        <f ca="1">IF($O8="","",$O8-TODAY())</f>
        <v>-2</v>
      </c>
      <c r="M8" s="11" t="str">
        <f ca="1">IF($C8="","",$C8+180-TODAY())</f>
        <v/>
      </c>
      <c r="N8" s="11" t="str">
        <f ca="1">IF($C8="","",$C8+365-TODAY())</f>
        <v/>
      </c>
      <c r="O8" s="6">
        <v>46281</v>
      </c>
      <c r="P8" s="5" t="s">
        <v>47</v>
      </c>
      <c r="Q8" s="5" t="s">
        <v>131</v>
      </c>
      <c r="R8" s="5" t="s">
        <v>49</v>
      </c>
      <c r="S8" s="5" t="s">
        <v>50</v>
      </c>
      <c r="T8" s="5" t="s">
        <v>51</v>
      </c>
      <c r="U8" s="5" t="s">
        <v>50</v>
      </c>
      <c r="V8" s="5"/>
      <c r="W8" s="5"/>
      <c r="X8" s="5"/>
      <c r="Y8" s="5" t="s">
        <v>52</v>
      </c>
      <c r="Z8" s="7">
        <v>1426.25</v>
      </c>
      <c r="AA8" s="7">
        <v>0</v>
      </c>
      <c r="AB8" s="7">
        <v>0</v>
      </c>
      <c r="AC8" s="6"/>
      <c r="AD8" s="7">
        <v>1426.25</v>
      </c>
      <c r="AE8" s="4">
        <v>51</v>
      </c>
      <c r="AF8" s="5" t="s">
        <v>71</v>
      </c>
      <c r="AG8" s="5"/>
      <c r="AH8" s="5"/>
      <c r="AI8" s="5"/>
      <c r="AJ8" s="4"/>
      <c r="AK8" s="5" t="s">
        <v>132</v>
      </c>
      <c r="AL8" s="5" t="s">
        <v>133</v>
      </c>
      <c r="AM8" s="6">
        <v>46217</v>
      </c>
      <c r="AN8" s="5" t="s">
        <v>57</v>
      </c>
      <c r="AO8" s="5" t="s">
        <v>134</v>
      </c>
    </row>
    <row r="9" spans="1:41" x14ac:dyDescent="0.25">
      <c r="A9" s="2" t="s">
        <v>41</v>
      </c>
      <c r="B9" s="13" t="s">
        <v>911</v>
      </c>
      <c r="C9" s="3">
        <v>46238</v>
      </c>
      <c r="D9" s="4">
        <v>563023433</v>
      </c>
      <c r="E9" s="5" t="s">
        <v>135</v>
      </c>
      <c r="F9" s="6">
        <v>46195</v>
      </c>
      <c r="G9" s="5" t="s">
        <v>136</v>
      </c>
      <c r="H9" s="5" t="s">
        <v>136</v>
      </c>
      <c r="I9" s="5" t="s">
        <v>45</v>
      </c>
      <c r="J9" s="5" t="s">
        <v>117</v>
      </c>
      <c r="K9" s="3">
        <v>46283</v>
      </c>
      <c r="L9" s="11">
        <f ca="1">IF($O9="","",$O9-TODAY())</f>
        <v>2</v>
      </c>
      <c r="M9" s="11">
        <f ca="1">IF($F9="","",$F9+90-TODAY())</f>
        <v>2</v>
      </c>
      <c r="N9" s="11">
        <f ca="1">IF($C9="","",$C9+365-TODAY())</f>
        <v>320</v>
      </c>
      <c r="O9" s="6">
        <v>46285</v>
      </c>
      <c r="P9" s="5" t="s">
        <v>47</v>
      </c>
      <c r="Q9" s="5" t="s">
        <v>137</v>
      </c>
      <c r="R9" s="5" t="s">
        <v>47</v>
      </c>
      <c r="S9" s="5" t="s">
        <v>189</v>
      </c>
      <c r="T9" s="5" t="s">
        <v>51</v>
      </c>
      <c r="U9" s="5" t="s">
        <v>50</v>
      </c>
      <c r="V9" s="5"/>
      <c r="W9" s="5"/>
      <c r="X9" s="5"/>
      <c r="Y9" s="5" t="s">
        <v>52</v>
      </c>
      <c r="Z9" s="7">
        <v>294.42</v>
      </c>
      <c r="AA9" s="7">
        <v>0</v>
      </c>
      <c r="AB9" s="7">
        <v>0</v>
      </c>
      <c r="AC9" s="6"/>
      <c r="AD9" s="7">
        <v>294.42</v>
      </c>
      <c r="AE9" s="4">
        <v>47</v>
      </c>
      <c r="AF9" s="5" t="s">
        <v>118</v>
      </c>
      <c r="AG9" s="5" t="s">
        <v>119</v>
      </c>
      <c r="AH9" s="5"/>
      <c r="AI9" s="5"/>
      <c r="AJ9" s="4"/>
      <c r="AK9" s="5" t="s">
        <v>120</v>
      </c>
      <c r="AL9" s="5" t="s">
        <v>121</v>
      </c>
      <c r="AM9" s="6">
        <v>46234</v>
      </c>
      <c r="AN9" s="5" t="s">
        <v>57</v>
      </c>
      <c r="AO9" s="5" t="s">
        <v>138</v>
      </c>
    </row>
    <row r="10" spans="1:41" x14ac:dyDescent="0.25">
      <c r="A10" s="2"/>
      <c r="B10" s="13"/>
      <c r="C10" s="3"/>
      <c r="D10" s="4">
        <v>563029504</v>
      </c>
      <c r="E10" s="5" t="s">
        <v>929</v>
      </c>
      <c r="F10" s="6">
        <v>46195</v>
      </c>
      <c r="G10" s="5" t="s">
        <v>280</v>
      </c>
      <c r="H10" s="5" t="s">
        <v>280</v>
      </c>
      <c r="I10" s="5" t="s">
        <v>45</v>
      </c>
      <c r="J10" s="5" t="s">
        <v>60</v>
      </c>
      <c r="K10" s="3"/>
      <c r="L10" s="11">
        <f ca="1">IF($O10="","",$O10-TODAY())</f>
        <v>2</v>
      </c>
      <c r="M10" s="11" t="str">
        <f ca="1">IF($C10="","",$C10+365-TODAY())</f>
        <v/>
      </c>
      <c r="N10" s="11" t="str">
        <f ca="1">IF($C10="","",$C10+365-TODAY())</f>
        <v/>
      </c>
      <c r="O10" s="6">
        <v>46285</v>
      </c>
      <c r="P10" s="5" t="s">
        <v>47</v>
      </c>
      <c r="Q10" s="5" t="s">
        <v>281</v>
      </c>
      <c r="R10" s="5" t="s">
        <v>51</v>
      </c>
      <c r="S10" s="5" t="s">
        <v>50</v>
      </c>
      <c r="T10" s="5" t="s">
        <v>51</v>
      </c>
      <c r="U10" s="5" t="s">
        <v>50</v>
      </c>
      <c r="V10" s="5"/>
      <c r="W10" s="5"/>
      <c r="X10" s="5"/>
      <c r="Y10" s="5" t="s">
        <v>52</v>
      </c>
      <c r="Z10" s="7">
        <v>1426.25</v>
      </c>
      <c r="AA10" s="7">
        <v>0</v>
      </c>
      <c r="AB10" s="7">
        <v>0</v>
      </c>
      <c r="AC10" s="6"/>
      <c r="AD10" s="7">
        <v>1426.25</v>
      </c>
      <c r="AE10" s="4">
        <v>47</v>
      </c>
      <c r="AF10" s="5" t="s">
        <v>71</v>
      </c>
      <c r="AG10" s="5"/>
      <c r="AH10" s="5"/>
      <c r="AI10" s="5"/>
      <c r="AJ10" s="4"/>
      <c r="AK10" s="5" t="s">
        <v>100</v>
      </c>
      <c r="AL10" s="5" t="s">
        <v>113</v>
      </c>
      <c r="AM10" s="6">
        <v>46273</v>
      </c>
      <c r="AN10" s="5" t="s">
        <v>57</v>
      </c>
      <c r="AO10" s="5"/>
    </row>
    <row r="11" spans="1:41" x14ac:dyDescent="0.25">
      <c r="A11" s="2"/>
      <c r="B11" s="13"/>
      <c r="C11" s="3"/>
      <c r="D11" s="4">
        <v>565362589</v>
      </c>
      <c r="E11" s="5" t="s">
        <v>930</v>
      </c>
      <c r="F11" s="6">
        <v>46197</v>
      </c>
      <c r="G11" s="5" t="s">
        <v>136</v>
      </c>
      <c r="H11" s="5" t="s">
        <v>136</v>
      </c>
      <c r="I11" s="5" t="s">
        <v>208</v>
      </c>
      <c r="J11" s="5" t="s">
        <v>82</v>
      </c>
      <c r="K11" s="3"/>
      <c r="L11" s="11">
        <f ca="1">IF($O11="","",$O11-TODAY())</f>
        <v>4</v>
      </c>
      <c r="M11" s="11">
        <f ca="1">IF($F11="","",$F11+90-TODAY())</f>
        <v>4</v>
      </c>
      <c r="N11" s="11" t="str">
        <f ca="1">IF($C11="","",$C11+365-TODAY())</f>
        <v/>
      </c>
      <c r="O11" s="6">
        <v>46287</v>
      </c>
      <c r="P11" s="5" t="s">
        <v>47</v>
      </c>
      <c r="Q11" s="5" t="s">
        <v>137</v>
      </c>
      <c r="R11" s="5" t="s">
        <v>47</v>
      </c>
      <c r="S11" s="5" t="s">
        <v>189</v>
      </c>
      <c r="T11" s="5" t="s">
        <v>51</v>
      </c>
      <c r="U11" s="5" t="s">
        <v>50</v>
      </c>
      <c r="V11" s="5"/>
      <c r="W11" s="5"/>
      <c r="X11" s="5"/>
      <c r="Y11" s="5" t="s">
        <v>52</v>
      </c>
      <c r="Z11" s="7">
        <v>1372.91</v>
      </c>
      <c r="AA11" s="7">
        <v>0</v>
      </c>
      <c r="AB11" s="7">
        <v>0</v>
      </c>
      <c r="AC11" s="6"/>
      <c r="AD11" s="7">
        <v>1372.91</v>
      </c>
      <c r="AE11" s="4">
        <v>45</v>
      </c>
      <c r="AF11" s="5" t="s">
        <v>219</v>
      </c>
      <c r="AG11" s="5"/>
      <c r="AH11" s="5"/>
      <c r="AI11" s="5"/>
      <c r="AJ11" s="4"/>
      <c r="AK11" s="5" t="s">
        <v>85</v>
      </c>
      <c r="AL11" s="5" t="s">
        <v>63</v>
      </c>
      <c r="AM11" s="6">
        <v>46274</v>
      </c>
      <c r="AN11" s="5" t="s">
        <v>57</v>
      </c>
      <c r="AO11" s="5"/>
    </row>
    <row r="12" spans="1:41" x14ac:dyDescent="0.25">
      <c r="A12" s="2" t="s">
        <v>127</v>
      </c>
      <c r="B12" s="2" t="s">
        <v>903</v>
      </c>
      <c r="C12" s="3"/>
      <c r="D12" s="4">
        <v>563477944</v>
      </c>
      <c r="E12" s="5" t="s">
        <v>143</v>
      </c>
      <c r="F12" s="6">
        <v>46198</v>
      </c>
      <c r="G12" s="5" t="s">
        <v>130</v>
      </c>
      <c r="H12" s="5" t="s">
        <v>130</v>
      </c>
      <c r="I12" s="5" t="s">
        <v>45</v>
      </c>
      <c r="J12" s="5" t="s">
        <v>60</v>
      </c>
      <c r="K12" s="3">
        <v>46283</v>
      </c>
      <c r="L12" s="11">
        <f ca="1">IF($O12="","",$O12-TODAY())</f>
        <v>5</v>
      </c>
      <c r="M12" s="11" t="str">
        <f ca="1">IF($C12="","",$C12+180-TODAY())</f>
        <v/>
      </c>
      <c r="N12" s="11" t="str">
        <f ca="1">IF($C12="","",$C12+365-TODAY())</f>
        <v/>
      </c>
      <c r="O12" s="6">
        <v>46288</v>
      </c>
      <c r="P12" s="5" t="s">
        <v>47</v>
      </c>
      <c r="Q12" s="5" t="s">
        <v>131</v>
      </c>
      <c r="R12" s="5" t="s">
        <v>49</v>
      </c>
      <c r="S12" s="5" t="s">
        <v>50</v>
      </c>
      <c r="T12" s="5" t="s">
        <v>51</v>
      </c>
      <c r="U12" s="5" t="s">
        <v>50</v>
      </c>
      <c r="V12" s="5"/>
      <c r="W12" s="5"/>
      <c r="X12" s="5"/>
      <c r="Y12" s="5" t="s">
        <v>52</v>
      </c>
      <c r="Z12" s="7">
        <v>1426.25</v>
      </c>
      <c r="AA12" s="7">
        <v>0</v>
      </c>
      <c r="AB12" s="7">
        <v>0</v>
      </c>
      <c r="AC12" s="6"/>
      <c r="AD12" s="7">
        <v>1426.25</v>
      </c>
      <c r="AE12" s="4">
        <v>44</v>
      </c>
      <c r="AF12" s="5" t="s">
        <v>71</v>
      </c>
      <c r="AG12" s="5"/>
      <c r="AH12" s="5"/>
      <c r="AI12" s="5"/>
      <c r="AJ12" s="4"/>
      <c r="AK12" s="5" t="s">
        <v>144</v>
      </c>
      <c r="AL12" s="5" t="s">
        <v>133</v>
      </c>
      <c r="AM12" s="6">
        <v>46217</v>
      </c>
      <c r="AN12" s="5" t="s">
        <v>57</v>
      </c>
      <c r="AO12" s="5" t="s">
        <v>145</v>
      </c>
    </row>
    <row r="13" spans="1:41" x14ac:dyDescent="0.25">
      <c r="A13" s="2"/>
      <c r="B13" s="13"/>
      <c r="C13" s="3">
        <v>46259</v>
      </c>
      <c r="D13" s="4">
        <v>563454979</v>
      </c>
      <c r="E13" s="5" t="s">
        <v>931</v>
      </c>
      <c r="F13" s="6">
        <v>46198</v>
      </c>
      <c r="G13" s="5" t="s">
        <v>81</v>
      </c>
      <c r="H13" s="5" t="s">
        <v>81</v>
      </c>
      <c r="I13" s="5" t="s">
        <v>45</v>
      </c>
      <c r="J13" s="5" t="s">
        <v>107</v>
      </c>
      <c r="K13" s="3"/>
      <c r="L13" s="11">
        <f ca="1">IF($O13="","",$O13-TODAY())</f>
        <v>5</v>
      </c>
      <c r="M13" s="11">
        <f ca="1">IF($C13="","",$C13+365-TODAY())</f>
        <v>341</v>
      </c>
      <c r="N13" s="11">
        <f ca="1">IF($C13="","",$C13+365-TODAY())</f>
        <v>341</v>
      </c>
      <c r="O13" s="6">
        <v>46288</v>
      </c>
      <c r="P13" s="5" t="s">
        <v>47</v>
      </c>
      <c r="Q13" s="5" t="s">
        <v>83</v>
      </c>
      <c r="R13" s="5" t="s">
        <v>51</v>
      </c>
      <c r="S13" s="5" t="s">
        <v>50</v>
      </c>
      <c r="T13" s="5" t="s">
        <v>51</v>
      </c>
      <c r="U13" s="5" t="s">
        <v>50</v>
      </c>
      <c r="V13" s="5"/>
      <c r="W13" s="5"/>
      <c r="X13" s="5"/>
      <c r="Y13" s="5" t="s">
        <v>52</v>
      </c>
      <c r="Z13" s="7">
        <v>1372.91</v>
      </c>
      <c r="AA13" s="7">
        <v>0</v>
      </c>
      <c r="AB13" s="7">
        <v>0</v>
      </c>
      <c r="AC13" s="6">
        <v>46259</v>
      </c>
      <c r="AD13" s="7">
        <v>1372.91</v>
      </c>
      <c r="AE13" s="4">
        <v>44</v>
      </c>
      <c r="AF13" s="5" t="s">
        <v>71</v>
      </c>
      <c r="AG13" s="5"/>
      <c r="AH13" s="5"/>
      <c r="AI13" s="5"/>
      <c r="AJ13" s="4"/>
      <c r="AK13" s="5" t="s">
        <v>92</v>
      </c>
      <c r="AL13" s="5" t="s">
        <v>133</v>
      </c>
      <c r="AM13" s="6">
        <v>46246</v>
      </c>
      <c r="AN13" s="5" t="s">
        <v>57</v>
      </c>
      <c r="AO13" s="5"/>
    </row>
    <row r="14" spans="1:41" x14ac:dyDescent="0.25">
      <c r="A14" s="2"/>
      <c r="B14" s="13"/>
      <c r="C14" s="3">
        <v>46267</v>
      </c>
      <c r="D14" s="4">
        <v>563716478</v>
      </c>
      <c r="E14" s="5" t="s">
        <v>932</v>
      </c>
      <c r="F14" s="6">
        <v>46202</v>
      </c>
      <c r="G14" s="5" t="s">
        <v>44</v>
      </c>
      <c r="H14" s="5" t="s">
        <v>136</v>
      </c>
      <c r="I14" s="5" t="s">
        <v>44</v>
      </c>
      <c r="J14" s="5" t="s">
        <v>46</v>
      </c>
      <c r="K14" s="3"/>
      <c r="L14" s="11">
        <f ca="1">IF($O14="","",$O14-TODAY())</f>
        <v>9</v>
      </c>
      <c r="M14" s="11">
        <f ca="1">IF($F14="","",$F14+90-TODAY())</f>
        <v>9</v>
      </c>
      <c r="N14" s="11">
        <f ca="1">IF($C14="","",$C14+365-TODAY())</f>
        <v>349</v>
      </c>
      <c r="O14" s="6">
        <v>46292</v>
      </c>
      <c r="P14" s="5" t="s">
        <v>47</v>
      </c>
      <c r="Q14" s="5" t="s">
        <v>137</v>
      </c>
      <c r="R14" s="5" t="s">
        <v>47</v>
      </c>
      <c r="S14" s="5" t="s">
        <v>189</v>
      </c>
      <c r="T14" s="5" t="s">
        <v>51</v>
      </c>
      <c r="U14" s="5" t="s">
        <v>50</v>
      </c>
      <c r="V14" s="5"/>
      <c r="W14" s="5"/>
      <c r="X14" s="5"/>
      <c r="Y14" s="5" t="s">
        <v>52</v>
      </c>
      <c r="Z14" s="7">
        <v>1426.25</v>
      </c>
      <c r="AA14" s="7">
        <v>1281.58</v>
      </c>
      <c r="AB14" s="7">
        <v>173.48</v>
      </c>
      <c r="AC14" s="6">
        <v>46267</v>
      </c>
      <c r="AD14" s="7">
        <v>-28.81</v>
      </c>
      <c r="AE14" s="4">
        <v>40</v>
      </c>
      <c r="AF14" s="5" t="s">
        <v>71</v>
      </c>
      <c r="AG14" s="5"/>
      <c r="AH14" s="5"/>
      <c r="AI14" s="5"/>
      <c r="AJ14" s="4" t="s">
        <v>933</v>
      </c>
      <c r="AK14" s="5" t="s">
        <v>112</v>
      </c>
      <c r="AL14" s="5" t="s">
        <v>113</v>
      </c>
      <c r="AM14" s="6">
        <v>46217</v>
      </c>
      <c r="AN14" s="5" t="s">
        <v>57</v>
      </c>
      <c r="AO14" s="5"/>
    </row>
    <row r="15" spans="1:41" x14ac:dyDescent="0.25">
      <c r="A15" s="2"/>
      <c r="B15" s="2"/>
      <c r="C15" s="3"/>
      <c r="D15" s="4">
        <v>561204793</v>
      </c>
      <c r="E15" s="5" t="s">
        <v>169</v>
      </c>
      <c r="F15" s="6">
        <v>46176</v>
      </c>
      <c r="G15" s="5" t="s">
        <v>170</v>
      </c>
      <c r="H15" s="5" t="s">
        <v>170</v>
      </c>
      <c r="I15" s="5" t="s">
        <v>45</v>
      </c>
      <c r="J15" s="5" t="s">
        <v>60</v>
      </c>
      <c r="K15" s="3"/>
      <c r="L15" s="11">
        <f ca="1">IF($O15="","",$O15-TODAY())</f>
        <v>13</v>
      </c>
      <c r="M15" s="11" t="str">
        <f ca="1">IF($C15="","",$C15+365-TODAY())</f>
        <v/>
      </c>
      <c r="N15" s="11" t="str">
        <f ca="1">IF($C15="","",$C15+90-TODAY())</f>
        <v/>
      </c>
      <c r="O15" s="6">
        <v>46296</v>
      </c>
      <c r="P15" s="5" t="s">
        <v>166</v>
      </c>
      <c r="Q15" s="5" t="s">
        <v>171</v>
      </c>
      <c r="R15" s="5" t="s">
        <v>51</v>
      </c>
      <c r="S15" s="5" t="s">
        <v>50</v>
      </c>
      <c r="T15" s="5" t="s">
        <v>47</v>
      </c>
      <c r="U15" s="5" t="s">
        <v>50</v>
      </c>
      <c r="V15" s="5"/>
      <c r="W15" s="5"/>
      <c r="X15" s="5"/>
      <c r="Y15" s="5" t="s">
        <v>52</v>
      </c>
      <c r="Z15" s="7">
        <v>1426.25</v>
      </c>
      <c r="AA15" s="7">
        <v>0</v>
      </c>
      <c r="AB15" s="7">
        <v>0</v>
      </c>
      <c r="AC15" s="6"/>
      <c r="AD15" s="7">
        <v>1426.25</v>
      </c>
      <c r="AE15" s="4">
        <v>66</v>
      </c>
      <c r="AF15" s="5" t="s">
        <v>61</v>
      </c>
      <c r="AG15" s="5"/>
      <c r="AH15" s="5"/>
      <c r="AI15" s="5"/>
      <c r="AJ15" s="4"/>
      <c r="AK15" s="5" t="s">
        <v>85</v>
      </c>
      <c r="AL15" s="5" t="s">
        <v>63</v>
      </c>
      <c r="AM15" s="6">
        <v>46217</v>
      </c>
      <c r="AN15" s="5" t="s">
        <v>57</v>
      </c>
      <c r="AO15" s="5" t="s">
        <v>172</v>
      </c>
    </row>
    <row r="16" spans="1:41" x14ac:dyDescent="0.25">
      <c r="A16" s="2"/>
      <c r="B16" s="2"/>
      <c r="C16" s="3"/>
      <c r="D16" s="4">
        <v>562674720</v>
      </c>
      <c r="E16" s="5" t="s">
        <v>195</v>
      </c>
      <c r="F16" s="6">
        <v>46190</v>
      </c>
      <c r="G16" s="5" t="s">
        <v>165</v>
      </c>
      <c r="H16" s="5" t="s">
        <v>165</v>
      </c>
      <c r="I16" s="5" t="s">
        <v>45</v>
      </c>
      <c r="J16" s="5" t="s">
        <v>46</v>
      </c>
      <c r="K16" s="3"/>
      <c r="L16" s="11">
        <f ca="1">IF($O16="","",$O16-TODAY())</f>
        <v>27</v>
      </c>
      <c r="M16" s="11" t="str">
        <f ca="1">IF($C16="","",$C16+180-TODAY())</f>
        <v/>
      </c>
      <c r="N16" s="11" t="str">
        <f ca="1">IF($C16="","",$C16+180-TODAY())</f>
        <v/>
      </c>
      <c r="O16" s="6">
        <v>46310</v>
      </c>
      <c r="P16" s="5" t="s">
        <v>166</v>
      </c>
      <c r="Q16" s="5" t="s">
        <v>167</v>
      </c>
      <c r="R16" s="5" t="s">
        <v>49</v>
      </c>
      <c r="S16" s="5" t="s">
        <v>50</v>
      </c>
      <c r="T16" s="5" t="s">
        <v>49</v>
      </c>
      <c r="U16" s="5" t="s">
        <v>50</v>
      </c>
      <c r="V16" s="5"/>
      <c r="W16" s="5"/>
      <c r="X16" s="5"/>
      <c r="Y16" s="5" t="s">
        <v>52</v>
      </c>
      <c r="Z16" s="7">
        <v>1426.25</v>
      </c>
      <c r="AA16" s="7">
        <v>0</v>
      </c>
      <c r="AB16" s="7">
        <v>0</v>
      </c>
      <c r="AC16" s="6"/>
      <c r="AD16" s="7">
        <v>1426.25</v>
      </c>
      <c r="AE16" s="4">
        <v>52</v>
      </c>
      <c r="AF16" s="5" t="s">
        <v>61</v>
      </c>
      <c r="AG16" s="5"/>
      <c r="AH16" s="5"/>
      <c r="AI16" s="5"/>
      <c r="AJ16" s="4"/>
      <c r="AK16" s="5" t="s">
        <v>68</v>
      </c>
      <c r="AL16" s="5" t="s">
        <v>63</v>
      </c>
      <c r="AM16" s="6">
        <v>46217</v>
      </c>
      <c r="AN16" s="5" t="s">
        <v>57</v>
      </c>
      <c r="AO16" s="5" t="s">
        <v>196</v>
      </c>
    </row>
    <row r="17" spans="1:41" x14ac:dyDescent="0.25">
      <c r="A17" s="2"/>
      <c r="B17" s="13"/>
      <c r="C17" s="3"/>
      <c r="D17" s="4">
        <v>562882369</v>
      </c>
      <c r="E17" s="5" t="s">
        <v>934</v>
      </c>
      <c r="F17" s="6">
        <v>46192</v>
      </c>
      <c r="G17" s="5" t="s">
        <v>174</v>
      </c>
      <c r="H17" s="5" t="s">
        <v>174</v>
      </c>
      <c r="I17" s="5" t="s">
        <v>45</v>
      </c>
      <c r="J17" s="5" t="s">
        <v>46</v>
      </c>
      <c r="K17" s="3"/>
      <c r="L17" s="11">
        <f ca="1">IF($O17="","",$O17-TODAY())</f>
        <v>29</v>
      </c>
      <c r="M17" s="11" t="str">
        <f ca="1">IF($C17="","",$C17+180-TODAY())</f>
        <v/>
      </c>
      <c r="N17" s="11" t="str">
        <f ca="1">IF($C17="","",$C17+180-TODAY())</f>
        <v/>
      </c>
      <c r="O17" s="6">
        <v>46312</v>
      </c>
      <c r="P17" s="5" t="s">
        <v>166</v>
      </c>
      <c r="Q17" s="5" t="s">
        <v>167</v>
      </c>
      <c r="R17" s="5" t="s">
        <v>49</v>
      </c>
      <c r="S17" s="5" t="s">
        <v>50</v>
      </c>
      <c r="T17" s="5" t="s">
        <v>49</v>
      </c>
      <c r="U17" s="5" t="s">
        <v>50</v>
      </c>
      <c r="V17" s="5"/>
      <c r="W17" s="5"/>
      <c r="X17" s="5"/>
      <c r="Y17" s="5" t="s">
        <v>52</v>
      </c>
      <c r="Z17" s="7">
        <v>1426.25</v>
      </c>
      <c r="AA17" s="7">
        <v>0</v>
      </c>
      <c r="AB17" s="7">
        <v>0</v>
      </c>
      <c r="AC17" s="6"/>
      <c r="AD17" s="7">
        <v>1426.25</v>
      </c>
      <c r="AE17" s="4">
        <v>50</v>
      </c>
      <c r="AF17" s="5" t="s">
        <v>71</v>
      </c>
      <c r="AG17" s="5"/>
      <c r="AH17" s="5"/>
      <c r="AI17" s="5"/>
      <c r="AJ17" s="4"/>
      <c r="AK17" s="5" t="s">
        <v>92</v>
      </c>
      <c r="AL17" s="5" t="s">
        <v>113</v>
      </c>
      <c r="AM17" s="6">
        <v>46273</v>
      </c>
      <c r="AN17" s="5" t="s">
        <v>57</v>
      </c>
      <c r="AO17" s="5"/>
    </row>
    <row r="18" spans="1:41" x14ac:dyDescent="0.25">
      <c r="A18" s="2"/>
      <c r="B18" s="2"/>
      <c r="C18" s="3">
        <v>46225</v>
      </c>
      <c r="D18" s="4">
        <v>561218278</v>
      </c>
      <c r="E18" s="5" t="s">
        <v>211</v>
      </c>
      <c r="F18" s="6">
        <v>46175</v>
      </c>
      <c r="G18" s="5" t="s">
        <v>208</v>
      </c>
      <c r="H18" s="5" t="s">
        <v>208</v>
      </c>
      <c r="I18" s="5" t="s">
        <v>136</v>
      </c>
      <c r="J18" s="5" t="s">
        <v>60</v>
      </c>
      <c r="K18" s="3"/>
      <c r="L18" s="11">
        <f ca="1">IF($O18="","",$O18-TODAY())</f>
        <v>257</v>
      </c>
      <c r="M18" s="11">
        <f ca="1">IF($C18="","",$C18+365-TODAY())</f>
        <v>307</v>
      </c>
      <c r="N18" s="11">
        <f ca="1">IF($C18="","",$C18+120-TODAY())</f>
        <v>62</v>
      </c>
      <c r="O18" s="6">
        <v>46540</v>
      </c>
      <c r="P18" s="5" t="s">
        <v>51</v>
      </c>
      <c r="Q18" s="5" t="s">
        <v>209</v>
      </c>
      <c r="R18" s="5" t="s">
        <v>51</v>
      </c>
      <c r="S18" s="5" t="s">
        <v>50</v>
      </c>
      <c r="T18" s="5" t="s">
        <v>166</v>
      </c>
      <c r="U18" s="5" t="s">
        <v>50</v>
      </c>
      <c r="V18" s="5"/>
      <c r="W18" s="5"/>
      <c r="X18" s="5"/>
      <c r="Y18" s="5" t="s">
        <v>52</v>
      </c>
      <c r="Z18" s="7">
        <v>1426.25</v>
      </c>
      <c r="AA18" s="7">
        <v>0</v>
      </c>
      <c r="AB18" s="7">
        <v>0</v>
      </c>
      <c r="AC18" s="6">
        <v>46225</v>
      </c>
      <c r="AD18" s="7">
        <v>1426.25</v>
      </c>
      <c r="AE18" s="4">
        <v>67</v>
      </c>
      <c r="AF18" s="5" t="s">
        <v>71</v>
      </c>
      <c r="AG18" s="5"/>
      <c r="AH18" s="5"/>
      <c r="AI18" s="5"/>
      <c r="AJ18" s="4"/>
      <c r="AK18" s="5" t="s">
        <v>76</v>
      </c>
      <c r="AL18" s="5" t="s">
        <v>56</v>
      </c>
      <c r="AM18" s="6">
        <v>46217</v>
      </c>
      <c r="AN18" s="5" t="s">
        <v>57</v>
      </c>
      <c r="AO18" s="5" t="s">
        <v>212</v>
      </c>
    </row>
    <row r="19" spans="1:41" x14ac:dyDescent="0.25">
      <c r="A19" s="2"/>
      <c r="B19" s="13"/>
      <c r="C19" s="3"/>
      <c r="D19" s="4">
        <v>561646597</v>
      </c>
      <c r="E19" s="5" t="s">
        <v>935</v>
      </c>
      <c r="F19" s="6">
        <v>46178</v>
      </c>
      <c r="G19" s="5" t="s">
        <v>208</v>
      </c>
      <c r="H19" s="5" t="s">
        <v>208</v>
      </c>
      <c r="I19" s="5" t="s">
        <v>75</v>
      </c>
      <c r="J19" s="5" t="s">
        <v>162</v>
      </c>
      <c r="K19" s="3"/>
      <c r="L19" s="11">
        <f ca="1">IF($O19="","",$O19-TODAY())</f>
        <v>260</v>
      </c>
      <c r="M19" s="11" t="str">
        <f ca="1">IF($C19="","",$C19+365-TODAY())</f>
        <v/>
      </c>
      <c r="N19" s="11" t="str">
        <f ca="1">IF($C19="","",$C19+120-TODAY())</f>
        <v/>
      </c>
      <c r="O19" s="6">
        <v>46543</v>
      </c>
      <c r="P19" s="5" t="s">
        <v>51</v>
      </c>
      <c r="Q19" s="5" t="s">
        <v>209</v>
      </c>
      <c r="R19" s="5" t="s">
        <v>51</v>
      </c>
      <c r="S19" s="5" t="s">
        <v>50</v>
      </c>
      <c r="T19" s="5" t="s">
        <v>166</v>
      </c>
      <c r="U19" s="5" t="s">
        <v>50</v>
      </c>
      <c r="V19" s="5"/>
      <c r="W19" s="5"/>
      <c r="X19" s="5"/>
      <c r="Y19" s="5" t="s">
        <v>52</v>
      </c>
      <c r="Z19" s="7">
        <v>1029.98</v>
      </c>
      <c r="AA19" s="7">
        <v>0</v>
      </c>
      <c r="AB19" s="7">
        <v>0</v>
      </c>
      <c r="AC19" s="6"/>
      <c r="AD19" s="7">
        <v>1029.98</v>
      </c>
      <c r="AE19" s="4">
        <v>64</v>
      </c>
      <c r="AF19" s="5" t="s">
        <v>936</v>
      </c>
      <c r="AG19" s="5"/>
      <c r="AH19" s="5"/>
      <c r="AI19" s="5"/>
      <c r="AJ19" s="4"/>
      <c r="AK19" s="5" t="s">
        <v>100</v>
      </c>
      <c r="AL19" s="5" t="s">
        <v>72</v>
      </c>
      <c r="AM19" s="6">
        <v>46274</v>
      </c>
      <c r="AN19" s="5" t="s">
        <v>57</v>
      </c>
      <c r="AO19" s="5"/>
    </row>
    <row r="20" spans="1:41" x14ac:dyDescent="0.25">
      <c r="A20" s="2"/>
      <c r="B20" s="2"/>
      <c r="C20" s="3">
        <v>46226</v>
      </c>
      <c r="D20" s="4">
        <v>561886342</v>
      </c>
      <c r="E20" s="5" t="s">
        <v>232</v>
      </c>
      <c r="F20" s="6">
        <v>46182</v>
      </c>
      <c r="G20" s="5" t="s">
        <v>208</v>
      </c>
      <c r="H20" s="5" t="s">
        <v>208</v>
      </c>
      <c r="I20" s="5" t="s">
        <v>233</v>
      </c>
      <c r="J20" s="5" t="s">
        <v>46</v>
      </c>
      <c r="K20" s="3"/>
      <c r="L20" s="11">
        <f ca="1">IF($O20="","",$O20-TODAY())</f>
        <v>264</v>
      </c>
      <c r="M20" s="11">
        <f ca="1">IF($C20="","",$C20+365-TODAY())</f>
        <v>308</v>
      </c>
      <c r="N20" s="11">
        <f ca="1">IF($C20="","",$C20+120-TODAY())</f>
        <v>63</v>
      </c>
      <c r="O20" s="6">
        <v>46547</v>
      </c>
      <c r="P20" s="5" t="s">
        <v>51</v>
      </c>
      <c r="Q20" s="5" t="s">
        <v>209</v>
      </c>
      <c r="R20" s="5" t="s">
        <v>51</v>
      </c>
      <c r="S20" s="5" t="s">
        <v>50</v>
      </c>
      <c r="T20" s="5" t="s">
        <v>166</v>
      </c>
      <c r="U20" s="5" t="s">
        <v>50</v>
      </c>
      <c r="V20" s="5"/>
      <c r="W20" s="5"/>
      <c r="X20" s="5"/>
      <c r="Y20" s="5" t="s">
        <v>52</v>
      </c>
      <c r="Z20" s="7">
        <v>1426.25</v>
      </c>
      <c r="AA20" s="7">
        <v>0</v>
      </c>
      <c r="AB20" s="7">
        <v>0</v>
      </c>
      <c r="AC20" s="6">
        <v>46226</v>
      </c>
      <c r="AD20" s="7">
        <v>1426.25</v>
      </c>
      <c r="AE20" s="4">
        <v>60</v>
      </c>
      <c r="AF20" s="5" t="s">
        <v>71</v>
      </c>
      <c r="AG20" s="5"/>
      <c r="AH20" s="5"/>
      <c r="AI20" s="5"/>
      <c r="AJ20" s="4"/>
      <c r="AK20" s="5" t="s">
        <v>92</v>
      </c>
      <c r="AL20" s="5" t="s">
        <v>56</v>
      </c>
      <c r="AM20" s="6">
        <v>46217</v>
      </c>
      <c r="AN20" s="5" t="s">
        <v>57</v>
      </c>
      <c r="AO20" s="5" t="s">
        <v>234</v>
      </c>
    </row>
    <row r="21" spans="1:41" x14ac:dyDescent="0.25">
      <c r="A21" s="2"/>
      <c r="B21" s="2"/>
      <c r="C21" s="3">
        <v>46226</v>
      </c>
      <c r="D21" s="4">
        <v>561898000</v>
      </c>
      <c r="E21" s="5" t="s">
        <v>238</v>
      </c>
      <c r="F21" s="6">
        <v>46183</v>
      </c>
      <c r="G21" s="5" t="s">
        <v>208</v>
      </c>
      <c r="H21" s="5" t="s">
        <v>208</v>
      </c>
      <c r="I21" s="5" t="s">
        <v>136</v>
      </c>
      <c r="J21" s="5" t="s">
        <v>107</v>
      </c>
      <c r="K21" s="3"/>
      <c r="L21" s="11">
        <f ca="1">IF($O21="","",$O21-TODAY())</f>
        <v>265</v>
      </c>
      <c r="M21" s="11">
        <f ca="1">IF($C21="","",$C21+365-TODAY())</f>
        <v>308</v>
      </c>
      <c r="N21" s="11">
        <f ca="1">IF($C21="","",$C21+120-TODAY())</f>
        <v>63</v>
      </c>
      <c r="O21" s="6">
        <v>46548</v>
      </c>
      <c r="P21" s="5" t="s">
        <v>51</v>
      </c>
      <c r="Q21" s="5" t="s">
        <v>209</v>
      </c>
      <c r="R21" s="5" t="s">
        <v>51</v>
      </c>
      <c r="S21" s="5" t="s">
        <v>50</v>
      </c>
      <c r="T21" s="5" t="s">
        <v>166</v>
      </c>
      <c r="U21" s="5" t="s">
        <v>50</v>
      </c>
      <c r="V21" s="5"/>
      <c r="W21" s="5"/>
      <c r="X21" s="5"/>
      <c r="Y21" s="5" t="s">
        <v>52</v>
      </c>
      <c r="Z21" s="7">
        <v>1372.91</v>
      </c>
      <c r="AA21" s="7">
        <v>0</v>
      </c>
      <c r="AB21" s="7">
        <v>0</v>
      </c>
      <c r="AC21" s="6">
        <v>46226</v>
      </c>
      <c r="AD21" s="7">
        <v>1372.91</v>
      </c>
      <c r="AE21" s="4">
        <v>59</v>
      </c>
      <c r="AF21" s="5" t="s">
        <v>185</v>
      </c>
      <c r="AG21" s="5"/>
      <c r="AH21" s="5"/>
      <c r="AI21" s="5"/>
      <c r="AJ21" s="4"/>
      <c r="AK21" s="5" t="s">
        <v>85</v>
      </c>
      <c r="AL21" s="5" t="s">
        <v>63</v>
      </c>
      <c r="AM21" s="6">
        <v>46217</v>
      </c>
      <c r="AN21" s="5" t="s">
        <v>57</v>
      </c>
      <c r="AO21" s="5" t="s">
        <v>239</v>
      </c>
    </row>
    <row r="22" spans="1:41" x14ac:dyDescent="0.25">
      <c r="A22" s="2"/>
      <c r="B22" s="2"/>
      <c r="C22" s="3">
        <v>46225</v>
      </c>
      <c r="D22" s="4">
        <v>562843131</v>
      </c>
      <c r="E22" s="5" t="s">
        <v>251</v>
      </c>
      <c r="F22" s="6">
        <v>46192</v>
      </c>
      <c r="G22" s="5" t="s">
        <v>208</v>
      </c>
      <c r="H22" s="5" t="s">
        <v>208</v>
      </c>
      <c r="I22" s="5" t="s">
        <v>252</v>
      </c>
      <c r="J22" s="5" t="s">
        <v>107</v>
      </c>
      <c r="K22" s="3"/>
      <c r="L22" s="11">
        <f ca="1">IF($O22="","",$O22-TODAY())</f>
        <v>274</v>
      </c>
      <c r="M22" s="11">
        <f ca="1">IF($C22="","",$C22+365-TODAY())</f>
        <v>307</v>
      </c>
      <c r="N22" s="11">
        <f ca="1">IF($C22="","",$C22+120-TODAY())</f>
        <v>62</v>
      </c>
      <c r="O22" s="6">
        <v>46557</v>
      </c>
      <c r="P22" s="5" t="s">
        <v>51</v>
      </c>
      <c r="Q22" s="5" t="s">
        <v>209</v>
      </c>
      <c r="R22" s="5" t="s">
        <v>51</v>
      </c>
      <c r="S22" s="5" t="s">
        <v>50</v>
      </c>
      <c r="T22" s="5" t="s">
        <v>166</v>
      </c>
      <c r="U22" s="5" t="s">
        <v>50</v>
      </c>
      <c r="V22" s="5"/>
      <c r="W22" s="5"/>
      <c r="X22" s="5"/>
      <c r="Y22" s="5" t="s">
        <v>52</v>
      </c>
      <c r="Z22" s="7">
        <v>1372.91</v>
      </c>
      <c r="AA22" s="7">
        <v>0</v>
      </c>
      <c r="AB22" s="7">
        <v>0</v>
      </c>
      <c r="AC22" s="6">
        <v>46225</v>
      </c>
      <c r="AD22" s="7">
        <v>1372.91</v>
      </c>
      <c r="AE22" s="4">
        <v>50</v>
      </c>
      <c r="AF22" s="5" t="s">
        <v>84</v>
      </c>
      <c r="AG22" s="5"/>
      <c r="AH22" s="5"/>
      <c r="AI22" s="5"/>
      <c r="AJ22" s="4"/>
      <c r="AK22" s="5" t="s">
        <v>68</v>
      </c>
      <c r="AL22" s="5" t="s">
        <v>63</v>
      </c>
      <c r="AM22" s="6">
        <v>46217</v>
      </c>
      <c r="AN22" s="5" t="s">
        <v>57</v>
      </c>
      <c r="AO22" s="5" t="s">
        <v>253</v>
      </c>
    </row>
    <row r="23" spans="1:41" x14ac:dyDescent="0.25">
      <c r="A23" s="2"/>
      <c r="B23" s="2"/>
      <c r="C23" s="3"/>
      <c r="D23" s="4">
        <v>563651212</v>
      </c>
      <c r="E23" s="5" t="s">
        <v>269</v>
      </c>
      <c r="F23" s="6">
        <v>46199</v>
      </c>
      <c r="G23" s="5" t="s">
        <v>208</v>
      </c>
      <c r="H23" s="5" t="s">
        <v>208</v>
      </c>
      <c r="I23" s="5" t="s">
        <v>136</v>
      </c>
      <c r="J23" s="5" t="s">
        <v>107</v>
      </c>
      <c r="K23" s="3"/>
      <c r="L23" s="11">
        <f ca="1">IF($O23="","",$O23-TODAY())</f>
        <v>281</v>
      </c>
      <c r="M23" s="11" t="str">
        <f ca="1">IF($C23="","",$C23+365-TODAY())</f>
        <v/>
      </c>
      <c r="N23" s="11" t="str">
        <f ca="1">IF($C23="","",$C23+120-TODAY())</f>
        <v/>
      </c>
      <c r="O23" s="6">
        <v>46564</v>
      </c>
      <c r="P23" s="5" t="s">
        <v>51</v>
      </c>
      <c r="Q23" s="5" t="s">
        <v>209</v>
      </c>
      <c r="R23" s="5" t="s">
        <v>51</v>
      </c>
      <c r="S23" s="5" t="s">
        <v>50</v>
      </c>
      <c r="T23" s="5" t="s">
        <v>166</v>
      </c>
      <c r="U23" s="5" t="s">
        <v>50</v>
      </c>
      <c r="V23" s="5"/>
      <c r="W23" s="5"/>
      <c r="X23" s="5"/>
      <c r="Y23" s="5" t="s">
        <v>52</v>
      </c>
      <c r="Z23" s="7">
        <v>1372.91</v>
      </c>
      <c r="AA23" s="7">
        <v>0</v>
      </c>
      <c r="AB23" s="7">
        <v>0</v>
      </c>
      <c r="AC23" s="6"/>
      <c r="AD23" s="7">
        <v>1372.91</v>
      </c>
      <c r="AE23" s="4">
        <v>43</v>
      </c>
      <c r="AF23" s="5" t="s">
        <v>270</v>
      </c>
      <c r="AG23" s="5"/>
      <c r="AH23" s="5"/>
      <c r="AI23" s="5"/>
      <c r="AJ23" s="4"/>
      <c r="AK23" s="5" t="s">
        <v>76</v>
      </c>
      <c r="AL23" s="5" t="s">
        <v>72</v>
      </c>
      <c r="AM23" s="6">
        <v>46217</v>
      </c>
      <c r="AN23" s="5" t="s">
        <v>57</v>
      </c>
      <c r="AO23" s="5" t="s">
        <v>271</v>
      </c>
    </row>
    <row r="24" spans="1:41" x14ac:dyDescent="0.25">
      <c r="A24" s="2"/>
      <c r="B24" s="2"/>
      <c r="C24" s="3">
        <v>46225</v>
      </c>
      <c r="D24" s="4">
        <v>563782794</v>
      </c>
      <c r="E24" s="5" t="s">
        <v>274</v>
      </c>
      <c r="F24" s="6">
        <v>46202</v>
      </c>
      <c r="G24" s="5" t="s">
        <v>208</v>
      </c>
      <c r="H24" s="5" t="s">
        <v>208</v>
      </c>
      <c r="I24" s="5" t="s">
        <v>275</v>
      </c>
      <c r="J24" s="5" t="s">
        <v>60</v>
      </c>
      <c r="K24" s="3"/>
      <c r="L24" s="11">
        <f ca="1">IF($O24="","",$O24-TODAY())</f>
        <v>284</v>
      </c>
      <c r="M24" s="11">
        <f ca="1">IF($C24="","",$C24+365-TODAY())</f>
        <v>307</v>
      </c>
      <c r="N24" s="11">
        <f ca="1">IF($C24="","",$C24+120-TODAY())</f>
        <v>62</v>
      </c>
      <c r="O24" s="6">
        <v>46567</v>
      </c>
      <c r="P24" s="5" t="s">
        <v>51</v>
      </c>
      <c r="Q24" s="5" t="s">
        <v>209</v>
      </c>
      <c r="R24" s="5" t="s">
        <v>51</v>
      </c>
      <c r="S24" s="5" t="s">
        <v>50</v>
      </c>
      <c r="T24" s="5" t="s">
        <v>166</v>
      </c>
      <c r="U24" s="5" t="s">
        <v>50</v>
      </c>
      <c r="V24" s="5"/>
      <c r="W24" s="5"/>
      <c r="X24" s="5"/>
      <c r="Y24" s="5" t="s">
        <v>52</v>
      </c>
      <c r="Z24" s="7">
        <v>1426.25</v>
      </c>
      <c r="AA24" s="7">
        <v>0</v>
      </c>
      <c r="AB24" s="7">
        <v>0</v>
      </c>
      <c r="AC24" s="6">
        <v>46225</v>
      </c>
      <c r="AD24" s="7">
        <v>1426.25</v>
      </c>
      <c r="AE24" s="4">
        <v>40</v>
      </c>
      <c r="AF24" s="5" t="s">
        <v>53</v>
      </c>
      <c r="AG24" s="5"/>
      <c r="AH24" s="5"/>
      <c r="AI24" s="5"/>
      <c r="AJ24" s="4"/>
      <c r="AK24" s="5" t="s">
        <v>68</v>
      </c>
      <c r="AL24" s="5" t="s">
        <v>56</v>
      </c>
      <c r="AM24" s="6">
        <v>46217</v>
      </c>
      <c r="AN24" s="5" t="s">
        <v>57</v>
      </c>
      <c r="AO24" s="5" t="s">
        <v>276</v>
      </c>
    </row>
    <row r="25" spans="1:41" x14ac:dyDescent="0.25">
      <c r="A25" s="2"/>
      <c r="B25" s="13"/>
      <c r="C25" s="3"/>
      <c r="D25" s="4">
        <v>563850884</v>
      </c>
      <c r="E25" s="5" t="s">
        <v>937</v>
      </c>
      <c r="F25" s="6">
        <v>46203</v>
      </c>
      <c r="G25" s="5" t="s">
        <v>208</v>
      </c>
      <c r="H25" s="5" t="s">
        <v>208</v>
      </c>
      <c r="I25" s="5" t="s">
        <v>45</v>
      </c>
      <c r="J25" s="5" t="s">
        <v>117</v>
      </c>
      <c r="K25" s="3"/>
      <c r="L25" s="11">
        <f ca="1">IF($O25="","",$O25-TODAY())</f>
        <v>285</v>
      </c>
      <c r="M25" s="11" t="str">
        <f ca="1">IF($C25="","",$C25+365-TODAY())</f>
        <v/>
      </c>
      <c r="N25" s="11" t="str">
        <f ca="1">IF($C25="","",$C25+120-TODAY())</f>
        <v/>
      </c>
      <c r="O25" s="6">
        <v>46568</v>
      </c>
      <c r="P25" s="5" t="s">
        <v>51</v>
      </c>
      <c r="Q25" s="5" t="s">
        <v>209</v>
      </c>
      <c r="R25" s="5" t="s">
        <v>51</v>
      </c>
      <c r="S25" s="5" t="s">
        <v>50</v>
      </c>
      <c r="T25" s="5" t="s">
        <v>166</v>
      </c>
      <c r="U25" s="5" t="s">
        <v>50</v>
      </c>
      <c r="V25" s="5"/>
      <c r="W25" s="5"/>
      <c r="X25" s="5"/>
      <c r="Y25" s="5" t="s">
        <v>52</v>
      </c>
      <c r="Z25" s="7">
        <v>294.42</v>
      </c>
      <c r="AA25" s="7">
        <v>0</v>
      </c>
      <c r="AB25" s="7">
        <v>0</v>
      </c>
      <c r="AC25" s="6"/>
      <c r="AD25" s="7">
        <v>294.42</v>
      </c>
      <c r="AE25" s="4">
        <v>39</v>
      </c>
      <c r="AF25" s="5" t="s">
        <v>118</v>
      </c>
      <c r="AG25" s="5" t="s">
        <v>119</v>
      </c>
      <c r="AH25" s="5"/>
      <c r="AI25" s="5"/>
      <c r="AJ25" s="4"/>
      <c r="AK25" s="5" t="s">
        <v>120</v>
      </c>
      <c r="AL25" s="5" t="s">
        <v>121</v>
      </c>
      <c r="AM25" s="6">
        <v>46268</v>
      </c>
      <c r="AN25" s="5" t="s">
        <v>57</v>
      </c>
      <c r="AO25" s="5"/>
    </row>
    <row r="26" spans="1:41" x14ac:dyDescent="0.25">
      <c r="A26" s="2"/>
      <c r="B26" s="2"/>
      <c r="C26" s="3"/>
      <c r="D26" s="4">
        <v>561024208</v>
      </c>
      <c r="E26" s="5" t="s">
        <v>283</v>
      </c>
      <c r="F26" s="6">
        <v>46175</v>
      </c>
      <c r="G26" s="5" t="s">
        <v>284</v>
      </c>
      <c r="H26" s="5" t="s">
        <v>284</v>
      </c>
      <c r="I26" s="5" t="s">
        <v>45</v>
      </c>
      <c r="J26" s="5" t="s">
        <v>285</v>
      </c>
      <c r="K26" s="3"/>
      <c r="L26" s="11" t="str">
        <f ca="1">IF($O26="","",$O26-TODAY())</f>
        <v/>
      </c>
      <c r="M26" s="11"/>
      <c r="N26" s="11"/>
      <c r="O26" s="6"/>
      <c r="P26" s="5"/>
      <c r="Q26" s="5" t="s">
        <v>286</v>
      </c>
      <c r="R26" s="5"/>
      <c r="S26" s="5"/>
      <c r="T26" s="5"/>
      <c r="U26" s="5"/>
      <c r="V26" s="5" t="s">
        <v>287</v>
      </c>
      <c r="W26" s="5"/>
      <c r="X26" s="5"/>
      <c r="Y26" s="5" t="s">
        <v>52</v>
      </c>
      <c r="Z26" s="7">
        <v>294.42</v>
      </c>
      <c r="AA26" s="7">
        <v>0</v>
      </c>
      <c r="AB26" s="7">
        <v>0</v>
      </c>
      <c r="AC26" s="6"/>
      <c r="AD26" s="7">
        <v>294.42</v>
      </c>
      <c r="AE26" s="4">
        <v>67</v>
      </c>
      <c r="AF26" s="5" t="s">
        <v>288</v>
      </c>
      <c r="AG26" s="5" t="s">
        <v>289</v>
      </c>
      <c r="AH26" s="5" t="s">
        <v>290</v>
      </c>
      <c r="AI26" s="5" t="s">
        <v>291</v>
      </c>
      <c r="AJ26" s="4"/>
      <c r="AK26" s="5" t="s">
        <v>85</v>
      </c>
      <c r="AL26" s="5" t="s">
        <v>63</v>
      </c>
      <c r="AM26" s="6">
        <v>46191</v>
      </c>
      <c r="AN26" s="5" t="s">
        <v>57</v>
      </c>
      <c r="AO26" s="5" t="s">
        <v>292</v>
      </c>
    </row>
    <row r="27" spans="1:41" x14ac:dyDescent="0.25">
      <c r="A27" s="2"/>
      <c r="B27" s="2"/>
      <c r="C27" s="3">
        <v>46218</v>
      </c>
      <c r="D27" s="4">
        <v>561219063</v>
      </c>
      <c r="E27" s="5" t="s">
        <v>293</v>
      </c>
      <c r="F27" s="6">
        <v>46175</v>
      </c>
      <c r="G27" s="5" t="s">
        <v>294</v>
      </c>
      <c r="H27" s="5" t="s">
        <v>294</v>
      </c>
      <c r="I27" s="5" t="s">
        <v>45</v>
      </c>
      <c r="J27" s="5" t="s">
        <v>60</v>
      </c>
      <c r="K27" s="3"/>
      <c r="L27" s="11" t="str">
        <f ca="1">IF($O27="","",$O27-TODAY())</f>
        <v/>
      </c>
      <c r="M27" s="11"/>
      <c r="N27" s="11"/>
      <c r="O27" s="6"/>
      <c r="P27" s="5"/>
      <c r="Q27" s="5" t="s">
        <v>286</v>
      </c>
      <c r="R27" s="5"/>
      <c r="S27" s="5"/>
      <c r="T27" s="5"/>
      <c r="U27" s="5"/>
      <c r="V27" s="5"/>
      <c r="W27" s="5"/>
      <c r="X27" s="5"/>
      <c r="Y27" s="5" t="s">
        <v>52</v>
      </c>
      <c r="Z27" s="7">
        <v>1426.25</v>
      </c>
      <c r="AA27" s="7">
        <v>0</v>
      </c>
      <c r="AB27" s="7">
        <v>0</v>
      </c>
      <c r="AC27" s="6">
        <v>46218</v>
      </c>
      <c r="AD27" s="7">
        <v>1426.25</v>
      </c>
      <c r="AE27" s="4">
        <v>67</v>
      </c>
      <c r="AF27" s="5" t="s">
        <v>71</v>
      </c>
      <c r="AG27" s="5"/>
      <c r="AH27" s="5"/>
      <c r="AI27" s="5"/>
      <c r="AJ27" s="4"/>
      <c r="AK27" s="5" t="s">
        <v>85</v>
      </c>
      <c r="AL27" s="5" t="s">
        <v>56</v>
      </c>
      <c r="AM27" s="6">
        <v>46217</v>
      </c>
      <c r="AN27" s="5" t="s">
        <v>57</v>
      </c>
      <c r="AO27" s="5" t="s">
        <v>295</v>
      </c>
    </row>
    <row r="28" spans="1:41" x14ac:dyDescent="0.25">
      <c r="A28" s="2"/>
      <c r="B28" s="2"/>
      <c r="C28" s="3"/>
      <c r="D28" s="4">
        <v>562198116</v>
      </c>
      <c r="E28" s="5" t="s">
        <v>299</v>
      </c>
      <c r="F28" s="6">
        <v>46185</v>
      </c>
      <c r="G28" s="5" t="s">
        <v>300</v>
      </c>
      <c r="H28" s="5" t="s">
        <v>300</v>
      </c>
      <c r="I28" s="5" t="s">
        <v>45</v>
      </c>
      <c r="J28" s="5" t="s">
        <v>46</v>
      </c>
      <c r="K28" s="3"/>
      <c r="L28" s="11" t="str">
        <f ca="1">IF($O28="","",$O28-TODAY())</f>
        <v/>
      </c>
      <c r="M28" s="11"/>
      <c r="N28" s="11"/>
      <c r="O28" s="6"/>
      <c r="P28" s="5"/>
      <c r="Q28" s="5" t="s">
        <v>286</v>
      </c>
      <c r="R28" s="5"/>
      <c r="S28" s="5"/>
      <c r="T28" s="5"/>
      <c r="U28" s="5"/>
      <c r="V28" s="5"/>
      <c r="W28" s="5"/>
      <c r="X28" s="5"/>
      <c r="Y28" s="5" t="s">
        <v>52</v>
      </c>
      <c r="Z28" s="7">
        <v>1426.25</v>
      </c>
      <c r="AA28" s="7">
        <v>0</v>
      </c>
      <c r="AB28" s="7">
        <v>0</v>
      </c>
      <c r="AC28" s="6"/>
      <c r="AD28" s="7">
        <v>1426.25</v>
      </c>
      <c r="AE28" s="4">
        <v>57</v>
      </c>
      <c r="AF28" s="5" t="s">
        <v>71</v>
      </c>
      <c r="AG28" s="5"/>
      <c r="AH28" s="5"/>
      <c r="AI28" s="5"/>
      <c r="AJ28" s="4"/>
      <c r="AK28" s="5" t="s">
        <v>97</v>
      </c>
      <c r="AL28" s="5" t="s">
        <v>72</v>
      </c>
      <c r="AM28" s="6">
        <v>46217</v>
      </c>
      <c r="AN28" s="5" t="s">
        <v>57</v>
      </c>
      <c r="AO28" s="5" t="s">
        <v>301</v>
      </c>
    </row>
    <row r="29" spans="1:41" x14ac:dyDescent="0.25">
      <c r="A29" s="2" t="s">
        <v>945</v>
      </c>
      <c r="B29" s="13" t="s">
        <v>947</v>
      </c>
      <c r="C29" s="3"/>
      <c r="D29" s="4">
        <v>562518339</v>
      </c>
      <c r="E29" s="5" t="s">
        <v>303</v>
      </c>
      <c r="F29" s="6">
        <v>46189</v>
      </c>
      <c r="G29" s="5" t="s">
        <v>304</v>
      </c>
      <c r="H29" s="5" t="s">
        <v>304</v>
      </c>
      <c r="I29" s="5" t="s">
        <v>45</v>
      </c>
      <c r="J29" s="5" t="s">
        <v>46</v>
      </c>
      <c r="K29" s="3"/>
      <c r="L29" s="11" t="str">
        <f ca="1">IF($O29="","",$O29-TODAY())</f>
        <v/>
      </c>
      <c r="M29" s="11"/>
      <c r="N29" s="11"/>
      <c r="O29" s="6"/>
      <c r="P29" s="5"/>
      <c r="Q29" s="5" t="s">
        <v>286</v>
      </c>
      <c r="R29" s="5"/>
      <c r="S29" s="5"/>
      <c r="T29" s="5"/>
      <c r="U29" s="5"/>
      <c r="V29" s="5"/>
      <c r="W29" s="5"/>
      <c r="X29" s="5"/>
      <c r="Y29" s="5" t="s">
        <v>52</v>
      </c>
      <c r="Z29" s="7">
        <v>1426.25</v>
      </c>
      <c r="AA29" s="7">
        <v>0</v>
      </c>
      <c r="AB29" s="7">
        <v>0</v>
      </c>
      <c r="AC29" s="6"/>
      <c r="AD29" s="7">
        <v>1426.25</v>
      </c>
      <c r="AE29" s="4">
        <v>53</v>
      </c>
      <c r="AF29" s="5" t="s">
        <v>71</v>
      </c>
      <c r="AG29" s="5"/>
      <c r="AH29" s="5"/>
      <c r="AI29" s="5"/>
      <c r="AJ29" s="4"/>
      <c r="AK29" s="5" t="s">
        <v>144</v>
      </c>
      <c r="AL29" s="5" t="s">
        <v>133</v>
      </c>
      <c r="AM29" s="6">
        <v>46217</v>
      </c>
      <c r="AN29" s="5" t="s">
        <v>57</v>
      </c>
      <c r="AO29" s="5" t="s">
        <v>305</v>
      </c>
    </row>
    <row r="30" spans="1:41" x14ac:dyDescent="0.25">
      <c r="A30" s="2"/>
      <c r="B30" s="2"/>
      <c r="C30" s="3"/>
      <c r="D30" s="4">
        <v>562594958</v>
      </c>
      <c r="E30" s="5" t="s">
        <v>306</v>
      </c>
      <c r="F30" s="6">
        <v>46190</v>
      </c>
      <c r="G30" s="5" t="s">
        <v>307</v>
      </c>
      <c r="H30" s="5" t="s">
        <v>307</v>
      </c>
      <c r="I30" s="5" t="s">
        <v>45</v>
      </c>
      <c r="J30" s="5" t="s">
        <v>46</v>
      </c>
      <c r="K30" s="3"/>
      <c r="L30" s="11" t="str">
        <f ca="1">IF($O30="","",$O30-TODAY())</f>
        <v/>
      </c>
      <c r="M30" s="11"/>
      <c r="N30" s="11"/>
      <c r="O30" s="6"/>
      <c r="P30" s="5"/>
      <c r="Q30" s="5" t="s">
        <v>286</v>
      </c>
      <c r="R30" s="5"/>
      <c r="S30" s="5"/>
      <c r="T30" s="5"/>
      <c r="U30" s="5"/>
      <c r="V30" s="5"/>
      <c r="W30" s="5"/>
      <c r="X30" s="5"/>
      <c r="Y30" s="5" t="s">
        <v>52</v>
      </c>
      <c r="Z30" s="7">
        <v>1426.25</v>
      </c>
      <c r="AA30" s="7">
        <v>0</v>
      </c>
      <c r="AB30" s="7">
        <v>0</v>
      </c>
      <c r="AC30" s="6"/>
      <c r="AD30" s="7">
        <v>1426.25</v>
      </c>
      <c r="AE30" s="4">
        <v>52</v>
      </c>
      <c r="AF30" s="5" t="s">
        <v>84</v>
      </c>
      <c r="AG30" s="5"/>
      <c r="AH30" s="5"/>
      <c r="AI30" s="5"/>
      <c r="AJ30" s="4"/>
      <c r="AK30" s="5" t="s">
        <v>85</v>
      </c>
      <c r="AL30" s="5" t="s">
        <v>63</v>
      </c>
      <c r="AM30" s="6">
        <v>46217</v>
      </c>
      <c r="AN30" s="5" t="s">
        <v>57</v>
      </c>
      <c r="AO30" s="5" t="s">
        <v>308</v>
      </c>
    </row>
    <row r="31" spans="1:41" x14ac:dyDescent="0.25">
      <c r="A31" s="2" t="s">
        <v>127</v>
      </c>
      <c r="B31" s="13" t="s">
        <v>309</v>
      </c>
      <c r="C31" s="3"/>
      <c r="D31" s="4">
        <v>562803163</v>
      </c>
      <c r="E31" s="5" t="s">
        <v>310</v>
      </c>
      <c r="F31" s="6">
        <v>46190</v>
      </c>
      <c r="G31" s="5" t="s">
        <v>81</v>
      </c>
      <c r="H31" s="5" t="s">
        <v>81</v>
      </c>
      <c r="I31" s="5" t="s">
        <v>311</v>
      </c>
      <c r="J31" s="5" t="s">
        <v>82</v>
      </c>
      <c r="K31" s="3">
        <v>46277</v>
      </c>
      <c r="L31" s="11">
        <f ca="1">IF($O31="","",$O31-TODAY())</f>
        <v>-3</v>
      </c>
      <c r="M31" s="11" t="str">
        <f ca="1">IF($C31="","",$C31+365-TODAY())</f>
        <v/>
      </c>
      <c r="N31" s="11" t="str">
        <f ca="1">IF($C31="","",$C31+365-TODAY())</f>
        <v/>
      </c>
      <c r="O31" s="6">
        <v>46280</v>
      </c>
      <c r="P31" s="5" t="s">
        <v>47</v>
      </c>
      <c r="Q31" s="5" t="s">
        <v>83</v>
      </c>
      <c r="R31" s="5" t="s">
        <v>51</v>
      </c>
      <c r="S31" s="5" t="s">
        <v>50</v>
      </c>
      <c r="T31" s="5" t="s">
        <v>51</v>
      </c>
      <c r="U31" s="5" t="s">
        <v>50</v>
      </c>
      <c r="V31" s="5"/>
      <c r="W31" s="5"/>
      <c r="X31" s="5"/>
      <c r="Y31" s="5" t="s">
        <v>52</v>
      </c>
      <c r="Z31" s="7">
        <v>1372.91</v>
      </c>
      <c r="AA31" s="7">
        <v>0</v>
      </c>
      <c r="AB31" s="7">
        <v>0</v>
      </c>
      <c r="AC31" s="6"/>
      <c r="AD31" s="7">
        <v>1372.91</v>
      </c>
      <c r="AE31" s="4">
        <v>52</v>
      </c>
      <c r="AF31" s="5" t="s">
        <v>219</v>
      </c>
      <c r="AG31" s="5" t="s">
        <v>54</v>
      </c>
      <c r="AH31" s="5"/>
      <c r="AI31" s="5"/>
      <c r="AJ31" s="4"/>
      <c r="AK31" s="5" t="s">
        <v>55</v>
      </c>
      <c r="AL31" s="5" t="s">
        <v>72</v>
      </c>
      <c r="AM31" s="6">
        <v>46217</v>
      </c>
      <c r="AN31" s="5" t="s">
        <v>57</v>
      </c>
      <c r="AO31" s="5" t="s">
        <v>312</v>
      </c>
    </row>
    <row r="32" spans="1:41" x14ac:dyDescent="0.25">
      <c r="A32" s="2"/>
      <c r="B32" s="2"/>
      <c r="C32" s="3"/>
      <c r="D32" s="4">
        <v>562862986</v>
      </c>
      <c r="E32" s="5" t="s">
        <v>313</v>
      </c>
      <c r="F32" s="6">
        <v>46192</v>
      </c>
      <c r="G32" s="5" t="s">
        <v>314</v>
      </c>
      <c r="H32" s="5" t="s">
        <v>314</v>
      </c>
      <c r="I32" s="5" t="s">
        <v>45</v>
      </c>
      <c r="J32" s="5" t="s">
        <v>117</v>
      </c>
      <c r="K32" s="3"/>
      <c r="L32" s="11" t="str">
        <f ca="1">IF($O32="","",$O32-TODAY())</f>
        <v/>
      </c>
      <c r="M32" s="11"/>
      <c r="N32" s="11" t="str">
        <f ca="1">IF($C32="","",$C32+180-TODAY())</f>
        <v/>
      </c>
      <c r="O32" s="6"/>
      <c r="P32" s="5"/>
      <c r="Q32" s="5" t="s">
        <v>315</v>
      </c>
      <c r="R32" s="5"/>
      <c r="S32" s="5"/>
      <c r="T32" s="5" t="s">
        <v>49</v>
      </c>
      <c r="U32" s="5" t="s">
        <v>50</v>
      </c>
      <c r="V32" s="5"/>
      <c r="W32" s="5"/>
      <c r="X32" s="5"/>
      <c r="Y32" s="5" t="s">
        <v>52</v>
      </c>
      <c r="Z32" s="7">
        <v>294.42</v>
      </c>
      <c r="AA32" s="7">
        <v>0</v>
      </c>
      <c r="AB32" s="7">
        <v>0</v>
      </c>
      <c r="AC32" s="6"/>
      <c r="AD32" s="7">
        <v>294.42</v>
      </c>
      <c r="AE32" s="4">
        <v>50</v>
      </c>
      <c r="AF32" s="5" t="s">
        <v>118</v>
      </c>
      <c r="AG32" s="5" t="s">
        <v>119</v>
      </c>
      <c r="AH32" s="5"/>
      <c r="AI32" s="5"/>
      <c r="AJ32" s="4"/>
      <c r="AK32" s="5" t="s">
        <v>120</v>
      </c>
      <c r="AL32" s="5" t="s">
        <v>121</v>
      </c>
      <c r="AM32" s="6">
        <v>46234</v>
      </c>
      <c r="AN32" s="5" t="s">
        <v>57</v>
      </c>
      <c r="AO32" s="5" t="s">
        <v>316</v>
      </c>
    </row>
    <row r="33" spans="1:41" x14ac:dyDescent="0.25">
      <c r="A33" s="2"/>
      <c r="B33" s="2"/>
      <c r="C33" s="3"/>
      <c r="D33" s="4">
        <v>562903580</v>
      </c>
      <c r="E33" s="5" t="s">
        <v>317</v>
      </c>
      <c r="F33" s="6">
        <v>46192</v>
      </c>
      <c r="G33" s="5" t="s">
        <v>318</v>
      </c>
      <c r="H33" s="5" t="s">
        <v>318</v>
      </c>
      <c r="I33" s="5" t="s">
        <v>45</v>
      </c>
      <c r="J33" s="5" t="s">
        <v>46</v>
      </c>
      <c r="K33" s="3"/>
      <c r="L33" s="11" t="str">
        <f ca="1">IF($O33="","",$O33-TODAY())</f>
        <v/>
      </c>
      <c r="M33" s="11"/>
      <c r="N33" s="11"/>
      <c r="O33" s="6"/>
      <c r="P33" s="5"/>
      <c r="Q33" s="5" t="s">
        <v>286</v>
      </c>
      <c r="R33" s="5"/>
      <c r="S33" s="5"/>
      <c r="T33" s="5"/>
      <c r="U33" s="5"/>
      <c r="V33" s="5"/>
      <c r="W33" s="5"/>
      <c r="X33" s="5"/>
      <c r="Y33" s="5" t="s">
        <v>52</v>
      </c>
      <c r="Z33" s="7">
        <v>1426.25</v>
      </c>
      <c r="AA33" s="7">
        <v>0</v>
      </c>
      <c r="AB33" s="7">
        <v>0</v>
      </c>
      <c r="AC33" s="6"/>
      <c r="AD33" s="7">
        <v>1426.25</v>
      </c>
      <c r="AE33" s="4">
        <v>50</v>
      </c>
      <c r="AF33" s="5" t="s">
        <v>71</v>
      </c>
      <c r="AG33" s="5"/>
      <c r="AH33" s="5"/>
      <c r="AI33" s="5"/>
      <c r="AJ33" s="4"/>
      <c r="AK33" s="5" t="s">
        <v>97</v>
      </c>
      <c r="AL33" s="5" t="s">
        <v>113</v>
      </c>
      <c r="AM33" s="6">
        <v>46217</v>
      </c>
      <c r="AN33" s="5" t="s">
        <v>57</v>
      </c>
      <c r="AO33" s="5" t="s">
        <v>319</v>
      </c>
    </row>
    <row r="34" spans="1:41" x14ac:dyDescent="0.25">
      <c r="A34" s="2"/>
      <c r="B34" s="2"/>
      <c r="C34" s="3"/>
      <c r="D34" s="4">
        <v>563421228</v>
      </c>
      <c r="E34" s="5" t="s">
        <v>322</v>
      </c>
      <c r="F34" s="6">
        <v>46198</v>
      </c>
      <c r="G34" s="5" t="s">
        <v>318</v>
      </c>
      <c r="H34" s="5" t="s">
        <v>318</v>
      </c>
      <c r="I34" s="5" t="s">
        <v>45</v>
      </c>
      <c r="J34" s="5" t="s">
        <v>60</v>
      </c>
      <c r="K34" s="3"/>
      <c r="L34" s="11" t="str">
        <f ca="1">IF($O34="","",$O34-TODAY())</f>
        <v/>
      </c>
      <c r="M34" s="11"/>
      <c r="N34" s="11"/>
      <c r="O34" s="6"/>
      <c r="P34" s="5"/>
      <c r="Q34" s="5" t="s">
        <v>286</v>
      </c>
      <c r="R34" s="5"/>
      <c r="S34" s="5"/>
      <c r="T34" s="5"/>
      <c r="U34" s="5"/>
      <c r="V34" s="5"/>
      <c r="W34" s="5"/>
      <c r="X34" s="5"/>
      <c r="Y34" s="5" t="s">
        <v>52</v>
      </c>
      <c r="Z34" s="7">
        <v>1426.25</v>
      </c>
      <c r="AA34" s="7">
        <v>0</v>
      </c>
      <c r="AB34" s="7">
        <v>0</v>
      </c>
      <c r="AC34" s="6"/>
      <c r="AD34" s="7">
        <v>1426.25</v>
      </c>
      <c r="AE34" s="4">
        <v>44</v>
      </c>
      <c r="AF34" s="5" t="s">
        <v>71</v>
      </c>
      <c r="AG34" s="5"/>
      <c r="AH34" s="5"/>
      <c r="AI34" s="5"/>
      <c r="AJ34" s="4"/>
      <c r="AK34" s="5" t="s">
        <v>92</v>
      </c>
      <c r="AL34" s="5" t="s">
        <v>133</v>
      </c>
      <c r="AM34" s="6">
        <v>46217</v>
      </c>
      <c r="AN34" s="5" t="s">
        <v>57</v>
      </c>
      <c r="AO34" s="5" t="s">
        <v>323</v>
      </c>
    </row>
    <row r="35" spans="1:41" x14ac:dyDescent="0.25">
      <c r="A35" s="2"/>
      <c r="B35" s="2"/>
      <c r="C35" s="3"/>
      <c r="D35" s="4">
        <v>563470580</v>
      </c>
      <c r="E35" s="5" t="s">
        <v>326</v>
      </c>
      <c r="F35" s="6">
        <v>46198</v>
      </c>
      <c r="G35" s="5" t="s">
        <v>327</v>
      </c>
      <c r="H35" s="5" t="s">
        <v>327</v>
      </c>
      <c r="I35" s="5" t="s">
        <v>45</v>
      </c>
      <c r="J35" s="5" t="s">
        <v>117</v>
      </c>
      <c r="K35" s="3"/>
      <c r="L35" s="4" t="str">
        <f ca="1">IF($O35="","",$O35-TODAY())</f>
        <v/>
      </c>
      <c r="M35" s="4"/>
      <c r="N35" s="4"/>
      <c r="O35" s="6"/>
      <c r="P35" s="5"/>
      <c r="Q35" s="5" t="s">
        <v>286</v>
      </c>
      <c r="R35" s="5"/>
      <c r="S35" s="5"/>
      <c r="T35" s="5"/>
      <c r="U35" s="5"/>
      <c r="V35" s="5"/>
      <c r="W35" s="5"/>
      <c r="X35" s="5"/>
      <c r="Y35" s="5" t="s">
        <v>52</v>
      </c>
      <c r="Z35" s="7">
        <v>294.42</v>
      </c>
      <c r="AA35" s="7">
        <v>0</v>
      </c>
      <c r="AB35" s="7">
        <v>0</v>
      </c>
      <c r="AC35" s="6"/>
      <c r="AD35" s="7">
        <v>294.42</v>
      </c>
      <c r="AE35" s="4">
        <v>44</v>
      </c>
      <c r="AF35" s="5" t="s">
        <v>118</v>
      </c>
      <c r="AG35" s="5" t="s">
        <v>119</v>
      </c>
      <c r="AH35" s="5"/>
      <c r="AI35" s="5"/>
      <c r="AJ35" s="4"/>
      <c r="AK35" s="5" t="s">
        <v>120</v>
      </c>
      <c r="AL35" s="5" t="s">
        <v>121</v>
      </c>
      <c r="AM35" s="6">
        <v>46234</v>
      </c>
      <c r="AN35" s="5" t="s">
        <v>57</v>
      </c>
      <c r="AO35" s="5" t="s">
        <v>328</v>
      </c>
    </row>
  </sheetData>
  <autoFilter ref="A1:AO35" xr:uid="{00000000-0009-0000-0000-000000000000}"/>
  <conditionalFormatting sqref="L2:L35">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35">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35">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O35">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35"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4"/>
  <sheetViews>
    <sheetView zoomScale="90" workbookViewId="0">
      <pane xSplit="2" ySplit="1" topLeftCell="C2" activePane="bottomRight" state="frozen"/>
      <selection pane="topRight"/>
      <selection pane="bottomLeft"/>
      <selection pane="bottomRight" activeCell="A29" sqref="A29"/>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8554687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row>
    <row r="2" spans="1:41" x14ac:dyDescent="0.25">
      <c r="A2" s="2" t="s">
        <v>78</v>
      </c>
      <c r="B2" s="2" t="s">
        <v>329</v>
      </c>
      <c r="C2" s="3">
        <v>46211</v>
      </c>
      <c r="D2" s="4">
        <v>564111540</v>
      </c>
      <c r="E2" s="5" t="s">
        <v>330</v>
      </c>
      <c r="F2" s="6">
        <v>46199</v>
      </c>
      <c r="G2" s="5" t="s">
        <v>331</v>
      </c>
      <c r="H2" s="5" t="s">
        <v>331</v>
      </c>
      <c r="I2" s="5" t="s">
        <v>294</v>
      </c>
      <c r="J2" s="5" t="s">
        <v>332</v>
      </c>
      <c r="K2" s="3">
        <v>46254</v>
      </c>
      <c r="L2" s="11">
        <f ca="1">IF($O2="","",$O2-TODAY())</f>
        <v>-24</v>
      </c>
      <c r="M2" s="11">
        <f ca="1">IF($C2="","",$C2+365-TODAY())</f>
        <v>293</v>
      </c>
      <c r="N2" s="11">
        <f ca="1">IF($C2="","",$C2+90-TODAY())</f>
        <v>18</v>
      </c>
      <c r="O2" s="6">
        <v>46259</v>
      </c>
      <c r="P2" s="5" t="s">
        <v>205</v>
      </c>
      <c r="Q2" s="5" t="s">
        <v>333</v>
      </c>
      <c r="R2" s="5" t="s">
        <v>51</v>
      </c>
      <c r="S2" s="5" t="s">
        <v>50</v>
      </c>
      <c r="T2" s="5" t="s">
        <v>47</v>
      </c>
      <c r="U2" s="5" t="s">
        <v>50</v>
      </c>
      <c r="V2" s="5" t="s">
        <v>334</v>
      </c>
      <c r="W2" s="5"/>
      <c r="X2" s="5"/>
      <c r="Y2" s="5" t="s">
        <v>335</v>
      </c>
      <c r="Z2" s="7">
        <v>36353.800000000003</v>
      </c>
      <c r="AA2" s="7">
        <v>0</v>
      </c>
      <c r="AB2" s="7">
        <v>0</v>
      </c>
      <c r="AC2" s="6">
        <v>46211</v>
      </c>
      <c r="AD2" s="7">
        <v>36353.800000000003</v>
      </c>
      <c r="AE2" s="4">
        <v>43</v>
      </c>
      <c r="AF2" s="5" t="s">
        <v>149</v>
      </c>
      <c r="AG2" s="5" t="s">
        <v>336</v>
      </c>
      <c r="AH2" s="5"/>
      <c r="AI2" s="5"/>
      <c r="AJ2" s="4"/>
      <c r="AK2" s="5" t="s">
        <v>337</v>
      </c>
      <c r="AL2" s="5" t="s">
        <v>338</v>
      </c>
      <c r="AM2" s="6">
        <v>46205</v>
      </c>
      <c r="AN2" s="5" t="s">
        <v>339</v>
      </c>
      <c r="AO2" s="5" t="s">
        <v>340</v>
      </c>
    </row>
    <row r="3" spans="1:41" x14ac:dyDescent="0.25">
      <c r="A3" s="2" t="s">
        <v>41</v>
      </c>
      <c r="B3" s="2" t="s">
        <v>341</v>
      </c>
      <c r="C3" s="3">
        <v>46212</v>
      </c>
      <c r="D3" s="4">
        <v>562162337</v>
      </c>
      <c r="E3" s="5" t="s">
        <v>342</v>
      </c>
      <c r="F3" s="6">
        <v>46174</v>
      </c>
      <c r="G3" s="5" t="s">
        <v>130</v>
      </c>
      <c r="H3" s="5" t="s">
        <v>130</v>
      </c>
      <c r="I3" s="5" t="s">
        <v>45</v>
      </c>
      <c r="J3" s="5" t="s">
        <v>343</v>
      </c>
      <c r="K3" s="3">
        <v>46272</v>
      </c>
      <c r="L3" s="11">
        <f ca="1">IF($O3="","",$O3-TODAY())</f>
        <v>-19</v>
      </c>
      <c r="M3" s="11">
        <f ca="1">IF($C3="","",$C3+180-TODAY())</f>
        <v>109</v>
      </c>
      <c r="N3" s="11">
        <f ca="1">IF($C3="","",$C3+365-TODAY())</f>
        <v>294</v>
      </c>
      <c r="O3" s="6">
        <v>46264</v>
      </c>
      <c r="P3" s="5" t="s">
        <v>47</v>
      </c>
      <c r="Q3" s="5" t="s">
        <v>131</v>
      </c>
      <c r="R3" s="5" t="s">
        <v>49</v>
      </c>
      <c r="S3" s="5" t="s">
        <v>50</v>
      </c>
      <c r="T3" s="5" t="s">
        <v>51</v>
      </c>
      <c r="U3" s="5" t="s">
        <v>50</v>
      </c>
      <c r="V3" s="5" t="s">
        <v>334</v>
      </c>
      <c r="W3" s="5"/>
      <c r="X3" s="5"/>
      <c r="Y3" s="5" t="s">
        <v>335</v>
      </c>
      <c r="Z3" s="7">
        <v>5916.4</v>
      </c>
      <c r="AA3" s="7">
        <v>0</v>
      </c>
      <c r="AB3" s="7">
        <v>0</v>
      </c>
      <c r="AC3" s="6">
        <v>46212</v>
      </c>
      <c r="AD3" s="7">
        <v>5916.4</v>
      </c>
      <c r="AE3" s="4">
        <v>68</v>
      </c>
      <c r="AF3" s="5" t="s">
        <v>149</v>
      </c>
      <c r="AG3" s="5"/>
      <c r="AH3" s="5"/>
      <c r="AI3" s="5"/>
      <c r="AJ3" s="4"/>
      <c r="AK3" s="5" t="s">
        <v>344</v>
      </c>
      <c r="AL3" s="5" t="s">
        <v>72</v>
      </c>
      <c r="AM3" s="6">
        <v>46185</v>
      </c>
      <c r="AN3" s="5" t="s">
        <v>339</v>
      </c>
      <c r="AO3" s="5" t="s">
        <v>345</v>
      </c>
    </row>
    <row r="4" spans="1:41" x14ac:dyDescent="0.25">
      <c r="A4" s="2" t="s">
        <v>41</v>
      </c>
      <c r="B4" s="13" t="s">
        <v>346</v>
      </c>
      <c r="C4" s="3">
        <v>46224</v>
      </c>
      <c r="D4" s="4">
        <v>563985783</v>
      </c>
      <c r="E4" s="5" t="s">
        <v>347</v>
      </c>
      <c r="F4" s="6">
        <v>46174</v>
      </c>
      <c r="G4" s="5" t="s">
        <v>81</v>
      </c>
      <c r="H4" s="5" t="s">
        <v>81</v>
      </c>
      <c r="I4" s="5" t="s">
        <v>45</v>
      </c>
      <c r="J4" s="5" t="s">
        <v>343</v>
      </c>
      <c r="K4" s="3">
        <v>46276</v>
      </c>
      <c r="L4" s="11">
        <f ca="1">IF($O4="","",$O4-TODAY())</f>
        <v>-19</v>
      </c>
      <c r="M4" s="11">
        <f ca="1">IF($C4="","",$C4+365-TODAY())</f>
        <v>306</v>
      </c>
      <c r="N4" s="11">
        <f ca="1">IF($C4="","",$C4+365-TODAY())</f>
        <v>306</v>
      </c>
      <c r="O4" s="6">
        <v>46264</v>
      </c>
      <c r="P4" s="5" t="s">
        <v>47</v>
      </c>
      <c r="Q4" s="5" t="s">
        <v>83</v>
      </c>
      <c r="R4" s="5" t="s">
        <v>51</v>
      </c>
      <c r="S4" s="5" t="s">
        <v>50</v>
      </c>
      <c r="T4" s="5" t="s">
        <v>51</v>
      </c>
      <c r="U4" s="5" t="s">
        <v>50</v>
      </c>
      <c r="V4" s="5" t="s">
        <v>334</v>
      </c>
      <c r="W4" s="5"/>
      <c r="X4" s="5"/>
      <c r="Y4" s="5" t="s">
        <v>335</v>
      </c>
      <c r="Z4" s="7">
        <v>5916.4</v>
      </c>
      <c r="AA4" s="7">
        <v>0</v>
      </c>
      <c r="AB4" s="7">
        <v>0</v>
      </c>
      <c r="AC4" s="6">
        <v>46224</v>
      </c>
      <c r="AD4" s="7">
        <v>5916.4</v>
      </c>
      <c r="AE4" s="4">
        <v>68</v>
      </c>
      <c r="AF4" s="5" t="s">
        <v>149</v>
      </c>
      <c r="AG4" s="5" t="s">
        <v>348</v>
      </c>
      <c r="AH4" s="5"/>
      <c r="AI4" s="5"/>
      <c r="AJ4" s="4"/>
      <c r="AK4" s="5" t="s">
        <v>349</v>
      </c>
      <c r="AL4" s="5" t="s">
        <v>338</v>
      </c>
      <c r="AM4" s="6">
        <v>46185</v>
      </c>
      <c r="AN4" s="5" t="s">
        <v>339</v>
      </c>
      <c r="AO4" s="5" t="s">
        <v>350</v>
      </c>
    </row>
    <row r="5" spans="1:41" x14ac:dyDescent="0.25">
      <c r="A5" s="2" t="s">
        <v>41</v>
      </c>
      <c r="B5" s="13" t="s">
        <v>351</v>
      </c>
      <c r="C5" s="3">
        <v>46212</v>
      </c>
      <c r="D5" s="4">
        <v>562140119</v>
      </c>
      <c r="E5" s="5" t="s">
        <v>352</v>
      </c>
      <c r="F5" s="6">
        <v>46175</v>
      </c>
      <c r="G5" s="5" t="s">
        <v>81</v>
      </c>
      <c r="H5" s="5" t="s">
        <v>81</v>
      </c>
      <c r="I5" s="5" t="s">
        <v>45</v>
      </c>
      <c r="J5" s="5" t="s">
        <v>353</v>
      </c>
      <c r="K5" s="3">
        <v>46272</v>
      </c>
      <c r="L5" s="11">
        <f ca="1">IF($O5="","",$O5-TODAY())</f>
        <v>-18</v>
      </c>
      <c r="M5" s="11">
        <f ca="1">IF($C5="","",$C5+365-TODAY())</f>
        <v>294</v>
      </c>
      <c r="N5" s="11">
        <f ca="1">IF($C5="","",$C5+365-TODAY())</f>
        <v>294</v>
      </c>
      <c r="O5" s="6">
        <v>46265</v>
      </c>
      <c r="P5" s="5" t="s">
        <v>47</v>
      </c>
      <c r="Q5" s="5" t="s">
        <v>83</v>
      </c>
      <c r="R5" s="5" t="s">
        <v>51</v>
      </c>
      <c r="S5" s="5" t="s">
        <v>50</v>
      </c>
      <c r="T5" s="5" t="s">
        <v>51</v>
      </c>
      <c r="U5" s="5" t="s">
        <v>50</v>
      </c>
      <c r="V5" s="5" t="s">
        <v>354</v>
      </c>
      <c r="W5" s="5"/>
      <c r="X5" s="5"/>
      <c r="Y5" s="5" t="s">
        <v>355</v>
      </c>
      <c r="Z5" s="7">
        <v>11832.8</v>
      </c>
      <c r="AA5" s="7">
        <v>0</v>
      </c>
      <c r="AB5" s="7">
        <v>0</v>
      </c>
      <c r="AC5" s="6">
        <v>46212</v>
      </c>
      <c r="AD5" s="7">
        <v>11832.8</v>
      </c>
      <c r="AE5" s="4">
        <v>67</v>
      </c>
      <c r="AF5" s="5" t="s">
        <v>149</v>
      </c>
      <c r="AG5" s="5" t="s">
        <v>356</v>
      </c>
      <c r="AH5" s="5"/>
      <c r="AI5" s="5"/>
      <c r="AJ5" s="4"/>
      <c r="AK5" s="5" t="s">
        <v>144</v>
      </c>
      <c r="AL5" s="5" t="s">
        <v>63</v>
      </c>
      <c r="AM5" s="6">
        <v>46185</v>
      </c>
      <c r="AN5" s="5" t="s">
        <v>339</v>
      </c>
      <c r="AO5" s="5" t="s">
        <v>357</v>
      </c>
    </row>
    <row r="6" spans="1:41" x14ac:dyDescent="0.25">
      <c r="A6" s="2" t="s">
        <v>945</v>
      </c>
      <c r="B6" s="13" t="s">
        <v>948</v>
      </c>
      <c r="C6" s="3"/>
      <c r="D6" s="4">
        <v>564662813</v>
      </c>
      <c r="E6" s="5" t="s">
        <v>359</v>
      </c>
      <c r="F6" s="6">
        <v>46178</v>
      </c>
      <c r="G6" s="5" t="s">
        <v>360</v>
      </c>
      <c r="H6" s="5" t="s">
        <v>360</v>
      </c>
      <c r="I6" s="5" t="s">
        <v>45</v>
      </c>
      <c r="J6" s="5" t="s">
        <v>343</v>
      </c>
      <c r="K6" s="3"/>
      <c r="L6" s="11">
        <f ca="1">IF($O6="","",$O6-TODAY())</f>
        <v>-15</v>
      </c>
      <c r="M6" s="11">
        <f ca="1">IF($F6="","",$F6+90-TODAY())</f>
        <v>-15</v>
      </c>
      <c r="N6" s="11" t="str">
        <f ca="1">IF($C6="","",$C6+180-TODAY())</f>
        <v/>
      </c>
      <c r="O6" s="6">
        <v>46268</v>
      </c>
      <c r="P6" s="5" t="s">
        <v>47</v>
      </c>
      <c r="Q6" s="5" t="s">
        <v>361</v>
      </c>
      <c r="R6" s="5" t="s">
        <v>47</v>
      </c>
      <c r="S6" s="5" t="s">
        <v>189</v>
      </c>
      <c r="T6" s="5" t="s">
        <v>49</v>
      </c>
      <c r="U6" s="5" t="s">
        <v>50</v>
      </c>
      <c r="V6" s="5" t="s">
        <v>334</v>
      </c>
      <c r="W6" s="5"/>
      <c r="X6" s="5"/>
      <c r="Y6" s="5" t="s">
        <v>335</v>
      </c>
      <c r="Z6" s="7">
        <v>5916.4</v>
      </c>
      <c r="AA6" s="7">
        <v>0</v>
      </c>
      <c r="AB6" s="7">
        <v>0</v>
      </c>
      <c r="AC6" s="6"/>
      <c r="AD6" s="7">
        <v>5916.4</v>
      </c>
      <c r="AE6" s="4">
        <v>64</v>
      </c>
      <c r="AF6" s="5" t="s">
        <v>149</v>
      </c>
      <c r="AG6" s="5" t="s">
        <v>336</v>
      </c>
      <c r="AH6" s="5"/>
      <c r="AI6" s="5"/>
      <c r="AJ6" s="4"/>
      <c r="AK6" s="5" t="s">
        <v>337</v>
      </c>
      <c r="AL6" s="5" t="s">
        <v>338</v>
      </c>
      <c r="AM6" s="6">
        <v>46211</v>
      </c>
      <c r="AN6" s="5" t="s">
        <v>339</v>
      </c>
      <c r="AO6" s="5" t="s">
        <v>362</v>
      </c>
    </row>
    <row r="7" spans="1:41" x14ac:dyDescent="0.25">
      <c r="A7" s="2"/>
      <c r="B7" s="2"/>
      <c r="C7" s="3"/>
      <c r="D7" s="4">
        <v>562623275</v>
      </c>
      <c r="E7" s="5" t="s">
        <v>915</v>
      </c>
      <c r="F7" s="6">
        <v>46181</v>
      </c>
      <c r="G7" s="5" t="s">
        <v>136</v>
      </c>
      <c r="H7" s="5" t="s">
        <v>136</v>
      </c>
      <c r="I7" s="5" t="s">
        <v>45</v>
      </c>
      <c r="J7" s="5" t="s">
        <v>435</v>
      </c>
      <c r="K7" s="3"/>
      <c r="L7" s="11">
        <f ca="1">IF($O7="","",$O7-TODAY())</f>
        <v>-12</v>
      </c>
      <c r="M7" s="11">
        <f ca="1">IF($F7="","",$F7+90-TODAY())</f>
        <v>-12</v>
      </c>
      <c r="N7" s="11" t="str">
        <f ca="1">IF($C7="","",$C7+365-TODAY())</f>
        <v/>
      </c>
      <c r="O7" s="6">
        <v>46271</v>
      </c>
      <c r="P7" s="5" t="s">
        <v>47</v>
      </c>
      <c r="Q7" s="5" t="s">
        <v>137</v>
      </c>
      <c r="R7" s="5" t="s">
        <v>47</v>
      </c>
      <c r="S7" s="5" t="s">
        <v>189</v>
      </c>
      <c r="T7" s="5" t="s">
        <v>51</v>
      </c>
      <c r="U7" s="5" t="s">
        <v>50</v>
      </c>
      <c r="V7" s="5" t="s">
        <v>354</v>
      </c>
      <c r="W7" s="5"/>
      <c r="X7" s="5"/>
      <c r="Y7" s="5" t="s">
        <v>335</v>
      </c>
      <c r="Z7" s="7">
        <v>36353.8</v>
      </c>
      <c r="AA7" s="7">
        <v>0</v>
      </c>
      <c r="AB7" s="7">
        <v>0</v>
      </c>
      <c r="AC7" s="6"/>
      <c r="AD7" s="7">
        <v>36353.8</v>
      </c>
      <c r="AE7" s="4">
        <v>61</v>
      </c>
      <c r="AF7" s="5" t="s">
        <v>149</v>
      </c>
      <c r="AG7" s="5"/>
      <c r="AH7" s="5"/>
      <c r="AI7" s="5"/>
      <c r="AJ7" s="4"/>
      <c r="AK7" s="5" t="s">
        <v>344</v>
      </c>
      <c r="AL7" s="5" t="s">
        <v>72</v>
      </c>
      <c r="AM7" s="6">
        <v>46274</v>
      </c>
      <c r="AN7" s="5" t="s">
        <v>339</v>
      </c>
      <c r="AO7" s="5"/>
    </row>
    <row r="8" spans="1:41" x14ac:dyDescent="0.25">
      <c r="A8" s="2" t="s">
        <v>78</v>
      </c>
      <c r="B8" s="13" t="s">
        <v>363</v>
      </c>
      <c r="C8" s="3">
        <v>46239</v>
      </c>
      <c r="D8" s="4">
        <v>562698907</v>
      </c>
      <c r="E8" s="5" t="s">
        <v>364</v>
      </c>
      <c r="F8" s="6">
        <v>46182</v>
      </c>
      <c r="G8" s="5" t="s">
        <v>44</v>
      </c>
      <c r="H8" s="5" t="s">
        <v>44</v>
      </c>
      <c r="I8" s="5" t="s">
        <v>45</v>
      </c>
      <c r="J8" s="5" t="s">
        <v>365</v>
      </c>
      <c r="K8" s="3">
        <v>46270</v>
      </c>
      <c r="L8" s="11">
        <f ca="1">IF($O8="","",$O8-TODAY())</f>
        <v>-11</v>
      </c>
      <c r="M8" s="11">
        <f ca="1">IF($C8="","",$C8+180-TODAY())</f>
        <v>136</v>
      </c>
      <c r="N8" s="11">
        <f ca="1">IF($C8="","",$C8+365-TODAY())</f>
        <v>321</v>
      </c>
      <c r="O8" s="6">
        <v>46272</v>
      </c>
      <c r="P8" s="5" t="s">
        <v>47</v>
      </c>
      <c r="Q8" s="5" t="s">
        <v>48</v>
      </c>
      <c r="R8" s="5" t="s">
        <v>49</v>
      </c>
      <c r="S8" s="5" t="s">
        <v>50</v>
      </c>
      <c r="T8" s="5" t="s">
        <v>51</v>
      </c>
      <c r="U8" s="5" t="s">
        <v>50</v>
      </c>
      <c r="V8" s="5" t="s">
        <v>366</v>
      </c>
      <c r="W8" s="5"/>
      <c r="X8" s="5"/>
      <c r="Y8" s="5" t="s">
        <v>52</v>
      </c>
      <c r="Z8" s="7">
        <v>6392.96</v>
      </c>
      <c r="AA8" s="7">
        <v>0</v>
      </c>
      <c r="AB8" s="7">
        <v>0</v>
      </c>
      <c r="AC8" s="6">
        <v>46202</v>
      </c>
      <c r="AD8" s="7">
        <v>6392.96</v>
      </c>
      <c r="AE8" s="4">
        <v>60</v>
      </c>
      <c r="AF8" s="5" t="s">
        <v>367</v>
      </c>
      <c r="AG8" s="5" t="s">
        <v>368</v>
      </c>
      <c r="AH8" s="5"/>
      <c r="AI8" s="5"/>
      <c r="AJ8" s="4"/>
      <c r="AK8" s="5" t="s">
        <v>369</v>
      </c>
      <c r="AL8" s="5" t="s">
        <v>72</v>
      </c>
      <c r="AM8" s="6">
        <v>46191</v>
      </c>
      <c r="AN8" s="5" t="s">
        <v>339</v>
      </c>
      <c r="AO8" s="5" t="s">
        <v>370</v>
      </c>
    </row>
    <row r="9" spans="1:41" x14ac:dyDescent="0.25">
      <c r="A9" s="2" t="s">
        <v>945</v>
      </c>
      <c r="B9" s="13" t="s">
        <v>949</v>
      </c>
      <c r="C9" s="3">
        <v>46204</v>
      </c>
      <c r="D9" s="4">
        <v>562572005</v>
      </c>
      <c r="E9" s="5" t="s">
        <v>372</v>
      </c>
      <c r="F9" s="6">
        <v>46185</v>
      </c>
      <c r="G9" s="5" t="s">
        <v>136</v>
      </c>
      <c r="H9" s="5" t="s">
        <v>136</v>
      </c>
      <c r="I9" s="5" t="s">
        <v>45</v>
      </c>
      <c r="J9" s="5" t="s">
        <v>343</v>
      </c>
      <c r="K9" s="3"/>
      <c r="L9" s="11">
        <f ca="1">IF($O9="","",$O9-TODAY())</f>
        <v>-8</v>
      </c>
      <c r="M9" s="11">
        <f ca="1">IF($F9="","",$F9+90-TODAY())</f>
        <v>-8</v>
      </c>
      <c r="N9" s="11">
        <f ca="1">IF($C9="","",$C9+365-TODAY())</f>
        <v>286</v>
      </c>
      <c r="O9" s="6">
        <v>46275</v>
      </c>
      <c r="P9" s="5" t="s">
        <v>47</v>
      </c>
      <c r="Q9" s="5" t="s">
        <v>137</v>
      </c>
      <c r="R9" s="5" t="s">
        <v>47</v>
      </c>
      <c r="S9" s="5" t="s">
        <v>189</v>
      </c>
      <c r="T9" s="5" t="s">
        <v>51</v>
      </c>
      <c r="U9" s="5" t="s">
        <v>50</v>
      </c>
      <c r="V9" s="5" t="s">
        <v>334</v>
      </c>
      <c r="W9" s="5"/>
      <c r="X9" s="5"/>
      <c r="Y9" s="5" t="s">
        <v>335</v>
      </c>
      <c r="Z9" s="7">
        <v>5916.4</v>
      </c>
      <c r="AA9" s="7">
        <v>0</v>
      </c>
      <c r="AB9" s="7">
        <v>0</v>
      </c>
      <c r="AC9" s="6">
        <v>46204</v>
      </c>
      <c r="AD9" s="7">
        <v>5916.4</v>
      </c>
      <c r="AE9" s="4">
        <v>57</v>
      </c>
      <c r="AF9" s="5" t="s">
        <v>149</v>
      </c>
      <c r="AG9" s="5"/>
      <c r="AH9" s="5"/>
      <c r="AI9" s="5"/>
      <c r="AJ9" s="4"/>
      <c r="AK9" s="5" t="s">
        <v>373</v>
      </c>
      <c r="AL9" s="5" t="s">
        <v>374</v>
      </c>
      <c r="AM9" s="6">
        <v>46190</v>
      </c>
      <c r="AN9" s="5" t="s">
        <v>339</v>
      </c>
      <c r="AO9" s="5" t="s">
        <v>375</v>
      </c>
    </row>
    <row r="10" spans="1:41" x14ac:dyDescent="0.25">
      <c r="A10" s="2" t="s">
        <v>41</v>
      </c>
      <c r="B10" s="13" t="s">
        <v>376</v>
      </c>
      <c r="C10" s="3">
        <v>46202</v>
      </c>
      <c r="D10" s="4">
        <v>562729752</v>
      </c>
      <c r="E10" s="5" t="s">
        <v>377</v>
      </c>
      <c r="F10" s="6">
        <v>46189</v>
      </c>
      <c r="G10" s="5" t="s">
        <v>44</v>
      </c>
      <c r="H10" s="5" t="s">
        <v>44</v>
      </c>
      <c r="I10" s="5" t="s">
        <v>45</v>
      </c>
      <c r="J10" s="5" t="s">
        <v>378</v>
      </c>
      <c r="K10" s="3">
        <v>46272</v>
      </c>
      <c r="L10" s="11">
        <f ca="1">IF($O10="","",$O10-TODAY())</f>
        <v>-4</v>
      </c>
      <c r="M10" s="11">
        <f ca="1">IF($C10="","",$C10+180-TODAY())</f>
        <v>99</v>
      </c>
      <c r="N10" s="11">
        <f ca="1">IF($C10="","",$C10+365-TODAY())</f>
        <v>284</v>
      </c>
      <c r="O10" s="6">
        <v>46279</v>
      </c>
      <c r="P10" s="5" t="s">
        <v>47</v>
      </c>
      <c r="Q10" s="5" t="s">
        <v>48</v>
      </c>
      <c r="R10" s="5" t="s">
        <v>49</v>
      </c>
      <c r="S10" s="5" t="s">
        <v>50</v>
      </c>
      <c r="T10" s="5" t="s">
        <v>51</v>
      </c>
      <c r="U10" s="5" t="s">
        <v>50</v>
      </c>
      <c r="V10" s="5" t="s">
        <v>334</v>
      </c>
      <c r="W10" s="5"/>
      <c r="X10" s="5"/>
      <c r="Y10" s="5" t="s">
        <v>379</v>
      </c>
      <c r="Z10" s="7">
        <v>2958.2</v>
      </c>
      <c r="AA10" s="7">
        <v>0</v>
      </c>
      <c r="AB10" s="7">
        <v>0</v>
      </c>
      <c r="AC10" s="6">
        <v>46202</v>
      </c>
      <c r="AD10" s="7">
        <v>2958.2</v>
      </c>
      <c r="AE10" s="4">
        <v>53</v>
      </c>
      <c r="AF10" s="5" t="s">
        <v>149</v>
      </c>
      <c r="AG10" s="5"/>
      <c r="AH10" s="5"/>
      <c r="AI10" s="5"/>
      <c r="AJ10" s="4"/>
      <c r="AK10" s="5" t="s">
        <v>369</v>
      </c>
      <c r="AL10" s="5" t="s">
        <v>72</v>
      </c>
      <c r="AM10" s="6">
        <v>46191</v>
      </c>
      <c r="AN10" s="5" t="s">
        <v>339</v>
      </c>
      <c r="AO10" s="5" t="s">
        <v>380</v>
      </c>
    </row>
    <row r="11" spans="1:41" x14ac:dyDescent="0.25">
      <c r="A11" s="2" t="s">
        <v>945</v>
      </c>
      <c r="B11" s="13" t="s">
        <v>950</v>
      </c>
      <c r="C11" s="3">
        <v>46225</v>
      </c>
      <c r="D11" s="4">
        <v>562710031</v>
      </c>
      <c r="E11" s="5" t="s">
        <v>382</v>
      </c>
      <c r="F11" s="6">
        <v>46190</v>
      </c>
      <c r="G11" s="5" t="s">
        <v>360</v>
      </c>
      <c r="H11" s="5" t="s">
        <v>360</v>
      </c>
      <c r="I11" s="5" t="s">
        <v>45</v>
      </c>
      <c r="J11" s="5" t="s">
        <v>383</v>
      </c>
      <c r="K11" s="3"/>
      <c r="L11" s="11">
        <f ca="1">IF($O11="","",$O11-TODAY())</f>
        <v>-3</v>
      </c>
      <c r="M11" s="11">
        <f ca="1">IF($F11="","",$F11+90-TODAY())</f>
        <v>-3</v>
      </c>
      <c r="N11" s="11">
        <f ca="1">IF($C11="","",$C11+180-TODAY())</f>
        <v>122</v>
      </c>
      <c r="O11" s="6">
        <v>46280</v>
      </c>
      <c r="P11" s="5" t="s">
        <v>47</v>
      </c>
      <c r="Q11" s="5" t="s">
        <v>361</v>
      </c>
      <c r="R11" s="5" t="s">
        <v>47</v>
      </c>
      <c r="S11" s="5" t="s">
        <v>189</v>
      </c>
      <c r="T11" s="5" t="s">
        <v>49</v>
      </c>
      <c r="U11" s="5" t="s">
        <v>50</v>
      </c>
      <c r="V11" s="5" t="s">
        <v>384</v>
      </c>
      <c r="W11" s="5"/>
      <c r="X11" s="5"/>
      <c r="Y11" s="5" t="s">
        <v>52</v>
      </c>
      <c r="Z11" s="7">
        <v>5492.55</v>
      </c>
      <c r="AA11" s="7">
        <v>0</v>
      </c>
      <c r="AB11" s="7">
        <v>0</v>
      </c>
      <c r="AC11" s="6">
        <v>46225</v>
      </c>
      <c r="AD11" s="7">
        <v>5492.55</v>
      </c>
      <c r="AE11" s="4">
        <v>52</v>
      </c>
      <c r="AF11" s="5" t="s">
        <v>348</v>
      </c>
      <c r="AG11" s="5" t="s">
        <v>368</v>
      </c>
      <c r="AH11" s="5"/>
      <c r="AI11" s="5"/>
      <c r="AJ11" s="4"/>
      <c r="AK11" s="5" t="s">
        <v>337</v>
      </c>
      <c r="AL11" s="5" t="s">
        <v>338</v>
      </c>
      <c r="AM11" s="6">
        <v>46191</v>
      </c>
      <c r="AN11" s="5" t="s">
        <v>339</v>
      </c>
      <c r="AO11" s="5" t="s">
        <v>385</v>
      </c>
    </row>
    <row r="12" spans="1:41" x14ac:dyDescent="0.25">
      <c r="A12" s="2" t="s">
        <v>41</v>
      </c>
      <c r="B12" s="13" t="s">
        <v>912</v>
      </c>
      <c r="C12" s="3">
        <v>46203</v>
      </c>
      <c r="D12" s="4">
        <v>571030818</v>
      </c>
      <c r="E12" s="5" t="s">
        <v>387</v>
      </c>
      <c r="F12" s="6">
        <v>46191</v>
      </c>
      <c r="G12" s="5" t="s">
        <v>136</v>
      </c>
      <c r="H12" s="5" t="s">
        <v>136</v>
      </c>
      <c r="I12" s="5" t="s">
        <v>136</v>
      </c>
      <c r="J12" s="5" t="s">
        <v>378</v>
      </c>
      <c r="K12" s="3">
        <v>46282</v>
      </c>
      <c r="L12" s="11">
        <f ca="1">IF($O12="","",$O12-TODAY())</f>
        <v>-2</v>
      </c>
      <c r="M12" s="11">
        <f ca="1">IF($F12="","",$F12+90-TODAY())</f>
        <v>-2</v>
      </c>
      <c r="N12" s="11">
        <f ca="1">IF($C12="","",$C12+365-TODAY())</f>
        <v>285</v>
      </c>
      <c r="O12" s="6">
        <v>46281</v>
      </c>
      <c r="P12" s="5" t="s">
        <v>47</v>
      </c>
      <c r="Q12" s="5" t="s">
        <v>137</v>
      </c>
      <c r="R12" s="5" t="s">
        <v>47</v>
      </c>
      <c r="S12" s="5" t="s">
        <v>189</v>
      </c>
      <c r="T12" s="5" t="s">
        <v>51</v>
      </c>
      <c r="U12" s="5" t="s">
        <v>50</v>
      </c>
      <c r="V12" s="5" t="s">
        <v>334</v>
      </c>
      <c r="W12" s="5"/>
      <c r="X12" s="5"/>
      <c r="Y12" s="5" t="s">
        <v>379</v>
      </c>
      <c r="Z12" s="7">
        <v>2958.2</v>
      </c>
      <c r="AA12" s="7">
        <v>0</v>
      </c>
      <c r="AB12" s="7">
        <v>0</v>
      </c>
      <c r="AC12" s="6"/>
      <c r="AD12" s="7">
        <v>2958.2</v>
      </c>
      <c r="AE12" s="4">
        <v>51</v>
      </c>
      <c r="AF12" s="5" t="s">
        <v>149</v>
      </c>
      <c r="AG12" s="5"/>
      <c r="AH12" s="5"/>
      <c r="AI12" s="5"/>
      <c r="AJ12" s="4"/>
      <c r="AK12" s="5" t="s">
        <v>369</v>
      </c>
      <c r="AL12" s="5" t="s">
        <v>72</v>
      </c>
      <c r="AM12" s="6">
        <v>46196</v>
      </c>
      <c r="AN12" s="5" t="s">
        <v>339</v>
      </c>
      <c r="AO12" s="5" t="s">
        <v>388</v>
      </c>
    </row>
    <row r="13" spans="1:41" x14ac:dyDescent="0.25">
      <c r="A13" s="2" t="s">
        <v>78</v>
      </c>
      <c r="B13" s="13" t="s">
        <v>389</v>
      </c>
      <c r="C13" s="3">
        <v>46217</v>
      </c>
      <c r="D13" s="4">
        <v>563172458</v>
      </c>
      <c r="E13" s="5" t="s">
        <v>390</v>
      </c>
      <c r="F13" s="6">
        <v>46191</v>
      </c>
      <c r="G13" s="5" t="s">
        <v>130</v>
      </c>
      <c r="H13" s="5" t="s">
        <v>130</v>
      </c>
      <c r="I13" s="5" t="s">
        <v>45</v>
      </c>
      <c r="J13" s="5" t="s">
        <v>391</v>
      </c>
      <c r="K13" s="3">
        <v>46262</v>
      </c>
      <c r="L13" s="11">
        <f ca="1">IF($O13="","",$O13-TODAY())</f>
        <v>-2</v>
      </c>
      <c r="M13" s="11">
        <f ca="1">IF($C13="","",$C13+180-TODAY())</f>
        <v>114</v>
      </c>
      <c r="N13" s="11">
        <f ca="1">IF($C13="","",$C13+365-TODAY())</f>
        <v>299</v>
      </c>
      <c r="O13" s="6">
        <v>46281</v>
      </c>
      <c r="P13" s="5" t="s">
        <v>47</v>
      </c>
      <c r="Q13" s="5" t="s">
        <v>131</v>
      </c>
      <c r="R13" s="5" t="s">
        <v>49</v>
      </c>
      <c r="S13" s="5" t="s">
        <v>50</v>
      </c>
      <c r="T13" s="5" t="s">
        <v>51</v>
      </c>
      <c r="U13" s="5" t="s">
        <v>50</v>
      </c>
      <c r="V13" s="5" t="s">
        <v>334</v>
      </c>
      <c r="W13" s="5"/>
      <c r="X13" s="5"/>
      <c r="Y13" s="5" t="s">
        <v>379</v>
      </c>
      <c r="Z13" s="7">
        <v>2958.2</v>
      </c>
      <c r="AA13" s="7">
        <v>0</v>
      </c>
      <c r="AB13" s="7">
        <v>0</v>
      </c>
      <c r="AC13" s="6"/>
      <c r="AD13" s="7">
        <v>2958.2</v>
      </c>
      <c r="AE13" s="4">
        <v>51</v>
      </c>
      <c r="AF13" s="5" t="s">
        <v>149</v>
      </c>
      <c r="AG13" s="5"/>
      <c r="AH13" s="5"/>
      <c r="AI13" s="5"/>
      <c r="AJ13" s="4"/>
      <c r="AK13" s="5" t="s">
        <v>369</v>
      </c>
      <c r="AL13" s="5" t="s">
        <v>72</v>
      </c>
      <c r="AM13" s="6">
        <v>46196</v>
      </c>
      <c r="AN13" s="5" t="s">
        <v>339</v>
      </c>
      <c r="AO13" s="5" t="s">
        <v>392</v>
      </c>
    </row>
    <row r="14" spans="1:41" x14ac:dyDescent="0.25">
      <c r="A14" s="2" t="s">
        <v>41</v>
      </c>
      <c r="B14" s="13" t="s">
        <v>891</v>
      </c>
      <c r="C14" s="3">
        <v>46204</v>
      </c>
      <c r="D14" s="4">
        <v>563159449</v>
      </c>
      <c r="E14" s="5" t="s">
        <v>396</v>
      </c>
      <c r="F14" s="6">
        <v>46195</v>
      </c>
      <c r="G14" s="5" t="s">
        <v>130</v>
      </c>
      <c r="H14" s="5" t="s">
        <v>130</v>
      </c>
      <c r="I14" s="5" t="s">
        <v>45</v>
      </c>
      <c r="J14" s="5" t="s">
        <v>343</v>
      </c>
      <c r="K14" s="3">
        <v>46282</v>
      </c>
      <c r="L14" s="11">
        <f ca="1">IF($O14="","",$O14-TODAY())</f>
        <v>2</v>
      </c>
      <c r="M14" s="11">
        <f ca="1">IF($C14="","",$C14+180-TODAY())</f>
        <v>101</v>
      </c>
      <c r="N14" s="11">
        <f ca="1">IF($C14="","",$C14+365-TODAY())</f>
        <v>286</v>
      </c>
      <c r="O14" s="6">
        <v>46285</v>
      </c>
      <c r="P14" s="5" t="s">
        <v>47</v>
      </c>
      <c r="Q14" s="5" t="s">
        <v>131</v>
      </c>
      <c r="R14" s="5" t="s">
        <v>49</v>
      </c>
      <c r="S14" s="5" t="s">
        <v>50</v>
      </c>
      <c r="T14" s="5" t="s">
        <v>51</v>
      </c>
      <c r="U14" s="5" t="s">
        <v>50</v>
      </c>
      <c r="V14" s="5" t="s">
        <v>334</v>
      </c>
      <c r="W14" s="5"/>
      <c r="X14" s="5"/>
      <c r="Y14" s="5" t="s">
        <v>335</v>
      </c>
      <c r="Z14" s="7">
        <v>5916.4</v>
      </c>
      <c r="AA14" s="7">
        <v>0</v>
      </c>
      <c r="AB14" s="7">
        <v>0</v>
      </c>
      <c r="AC14" s="6"/>
      <c r="AD14" s="7">
        <v>5916.4</v>
      </c>
      <c r="AE14" s="4">
        <v>47</v>
      </c>
      <c r="AF14" s="5" t="s">
        <v>149</v>
      </c>
      <c r="AG14" s="5" t="s">
        <v>397</v>
      </c>
      <c r="AH14" s="5" t="s">
        <v>398</v>
      </c>
      <c r="AI14" s="5"/>
      <c r="AJ14" s="4"/>
      <c r="AK14" s="5" t="s">
        <v>369</v>
      </c>
      <c r="AL14" s="5" t="s">
        <v>72</v>
      </c>
      <c r="AM14" s="6">
        <v>46196</v>
      </c>
      <c r="AN14" s="5" t="s">
        <v>339</v>
      </c>
      <c r="AO14" s="5" t="s">
        <v>399</v>
      </c>
    </row>
    <row r="15" spans="1:41" x14ac:dyDescent="0.25">
      <c r="A15" s="2" t="s">
        <v>41</v>
      </c>
      <c r="B15" s="13" t="s">
        <v>892</v>
      </c>
      <c r="C15" s="3">
        <v>46222</v>
      </c>
      <c r="D15" s="4">
        <v>563166125</v>
      </c>
      <c r="E15" s="5" t="s">
        <v>405</v>
      </c>
      <c r="F15" s="6">
        <v>46195</v>
      </c>
      <c r="G15" s="14" t="s">
        <v>81</v>
      </c>
      <c r="H15" s="5" t="s">
        <v>81</v>
      </c>
      <c r="I15" s="5" t="s">
        <v>45</v>
      </c>
      <c r="J15" s="5" t="s">
        <v>343</v>
      </c>
      <c r="K15" s="3">
        <v>46282</v>
      </c>
      <c r="L15" s="11">
        <f ca="1">IF($O15="","",$O15-TODAY())</f>
        <v>2</v>
      </c>
      <c r="M15" s="11">
        <f ca="1">IF($C15="","",$C15+365-TODAY())</f>
        <v>304</v>
      </c>
      <c r="N15" s="11">
        <f ca="1">IF($C15="","",$C15+365-TODAY())</f>
        <v>304</v>
      </c>
      <c r="O15" s="6">
        <v>46285</v>
      </c>
      <c r="P15" s="5" t="s">
        <v>47</v>
      </c>
      <c r="Q15" s="5" t="s">
        <v>83</v>
      </c>
      <c r="R15" s="5" t="s">
        <v>51</v>
      </c>
      <c r="S15" s="5" t="s">
        <v>50</v>
      </c>
      <c r="T15" s="5" t="s">
        <v>51</v>
      </c>
      <c r="U15" s="5" t="s">
        <v>50</v>
      </c>
      <c r="V15" s="5" t="s">
        <v>334</v>
      </c>
      <c r="W15" s="5"/>
      <c r="X15" s="5"/>
      <c r="Y15" s="5" t="s">
        <v>335</v>
      </c>
      <c r="Z15" s="7">
        <v>5916.4</v>
      </c>
      <c r="AA15" s="7">
        <v>0</v>
      </c>
      <c r="AB15" s="7">
        <v>0</v>
      </c>
      <c r="AC15" s="6">
        <v>46222</v>
      </c>
      <c r="AD15" s="7">
        <v>5916.4</v>
      </c>
      <c r="AE15" s="4">
        <v>47</v>
      </c>
      <c r="AF15" s="5" t="s">
        <v>149</v>
      </c>
      <c r="AG15" s="5" t="s">
        <v>336</v>
      </c>
      <c r="AH15" s="5"/>
      <c r="AI15" s="5"/>
      <c r="AJ15" s="4"/>
      <c r="AK15" s="5" t="s">
        <v>55</v>
      </c>
      <c r="AL15" s="5" t="s">
        <v>56</v>
      </c>
      <c r="AM15" s="6">
        <v>46196</v>
      </c>
      <c r="AN15" s="5" t="s">
        <v>339</v>
      </c>
      <c r="AO15" s="5" t="s">
        <v>406</v>
      </c>
    </row>
    <row r="16" spans="1:41" x14ac:dyDescent="0.25">
      <c r="A16" s="2" t="s">
        <v>945</v>
      </c>
      <c r="B16" s="13" t="s">
        <v>951</v>
      </c>
      <c r="C16" s="3">
        <v>46204</v>
      </c>
      <c r="D16" s="4">
        <v>563182075</v>
      </c>
      <c r="E16" s="5" t="s">
        <v>407</v>
      </c>
      <c r="F16" s="6">
        <v>46195</v>
      </c>
      <c r="G16" s="5" t="s">
        <v>44</v>
      </c>
      <c r="H16" s="5" t="s">
        <v>44</v>
      </c>
      <c r="I16" s="5" t="s">
        <v>45</v>
      </c>
      <c r="J16" s="5" t="s">
        <v>408</v>
      </c>
      <c r="K16" s="3"/>
      <c r="L16" s="11">
        <f ca="1">IF($O16="","",$O16-TODAY())</f>
        <v>2</v>
      </c>
      <c r="M16" s="11">
        <f ca="1">IF($C16="","",$C16+180-TODAY())</f>
        <v>101</v>
      </c>
      <c r="N16" s="11">
        <f ca="1">IF($C16="","",$C16+365-TODAY())</f>
        <v>286</v>
      </c>
      <c r="O16" s="6">
        <v>46285</v>
      </c>
      <c r="P16" s="5" t="s">
        <v>47</v>
      </c>
      <c r="Q16" s="5" t="s">
        <v>48</v>
      </c>
      <c r="R16" s="5" t="s">
        <v>49</v>
      </c>
      <c r="S16" s="5" t="s">
        <v>50</v>
      </c>
      <c r="T16" s="5" t="s">
        <v>51</v>
      </c>
      <c r="U16" s="5" t="s">
        <v>50</v>
      </c>
      <c r="V16" s="5" t="s">
        <v>354</v>
      </c>
      <c r="W16" s="5"/>
      <c r="X16" s="5"/>
      <c r="Y16" s="5" t="s">
        <v>379</v>
      </c>
      <c r="Z16" s="7">
        <v>2958.2</v>
      </c>
      <c r="AA16" s="7">
        <v>0</v>
      </c>
      <c r="AB16" s="7">
        <v>0</v>
      </c>
      <c r="AC16" s="6">
        <v>46204</v>
      </c>
      <c r="AD16" s="7">
        <v>2958.2</v>
      </c>
      <c r="AE16" s="4">
        <v>47</v>
      </c>
      <c r="AF16" s="5" t="s">
        <v>367</v>
      </c>
      <c r="AG16" s="5"/>
      <c r="AH16" s="5"/>
      <c r="AI16" s="5"/>
      <c r="AJ16" s="4"/>
      <c r="AK16" s="5" t="s">
        <v>76</v>
      </c>
      <c r="AL16" s="5" t="s">
        <v>113</v>
      </c>
      <c r="AM16" s="6">
        <v>46196</v>
      </c>
      <c r="AN16" s="5" t="s">
        <v>339</v>
      </c>
      <c r="AO16" s="5" t="s">
        <v>409</v>
      </c>
    </row>
    <row r="17" spans="1:41" x14ac:dyDescent="0.25">
      <c r="A17" s="2" t="s">
        <v>41</v>
      </c>
      <c r="B17" s="13" t="s">
        <v>894</v>
      </c>
      <c r="C17" s="3">
        <v>46210</v>
      </c>
      <c r="D17" s="4">
        <v>563202959</v>
      </c>
      <c r="E17" s="5" t="s">
        <v>410</v>
      </c>
      <c r="F17" s="6">
        <v>46195</v>
      </c>
      <c r="G17" s="5" t="s">
        <v>136</v>
      </c>
      <c r="H17" s="5" t="s">
        <v>136</v>
      </c>
      <c r="I17" s="5" t="s">
        <v>45</v>
      </c>
      <c r="J17" s="5" t="s">
        <v>411</v>
      </c>
      <c r="K17" s="3">
        <v>46282</v>
      </c>
      <c r="L17" s="11">
        <f ca="1">IF($O17="","",$O17-TODAY())</f>
        <v>2</v>
      </c>
      <c r="M17" s="11">
        <f ca="1">IF($F17="","",$F17+90-TODAY())</f>
        <v>2</v>
      </c>
      <c r="N17" s="11">
        <f ca="1">IF($C17="","",$C17+365-TODAY())</f>
        <v>292</v>
      </c>
      <c r="O17" s="6">
        <v>46285</v>
      </c>
      <c r="P17" s="5" t="s">
        <v>47</v>
      </c>
      <c r="Q17" s="5" t="s">
        <v>137</v>
      </c>
      <c r="R17" s="5" t="s">
        <v>47</v>
      </c>
      <c r="S17" s="5" t="s">
        <v>189</v>
      </c>
      <c r="T17" s="5" t="s">
        <v>51</v>
      </c>
      <c r="U17" s="5" t="s">
        <v>50</v>
      </c>
      <c r="V17" s="5" t="s">
        <v>384</v>
      </c>
      <c r="W17" s="5"/>
      <c r="X17" s="5"/>
      <c r="Y17" s="5" t="s">
        <v>52</v>
      </c>
      <c r="Z17" s="7">
        <v>6392.96</v>
      </c>
      <c r="AA17" s="7">
        <v>0</v>
      </c>
      <c r="AB17" s="7">
        <v>0</v>
      </c>
      <c r="AC17" s="6">
        <v>46210</v>
      </c>
      <c r="AD17" s="7">
        <v>6392.96</v>
      </c>
      <c r="AE17" s="4">
        <v>47</v>
      </c>
      <c r="AF17" s="5" t="s">
        <v>412</v>
      </c>
      <c r="AG17" s="5"/>
      <c r="AH17" s="5"/>
      <c r="AI17" s="5"/>
      <c r="AJ17" s="4"/>
      <c r="AK17" s="5" t="s">
        <v>100</v>
      </c>
      <c r="AL17" s="5" t="s">
        <v>72</v>
      </c>
      <c r="AM17" s="6">
        <v>46196</v>
      </c>
      <c r="AN17" s="5" t="s">
        <v>339</v>
      </c>
      <c r="AO17" s="5" t="s">
        <v>413</v>
      </c>
    </row>
    <row r="18" spans="1:41" x14ac:dyDescent="0.25">
      <c r="A18" s="2"/>
      <c r="B18" s="2"/>
      <c r="C18" s="3">
        <v>46258</v>
      </c>
      <c r="D18" s="4">
        <v>563181415</v>
      </c>
      <c r="E18" s="5" t="s">
        <v>916</v>
      </c>
      <c r="F18" s="6">
        <v>46195</v>
      </c>
      <c r="G18" s="5" t="s">
        <v>136</v>
      </c>
      <c r="H18" s="5" t="s">
        <v>136</v>
      </c>
      <c r="I18" s="5" t="s">
        <v>45</v>
      </c>
      <c r="J18" s="5" t="s">
        <v>522</v>
      </c>
      <c r="K18" s="3"/>
      <c r="L18" s="11">
        <f ca="1">IF($O18="","",$O18-TODAY())</f>
        <v>2</v>
      </c>
      <c r="M18" s="11">
        <f ca="1">IF($F18="","",$F18+90-TODAY())</f>
        <v>2</v>
      </c>
      <c r="N18" s="11">
        <f ca="1">IF($C18="","",$C18+365-TODAY())</f>
        <v>340</v>
      </c>
      <c r="O18" s="6">
        <v>46285</v>
      </c>
      <c r="P18" s="5" t="s">
        <v>47</v>
      </c>
      <c r="Q18" s="5" t="s">
        <v>137</v>
      </c>
      <c r="R18" s="5" t="s">
        <v>47</v>
      </c>
      <c r="S18" s="5" t="s">
        <v>189</v>
      </c>
      <c r="T18" s="5" t="s">
        <v>51</v>
      </c>
      <c r="U18" s="5" t="s">
        <v>50</v>
      </c>
      <c r="V18" s="5" t="s">
        <v>384</v>
      </c>
      <c r="W18" s="5"/>
      <c r="X18" s="5"/>
      <c r="Y18" s="5" t="s">
        <v>52</v>
      </c>
      <c r="Z18" s="7">
        <v>9479.4</v>
      </c>
      <c r="AA18" s="7">
        <v>9024.22</v>
      </c>
      <c r="AB18" s="7">
        <v>1645.43</v>
      </c>
      <c r="AC18" s="6">
        <v>46258</v>
      </c>
      <c r="AD18" s="7">
        <v>-1645.43</v>
      </c>
      <c r="AE18" s="4">
        <v>47</v>
      </c>
      <c r="AF18" s="5" t="s">
        <v>367</v>
      </c>
      <c r="AG18" s="5" t="s">
        <v>917</v>
      </c>
      <c r="AH18" s="5" t="s">
        <v>508</v>
      </c>
      <c r="AI18" s="5"/>
      <c r="AJ18" s="4"/>
      <c r="AK18" s="5" t="s">
        <v>97</v>
      </c>
      <c r="AL18" s="5" t="s">
        <v>72</v>
      </c>
      <c r="AM18" s="6">
        <v>46196</v>
      </c>
      <c r="AN18" s="5" t="s">
        <v>339</v>
      </c>
      <c r="AO18" s="5"/>
    </row>
    <row r="19" spans="1:41" x14ac:dyDescent="0.25">
      <c r="A19" s="13" t="s">
        <v>78</v>
      </c>
      <c r="B19" s="2" t="s">
        <v>895</v>
      </c>
      <c r="C19" s="3">
        <v>46220</v>
      </c>
      <c r="D19" s="4">
        <v>564043829</v>
      </c>
      <c r="E19" s="5" t="s">
        <v>414</v>
      </c>
      <c r="F19" s="6">
        <v>46196</v>
      </c>
      <c r="G19" s="5" t="s">
        <v>81</v>
      </c>
      <c r="H19" s="5" t="s">
        <v>81</v>
      </c>
      <c r="I19" s="5" t="s">
        <v>45</v>
      </c>
      <c r="J19" s="5" t="s">
        <v>415</v>
      </c>
      <c r="K19" s="3">
        <v>46282</v>
      </c>
      <c r="L19" s="11">
        <f ca="1">IF($O19="","",$O19-TODAY())</f>
        <v>3</v>
      </c>
      <c r="M19" s="11">
        <f ca="1">IF($C19="","",$C19+365-TODAY())</f>
        <v>302</v>
      </c>
      <c r="N19" s="11">
        <f ca="1">IF($C19="","",$C19+365-TODAY())</f>
        <v>302</v>
      </c>
      <c r="O19" s="6">
        <v>46286</v>
      </c>
      <c r="P19" s="5" t="s">
        <v>47</v>
      </c>
      <c r="Q19" s="5" t="s">
        <v>83</v>
      </c>
      <c r="R19" s="5" t="s">
        <v>51</v>
      </c>
      <c r="S19" s="5" t="s">
        <v>50</v>
      </c>
      <c r="T19" s="5" t="s">
        <v>51</v>
      </c>
      <c r="U19" s="5" t="s">
        <v>50</v>
      </c>
      <c r="V19" s="5" t="s">
        <v>366</v>
      </c>
      <c r="W19" s="5"/>
      <c r="X19" s="5"/>
      <c r="Y19" s="5" t="s">
        <v>52</v>
      </c>
      <c r="Z19" s="7">
        <v>9479.4</v>
      </c>
      <c r="AA19" s="7">
        <v>0</v>
      </c>
      <c r="AB19" s="7">
        <v>0</v>
      </c>
      <c r="AC19" s="6">
        <v>46220</v>
      </c>
      <c r="AD19" s="7">
        <v>9479.4</v>
      </c>
      <c r="AE19" s="4">
        <v>46</v>
      </c>
      <c r="AF19" s="5" t="s">
        <v>336</v>
      </c>
      <c r="AG19" s="5"/>
      <c r="AH19" s="5"/>
      <c r="AI19" s="5"/>
      <c r="AJ19" s="4"/>
      <c r="AK19" s="5" t="s">
        <v>369</v>
      </c>
      <c r="AL19" s="5" t="s">
        <v>72</v>
      </c>
      <c r="AM19" s="6">
        <v>46204</v>
      </c>
      <c r="AN19" s="5" t="s">
        <v>339</v>
      </c>
      <c r="AO19" s="5" t="s">
        <v>416</v>
      </c>
    </row>
    <row r="20" spans="1:41" x14ac:dyDescent="0.25">
      <c r="A20" s="13" t="s">
        <v>945</v>
      </c>
      <c r="B20" s="13" t="s">
        <v>952</v>
      </c>
      <c r="C20" s="3">
        <v>46211</v>
      </c>
      <c r="D20" s="4">
        <v>564105695</v>
      </c>
      <c r="E20" s="5" t="s">
        <v>417</v>
      </c>
      <c r="F20" s="6">
        <v>46197</v>
      </c>
      <c r="G20" s="5" t="s">
        <v>44</v>
      </c>
      <c r="H20" s="5" t="s">
        <v>44</v>
      </c>
      <c r="I20" s="5" t="s">
        <v>75</v>
      </c>
      <c r="J20" s="5" t="s">
        <v>378</v>
      </c>
      <c r="K20" s="3"/>
      <c r="L20" s="11">
        <f ca="1">IF($O20="","",$O20-TODAY())</f>
        <v>4</v>
      </c>
      <c r="M20" s="11">
        <f ca="1">IF($C20="","",$C20+180-TODAY())</f>
        <v>108</v>
      </c>
      <c r="N20" s="11">
        <f ca="1">IF($C20="","",$C20+365-TODAY())</f>
        <v>293</v>
      </c>
      <c r="O20" s="6">
        <v>46287</v>
      </c>
      <c r="P20" s="5" t="s">
        <v>47</v>
      </c>
      <c r="Q20" s="5" t="s">
        <v>48</v>
      </c>
      <c r="R20" s="5" t="s">
        <v>49</v>
      </c>
      <c r="S20" s="5" t="s">
        <v>50</v>
      </c>
      <c r="T20" s="5" t="s">
        <v>51</v>
      </c>
      <c r="U20" s="5" t="s">
        <v>50</v>
      </c>
      <c r="V20" s="5" t="s">
        <v>334</v>
      </c>
      <c r="W20" s="5"/>
      <c r="X20" s="5"/>
      <c r="Y20" s="5" t="s">
        <v>379</v>
      </c>
      <c r="Z20" s="7">
        <v>2958.2</v>
      </c>
      <c r="AA20" s="7">
        <v>0</v>
      </c>
      <c r="AB20" s="7">
        <v>0</v>
      </c>
      <c r="AC20" s="6">
        <v>46211</v>
      </c>
      <c r="AD20" s="7">
        <v>2958.2</v>
      </c>
      <c r="AE20" s="4">
        <v>45</v>
      </c>
      <c r="AF20" s="5" t="s">
        <v>149</v>
      </c>
      <c r="AG20" s="5" t="s">
        <v>336</v>
      </c>
      <c r="AH20" s="5"/>
      <c r="AI20" s="5"/>
      <c r="AJ20" s="4"/>
      <c r="AK20" s="5" t="s">
        <v>112</v>
      </c>
      <c r="AL20" s="5" t="s">
        <v>113</v>
      </c>
      <c r="AM20" s="6">
        <v>46205</v>
      </c>
      <c r="AN20" s="5" t="s">
        <v>339</v>
      </c>
      <c r="AO20" s="5" t="s">
        <v>418</v>
      </c>
    </row>
    <row r="21" spans="1:41" x14ac:dyDescent="0.25">
      <c r="A21" s="2" t="s">
        <v>41</v>
      </c>
      <c r="B21" s="13" t="s">
        <v>894</v>
      </c>
      <c r="C21" s="3">
        <v>46243</v>
      </c>
      <c r="D21" s="4">
        <v>564106567</v>
      </c>
      <c r="E21" s="5" t="s">
        <v>419</v>
      </c>
      <c r="F21" s="6">
        <v>46198</v>
      </c>
      <c r="G21" s="5" t="s">
        <v>136</v>
      </c>
      <c r="H21" s="5" t="s">
        <v>136</v>
      </c>
      <c r="I21" s="5" t="s">
        <v>45</v>
      </c>
      <c r="J21" s="5" t="s">
        <v>378</v>
      </c>
      <c r="K21" s="3">
        <v>46243</v>
      </c>
      <c r="L21" s="11">
        <f ca="1">IF($O21="","",$O21-TODAY())</f>
        <v>5</v>
      </c>
      <c r="M21" s="11">
        <f ca="1">IF($F21="","",$F21+90-TODAY())</f>
        <v>5</v>
      </c>
      <c r="N21" s="11">
        <f ca="1">IF($C21="","",$C21+365-TODAY())</f>
        <v>325</v>
      </c>
      <c r="O21" s="6">
        <v>46288</v>
      </c>
      <c r="P21" s="5" t="s">
        <v>47</v>
      </c>
      <c r="Q21" s="5" t="s">
        <v>137</v>
      </c>
      <c r="R21" s="5" t="s">
        <v>47</v>
      </c>
      <c r="S21" s="5" t="s">
        <v>189</v>
      </c>
      <c r="T21" s="5" t="s">
        <v>51</v>
      </c>
      <c r="U21" s="5" t="s">
        <v>50</v>
      </c>
      <c r="V21" s="5" t="s">
        <v>334</v>
      </c>
      <c r="W21" s="5"/>
      <c r="X21" s="5"/>
      <c r="Y21" s="5" t="s">
        <v>379</v>
      </c>
      <c r="Z21" s="7">
        <v>2958.2</v>
      </c>
      <c r="AA21" s="7">
        <v>0</v>
      </c>
      <c r="AB21" s="7">
        <v>0</v>
      </c>
      <c r="AC21" s="6"/>
      <c r="AD21" s="7">
        <v>2958.2</v>
      </c>
      <c r="AE21" s="4">
        <v>44</v>
      </c>
      <c r="AF21" s="5" t="s">
        <v>149</v>
      </c>
      <c r="AG21" s="5" t="s">
        <v>420</v>
      </c>
      <c r="AH21" s="5"/>
      <c r="AI21" s="5"/>
      <c r="AJ21" s="4"/>
      <c r="AK21" s="5" t="s">
        <v>112</v>
      </c>
      <c r="AL21" s="5" t="s">
        <v>56</v>
      </c>
      <c r="AM21" s="6">
        <v>46205</v>
      </c>
      <c r="AN21" s="5" t="s">
        <v>339</v>
      </c>
      <c r="AO21" s="5" t="s">
        <v>421</v>
      </c>
    </row>
    <row r="22" spans="1:41" x14ac:dyDescent="0.25">
      <c r="A22" s="2" t="s">
        <v>78</v>
      </c>
      <c r="B22" s="2" t="s">
        <v>897</v>
      </c>
      <c r="C22" s="3">
        <v>46220</v>
      </c>
      <c r="D22" s="4">
        <v>564053524</v>
      </c>
      <c r="E22" s="5" t="s">
        <v>427</v>
      </c>
      <c r="F22" s="6">
        <v>46202</v>
      </c>
      <c r="G22" s="5" t="s">
        <v>81</v>
      </c>
      <c r="H22" s="5" t="s">
        <v>81</v>
      </c>
      <c r="I22" s="5" t="s">
        <v>45</v>
      </c>
      <c r="J22" s="5" t="s">
        <v>365</v>
      </c>
      <c r="K22" s="3">
        <v>46282</v>
      </c>
      <c r="L22" s="11">
        <f ca="1">IF($O22="","",$O22-TODAY())</f>
        <v>9</v>
      </c>
      <c r="M22" s="11">
        <f ca="1">IF($C22="","",$C22+365-TODAY())</f>
        <v>302</v>
      </c>
      <c r="N22" s="11">
        <f ca="1">IF($C22="","",$C22+365-TODAY())</f>
        <v>302</v>
      </c>
      <c r="O22" s="6">
        <v>46292</v>
      </c>
      <c r="P22" s="5" t="s">
        <v>47</v>
      </c>
      <c r="Q22" s="5" t="s">
        <v>83</v>
      </c>
      <c r="R22" s="5" t="s">
        <v>51</v>
      </c>
      <c r="S22" s="5" t="s">
        <v>50</v>
      </c>
      <c r="T22" s="5" t="s">
        <v>51</v>
      </c>
      <c r="U22" s="5" t="s">
        <v>50</v>
      </c>
      <c r="V22" s="5" t="s">
        <v>366</v>
      </c>
      <c r="W22" s="5"/>
      <c r="X22" s="5"/>
      <c r="Y22" s="5" t="s">
        <v>52</v>
      </c>
      <c r="Z22" s="7">
        <v>6392.96</v>
      </c>
      <c r="AA22" s="7">
        <v>0</v>
      </c>
      <c r="AB22" s="7">
        <v>0</v>
      </c>
      <c r="AC22" s="6">
        <v>46220</v>
      </c>
      <c r="AD22" s="7">
        <v>6392.96</v>
      </c>
      <c r="AE22" s="4">
        <v>40</v>
      </c>
      <c r="AF22" s="5" t="s">
        <v>428</v>
      </c>
      <c r="AG22" s="5" t="s">
        <v>429</v>
      </c>
      <c r="AH22" s="5"/>
      <c r="AI22" s="5"/>
      <c r="AJ22" s="4"/>
      <c r="AK22" s="5" t="s">
        <v>430</v>
      </c>
      <c r="AL22" s="5" t="s">
        <v>72</v>
      </c>
      <c r="AM22" s="6">
        <v>46204</v>
      </c>
      <c r="AN22" s="5" t="s">
        <v>339</v>
      </c>
      <c r="AO22" s="5" t="s">
        <v>431</v>
      </c>
    </row>
    <row r="23" spans="1:41" x14ac:dyDescent="0.25">
      <c r="A23" s="2" t="s">
        <v>41</v>
      </c>
      <c r="B23" s="13" t="s">
        <v>891</v>
      </c>
      <c r="C23" s="3">
        <v>46210</v>
      </c>
      <c r="D23" s="4">
        <v>564118055</v>
      </c>
      <c r="E23" s="5" t="s">
        <v>432</v>
      </c>
      <c r="F23" s="6">
        <v>46202</v>
      </c>
      <c r="G23" s="5" t="s">
        <v>130</v>
      </c>
      <c r="H23" s="5" t="s">
        <v>130</v>
      </c>
      <c r="I23" s="5" t="s">
        <v>45</v>
      </c>
      <c r="J23" s="5" t="s">
        <v>378</v>
      </c>
      <c r="K23" s="3">
        <v>46283</v>
      </c>
      <c r="L23" s="11">
        <f ca="1">IF($O23="","",$O23-TODAY())</f>
        <v>9</v>
      </c>
      <c r="M23" s="11">
        <f ca="1">IF($C23="","",$C23+180-TODAY())</f>
        <v>107</v>
      </c>
      <c r="N23" s="11">
        <f ca="1">IF($C23="","",$C23+365-TODAY())</f>
        <v>292</v>
      </c>
      <c r="O23" s="6">
        <v>46292</v>
      </c>
      <c r="P23" s="5" t="s">
        <v>47</v>
      </c>
      <c r="Q23" s="5" t="s">
        <v>131</v>
      </c>
      <c r="R23" s="5" t="s">
        <v>49</v>
      </c>
      <c r="S23" s="5" t="s">
        <v>50</v>
      </c>
      <c r="T23" s="5" t="s">
        <v>51</v>
      </c>
      <c r="U23" s="5" t="s">
        <v>50</v>
      </c>
      <c r="V23" s="5" t="s">
        <v>334</v>
      </c>
      <c r="W23" s="5"/>
      <c r="X23" s="5"/>
      <c r="Y23" s="5" t="s">
        <v>379</v>
      </c>
      <c r="Z23" s="7">
        <v>2958.2</v>
      </c>
      <c r="AA23" s="7">
        <v>0</v>
      </c>
      <c r="AB23" s="7">
        <v>0</v>
      </c>
      <c r="AC23" s="6"/>
      <c r="AD23" s="7">
        <v>2958.2</v>
      </c>
      <c r="AE23" s="4">
        <v>40</v>
      </c>
      <c r="AF23" s="5" t="s">
        <v>149</v>
      </c>
      <c r="AG23" s="5"/>
      <c r="AH23" s="5"/>
      <c r="AI23" s="5"/>
      <c r="AJ23" s="4"/>
      <c r="AK23" s="5" t="s">
        <v>373</v>
      </c>
      <c r="AL23" s="5" t="s">
        <v>374</v>
      </c>
      <c r="AM23" s="6">
        <v>46205</v>
      </c>
      <c r="AN23" s="5" t="s">
        <v>339</v>
      </c>
      <c r="AO23" s="5" t="s">
        <v>433</v>
      </c>
    </row>
    <row r="24" spans="1:41" x14ac:dyDescent="0.25">
      <c r="A24" s="2" t="s">
        <v>78</v>
      </c>
      <c r="B24" s="13" t="s">
        <v>905</v>
      </c>
      <c r="C24" s="3">
        <v>46210</v>
      </c>
      <c r="D24" s="4">
        <v>572251031</v>
      </c>
      <c r="E24" s="5" t="s">
        <v>434</v>
      </c>
      <c r="F24" s="6">
        <v>46202</v>
      </c>
      <c r="G24" s="5" t="s">
        <v>136</v>
      </c>
      <c r="H24" s="5" t="s">
        <v>136</v>
      </c>
      <c r="I24" s="5" t="s">
        <v>45</v>
      </c>
      <c r="J24" s="5" t="s">
        <v>435</v>
      </c>
      <c r="K24" s="3">
        <v>46283</v>
      </c>
      <c r="L24" s="11">
        <f ca="1">IF($O24="","",$O24-TODAY())</f>
        <v>9</v>
      </c>
      <c r="M24" s="11">
        <f ca="1">IF($F24="","",$F24+90-TODAY())</f>
        <v>9</v>
      </c>
      <c r="N24" s="11">
        <f ca="1">IF($C24="","",$C24+365-TODAY())</f>
        <v>292</v>
      </c>
      <c r="O24" s="6">
        <v>46292</v>
      </c>
      <c r="P24" s="5" t="s">
        <v>47</v>
      </c>
      <c r="Q24" s="5" t="s">
        <v>137</v>
      </c>
      <c r="R24" s="5" t="s">
        <v>47</v>
      </c>
      <c r="S24" s="5" t="s">
        <v>189</v>
      </c>
      <c r="T24" s="5" t="s">
        <v>51</v>
      </c>
      <c r="U24" s="5" t="s">
        <v>50</v>
      </c>
      <c r="V24" s="5" t="s">
        <v>354</v>
      </c>
      <c r="W24" s="5"/>
      <c r="X24" s="5"/>
      <c r="Y24" s="5" t="s">
        <v>335</v>
      </c>
      <c r="Z24" s="7">
        <v>36353.800000000003</v>
      </c>
      <c r="AA24" s="7">
        <v>0</v>
      </c>
      <c r="AB24" s="7">
        <v>0</v>
      </c>
      <c r="AC24" s="6"/>
      <c r="AD24" s="7">
        <v>36353.800000000003</v>
      </c>
      <c r="AE24" s="4">
        <v>40</v>
      </c>
      <c r="AF24" s="5" t="s">
        <v>149</v>
      </c>
      <c r="AG24" s="5"/>
      <c r="AH24" s="5"/>
      <c r="AI24" s="5"/>
      <c r="AJ24" s="4"/>
      <c r="AK24" s="5" t="s">
        <v>97</v>
      </c>
      <c r="AL24" s="5" t="s">
        <v>436</v>
      </c>
      <c r="AM24" s="6">
        <v>46205</v>
      </c>
      <c r="AN24" s="5" t="s">
        <v>339</v>
      </c>
      <c r="AO24" s="5" t="s">
        <v>437</v>
      </c>
    </row>
    <row r="25" spans="1:41" x14ac:dyDescent="0.25">
      <c r="A25" s="2" t="s">
        <v>901</v>
      </c>
      <c r="B25" s="13" t="s">
        <v>906</v>
      </c>
      <c r="C25" s="15"/>
      <c r="D25" s="4">
        <v>572251311</v>
      </c>
      <c r="E25" s="5" t="s">
        <v>438</v>
      </c>
      <c r="F25" s="6">
        <v>46202</v>
      </c>
      <c r="G25" s="5" t="s">
        <v>439</v>
      </c>
      <c r="H25" s="5" t="s">
        <v>439</v>
      </c>
      <c r="I25" s="5" t="s">
        <v>45</v>
      </c>
      <c r="J25" s="5" t="s">
        <v>343</v>
      </c>
      <c r="K25" s="3">
        <v>46283</v>
      </c>
      <c r="L25" s="11">
        <f ca="1">IF($O25="","",$O25-TODAY())</f>
        <v>9</v>
      </c>
      <c r="M25" s="11" t="str">
        <f ca="1">IF($C25="","",$C25+180-TODAY())</f>
        <v/>
      </c>
      <c r="N25" s="11" t="str">
        <f ca="1">IF($C25="","",$C25+365-TODAY())</f>
        <v/>
      </c>
      <c r="O25" s="6">
        <v>46292</v>
      </c>
      <c r="P25" s="5" t="s">
        <v>47</v>
      </c>
      <c r="Q25" s="5" t="s">
        <v>131</v>
      </c>
      <c r="R25" s="5" t="s">
        <v>49</v>
      </c>
      <c r="S25" s="5" t="s">
        <v>50</v>
      </c>
      <c r="T25" s="5" t="s">
        <v>51</v>
      </c>
      <c r="U25" s="5" t="s">
        <v>50</v>
      </c>
      <c r="V25" s="5" t="s">
        <v>334</v>
      </c>
      <c r="W25" s="5"/>
      <c r="X25" s="5"/>
      <c r="Y25" s="5" t="s">
        <v>335</v>
      </c>
      <c r="Z25" s="7">
        <v>5916.4</v>
      </c>
      <c r="AA25" s="7">
        <v>0</v>
      </c>
      <c r="AB25" s="7">
        <v>0</v>
      </c>
      <c r="AC25" s="6"/>
      <c r="AD25" s="7">
        <v>5916.4</v>
      </c>
      <c r="AE25" s="4">
        <v>40</v>
      </c>
      <c r="AF25" s="5" t="s">
        <v>149</v>
      </c>
      <c r="AG25" s="5"/>
      <c r="AH25" s="5"/>
      <c r="AI25" s="5"/>
      <c r="AJ25" s="4"/>
      <c r="AK25" s="5" t="s">
        <v>369</v>
      </c>
      <c r="AL25" s="5" t="s">
        <v>72</v>
      </c>
      <c r="AM25" s="6">
        <v>46217</v>
      </c>
      <c r="AN25" s="5" t="s">
        <v>339</v>
      </c>
      <c r="AO25" s="5" t="s">
        <v>440</v>
      </c>
    </row>
    <row r="26" spans="1:41" x14ac:dyDescent="0.25">
      <c r="A26" s="2" t="s">
        <v>78</v>
      </c>
      <c r="B26" s="13" t="s">
        <v>907</v>
      </c>
      <c r="C26" s="15">
        <v>46265</v>
      </c>
      <c r="D26" s="4">
        <v>567785138</v>
      </c>
      <c r="E26" s="5" t="s">
        <v>441</v>
      </c>
      <c r="F26" s="6">
        <v>46202</v>
      </c>
      <c r="G26" s="5" t="s">
        <v>81</v>
      </c>
      <c r="H26" s="5" t="s">
        <v>81</v>
      </c>
      <c r="I26" s="5" t="s">
        <v>45</v>
      </c>
      <c r="J26" s="5" t="s">
        <v>343</v>
      </c>
      <c r="K26" s="3">
        <v>46283</v>
      </c>
      <c r="L26" s="11">
        <f ca="1">IF($O26="","",$O26-TODAY())</f>
        <v>9</v>
      </c>
      <c r="M26" s="11">
        <f ca="1">IF($C26="","",$C26+365-TODAY())</f>
        <v>347</v>
      </c>
      <c r="N26" s="11">
        <f ca="1">IF($C26="","",$C26+365-TODAY())</f>
        <v>347</v>
      </c>
      <c r="O26" s="6">
        <v>46292</v>
      </c>
      <c r="P26" s="5" t="s">
        <v>47</v>
      </c>
      <c r="Q26" s="5" t="s">
        <v>83</v>
      </c>
      <c r="R26" s="5" t="s">
        <v>51</v>
      </c>
      <c r="S26" s="5" t="s">
        <v>50</v>
      </c>
      <c r="T26" s="5" t="s">
        <v>51</v>
      </c>
      <c r="U26" s="5" t="s">
        <v>50</v>
      </c>
      <c r="V26" s="5" t="s">
        <v>334</v>
      </c>
      <c r="W26" s="5"/>
      <c r="X26" s="5"/>
      <c r="Y26" s="5" t="s">
        <v>335</v>
      </c>
      <c r="Z26" s="7">
        <v>5916.4</v>
      </c>
      <c r="AA26" s="7">
        <v>0</v>
      </c>
      <c r="AB26" s="7">
        <v>0</v>
      </c>
      <c r="AC26" s="6"/>
      <c r="AD26" s="7">
        <v>5916.4</v>
      </c>
      <c r="AE26" s="4">
        <v>40</v>
      </c>
      <c r="AF26" s="5" t="s">
        <v>149</v>
      </c>
      <c r="AG26" s="5" t="s">
        <v>442</v>
      </c>
      <c r="AH26" s="5"/>
      <c r="AI26" s="5"/>
      <c r="AJ26" s="4"/>
      <c r="AK26" s="5" t="s">
        <v>443</v>
      </c>
      <c r="AL26" s="5" t="s">
        <v>63</v>
      </c>
      <c r="AM26" s="6">
        <v>46205</v>
      </c>
      <c r="AN26" s="5" t="s">
        <v>339</v>
      </c>
      <c r="AO26" s="5" t="s">
        <v>444</v>
      </c>
    </row>
    <row r="27" spans="1:41" x14ac:dyDescent="0.25">
      <c r="A27" s="2" t="s">
        <v>127</v>
      </c>
      <c r="B27" s="13" t="s">
        <v>908</v>
      </c>
      <c r="C27" s="3">
        <v>46204</v>
      </c>
      <c r="D27" s="4">
        <v>563158507</v>
      </c>
      <c r="E27" s="5" t="s">
        <v>445</v>
      </c>
      <c r="F27" s="6">
        <v>46192</v>
      </c>
      <c r="G27" s="5" t="s">
        <v>446</v>
      </c>
      <c r="H27" s="5" t="s">
        <v>174</v>
      </c>
      <c r="I27" s="5" t="s">
        <v>446</v>
      </c>
      <c r="J27" s="5" t="s">
        <v>332</v>
      </c>
      <c r="K27" s="3">
        <v>46283</v>
      </c>
      <c r="L27" s="11">
        <f ca="1">IF($O27="","",$O27-TODAY())</f>
        <v>29</v>
      </c>
      <c r="M27" s="11">
        <f ca="1">IF($C27="","",$C27+180-TODAY())</f>
        <v>101</v>
      </c>
      <c r="N27" s="11">
        <f ca="1">IF($C27="","",$C27+180-TODAY())</f>
        <v>101</v>
      </c>
      <c r="O27" s="6">
        <v>46312</v>
      </c>
      <c r="P27" s="5" t="s">
        <v>166</v>
      </c>
      <c r="Q27" s="5" t="s">
        <v>167</v>
      </c>
      <c r="R27" s="5" t="s">
        <v>49</v>
      </c>
      <c r="S27" s="5" t="s">
        <v>50</v>
      </c>
      <c r="T27" s="5" t="s">
        <v>49</v>
      </c>
      <c r="U27" s="5" t="s">
        <v>50</v>
      </c>
      <c r="V27" s="5" t="s">
        <v>334</v>
      </c>
      <c r="W27" s="5"/>
      <c r="X27" s="5"/>
      <c r="Y27" s="5" t="s">
        <v>335</v>
      </c>
      <c r="Z27" s="7">
        <v>5916.4</v>
      </c>
      <c r="AA27" s="7">
        <v>945.04</v>
      </c>
      <c r="AB27" s="7">
        <v>3960.92</v>
      </c>
      <c r="AC27" s="6">
        <v>46204</v>
      </c>
      <c r="AD27" s="7">
        <v>1010.44</v>
      </c>
      <c r="AE27" s="4">
        <v>50</v>
      </c>
      <c r="AF27" s="5" t="s">
        <v>149</v>
      </c>
      <c r="AG27" s="5"/>
      <c r="AH27" s="5"/>
      <c r="AI27" s="5"/>
      <c r="AJ27" s="4">
        <v>565293130</v>
      </c>
      <c r="AK27" s="5" t="s">
        <v>100</v>
      </c>
      <c r="AL27" s="5" t="s">
        <v>72</v>
      </c>
      <c r="AM27" s="6">
        <v>46196</v>
      </c>
      <c r="AN27" s="5" t="s">
        <v>339</v>
      </c>
      <c r="AO27" s="5" t="s">
        <v>447</v>
      </c>
    </row>
    <row r="28" spans="1:41" x14ac:dyDescent="0.25">
      <c r="A28" s="2"/>
      <c r="B28" s="2"/>
      <c r="C28" s="3">
        <v>46192</v>
      </c>
      <c r="D28" s="4">
        <v>562134105</v>
      </c>
      <c r="E28" s="5" t="s">
        <v>450</v>
      </c>
      <c r="F28" s="6">
        <v>46175</v>
      </c>
      <c r="G28" s="5" t="s">
        <v>203</v>
      </c>
      <c r="H28" s="5" t="s">
        <v>203</v>
      </c>
      <c r="I28" s="5" t="s">
        <v>45</v>
      </c>
      <c r="J28" s="5" t="s">
        <v>451</v>
      </c>
      <c r="K28" s="3"/>
      <c r="L28" s="11">
        <f ca="1">IF($O28="","",$O28-TODAY())</f>
        <v>72</v>
      </c>
      <c r="M28" s="11">
        <f ca="1">IF($F28="","",$F28+365-TODAY())</f>
        <v>257</v>
      </c>
      <c r="N28" s="11">
        <f ca="1">IF($F28="","",$F28+365-TODAY())</f>
        <v>257</v>
      </c>
      <c r="O28" s="6">
        <v>46355</v>
      </c>
      <c r="P28" s="5" t="s">
        <v>49</v>
      </c>
      <c r="Q28" s="5" t="s">
        <v>452</v>
      </c>
      <c r="R28" s="5" t="s">
        <v>51</v>
      </c>
      <c r="S28" s="5" t="s">
        <v>189</v>
      </c>
      <c r="T28" s="5" t="s">
        <v>51</v>
      </c>
      <c r="U28" s="5" t="s">
        <v>189</v>
      </c>
      <c r="V28" s="5" t="s">
        <v>384</v>
      </c>
      <c r="W28" s="5"/>
      <c r="X28" s="5"/>
      <c r="Y28" s="5" t="s">
        <v>52</v>
      </c>
      <c r="Z28" s="7">
        <v>5320.49</v>
      </c>
      <c r="AA28" s="7">
        <v>0</v>
      </c>
      <c r="AB28" s="7">
        <v>0</v>
      </c>
      <c r="AC28" s="6">
        <v>46192</v>
      </c>
      <c r="AD28" s="7">
        <v>5320.49</v>
      </c>
      <c r="AE28" s="4">
        <v>67</v>
      </c>
      <c r="AF28" s="5" t="s">
        <v>428</v>
      </c>
      <c r="AG28" s="5"/>
      <c r="AH28" s="5"/>
      <c r="AI28" s="5"/>
      <c r="AJ28" s="4"/>
      <c r="AK28" s="5" t="s">
        <v>453</v>
      </c>
      <c r="AL28" s="5" t="s">
        <v>338</v>
      </c>
      <c r="AM28" s="6">
        <v>46185</v>
      </c>
      <c r="AN28" s="5" t="s">
        <v>339</v>
      </c>
      <c r="AO28" s="5" t="s">
        <v>454</v>
      </c>
    </row>
    <row r="29" spans="1:41" x14ac:dyDescent="0.25">
      <c r="A29" s="2"/>
      <c r="B29" s="2"/>
      <c r="C29" s="3">
        <v>46211</v>
      </c>
      <c r="D29" s="4">
        <v>564103202</v>
      </c>
      <c r="E29" s="5" t="s">
        <v>455</v>
      </c>
      <c r="F29" s="6">
        <v>46196</v>
      </c>
      <c r="G29" s="5" t="s">
        <v>75</v>
      </c>
      <c r="H29" s="5" t="s">
        <v>75</v>
      </c>
      <c r="I29" s="5" t="s">
        <v>45</v>
      </c>
      <c r="J29" s="5" t="s">
        <v>423</v>
      </c>
      <c r="K29" s="3"/>
      <c r="L29" s="11">
        <f ca="1">IF($O29="","",$O29-TODAY())</f>
        <v>93</v>
      </c>
      <c r="M29" s="11">
        <f ca="1">IF($F29="","",$F29+365-TODAY())</f>
        <v>278</v>
      </c>
      <c r="N29" s="11">
        <f ca="1">IF($F29="","",$F29+365-TODAY())</f>
        <v>278</v>
      </c>
      <c r="O29" s="6">
        <v>46376</v>
      </c>
      <c r="P29" s="5" t="s">
        <v>49</v>
      </c>
      <c r="Q29" s="5" t="s">
        <v>456</v>
      </c>
      <c r="R29" s="5" t="s">
        <v>51</v>
      </c>
      <c r="S29" s="5" t="s">
        <v>189</v>
      </c>
      <c r="T29" s="5" t="s">
        <v>51</v>
      </c>
      <c r="U29" s="5" t="s">
        <v>189</v>
      </c>
      <c r="V29" s="5" t="s">
        <v>354</v>
      </c>
      <c r="W29" s="5"/>
      <c r="X29" s="5"/>
      <c r="Y29" s="5" t="s">
        <v>335</v>
      </c>
      <c r="Z29" s="7">
        <v>5916.4</v>
      </c>
      <c r="AA29" s="7">
        <v>0</v>
      </c>
      <c r="AB29" s="7">
        <v>0</v>
      </c>
      <c r="AC29" s="6">
        <v>46211</v>
      </c>
      <c r="AD29" s="7">
        <v>5916.4</v>
      </c>
      <c r="AE29" s="4">
        <v>46</v>
      </c>
      <c r="AF29" s="5" t="s">
        <v>149</v>
      </c>
      <c r="AG29" s="5" t="s">
        <v>457</v>
      </c>
      <c r="AH29" s="5" t="s">
        <v>458</v>
      </c>
      <c r="AI29" s="5" t="s">
        <v>336</v>
      </c>
      <c r="AJ29" s="4"/>
      <c r="AK29" s="5" t="s">
        <v>459</v>
      </c>
      <c r="AL29" s="5" t="s">
        <v>56</v>
      </c>
      <c r="AM29" s="6">
        <v>46205</v>
      </c>
      <c r="AN29" s="5" t="s">
        <v>339</v>
      </c>
      <c r="AO29" s="5" t="s">
        <v>460</v>
      </c>
    </row>
    <row r="30" spans="1:41" x14ac:dyDescent="0.25">
      <c r="A30" s="2"/>
      <c r="B30" s="2"/>
      <c r="C30" s="3">
        <v>46188</v>
      </c>
      <c r="D30" s="4">
        <v>562148651</v>
      </c>
      <c r="E30" s="5" t="s">
        <v>467</v>
      </c>
      <c r="F30" s="6">
        <v>46177</v>
      </c>
      <c r="G30" s="5" t="s">
        <v>462</v>
      </c>
      <c r="H30" s="5" t="s">
        <v>462</v>
      </c>
      <c r="I30" s="5" t="s">
        <v>233</v>
      </c>
      <c r="J30" s="5" t="s">
        <v>468</v>
      </c>
      <c r="K30" s="3"/>
      <c r="L30" s="11">
        <f ca="1">IF($O30="","",$O30-TODAY())</f>
        <v>259</v>
      </c>
      <c r="M30" s="11">
        <f ca="1">IF($C30="","",$C30+365-TODAY())</f>
        <v>270</v>
      </c>
      <c r="N30" s="11">
        <f ca="1">IF($C30="","",$C30+120-TODAY())</f>
        <v>25</v>
      </c>
      <c r="O30" s="6">
        <v>46542</v>
      </c>
      <c r="P30" s="5" t="s">
        <v>51</v>
      </c>
      <c r="Q30" s="5" t="s">
        <v>209</v>
      </c>
      <c r="R30" s="5" t="s">
        <v>51</v>
      </c>
      <c r="S30" s="5" t="s">
        <v>50</v>
      </c>
      <c r="T30" s="5" t="s">
        <v>166</v>
      </c>
      <c r="U30" s="5" t="s">
        <v>50</v>
      </c>
      <c r="V30" s="5" t="s">
        <v>384</v>
      </c>
      <c r="W30" s="5" t="s">
        <v>469</v>
      </c>
      <c r="X30" s="5"/>
      <c r="Y30" s="5" t="s">
        <v>52</v>
      </c>
      <c r="Z30" s="7">
        <v>3790.43</v>
      </c>
      <c r="AA30" s="7">
        <v>0</v>
      </c>
      <c r="AB30" s="7">
        <v>0</v>
      </c>
      <c r="AC30" s="6">
        <v>46188</v>
      </c>
      <c r="AD30" s="7">
        <v>3790.43</v>
      </c>
      <c r="AE30" s="4">
        <v>65</v>
      </c>
      <c r="AF30" s="5" t="s">
        <v>470</v>
      </c>
      <c r="AG30" s="5"/>
      <c r="AH30" s="5"/>
      <c r="AI30" s="5"/>
      <c r="AJ30" s="4"/>
      <c r="AK30" s="5" t="s">
        <v>471</v>
      </c>
      <c r="AL30" s="5" t="s">
        <v>472</v>
      </c>
      <c r="AM30" s="6">
        <v>46185</v>
      </c>
      <c r="AN30" s="5" t="s">
        <v>339</v>
      </c>
      <c r="AO30" s="5" t="s">
        <v>473</v>
      </c>
    </row>
    <row r="31" spans="1:41" x14ac:dyDescent="0.25">
      <c r="A31" s="2"/>
      <c r="B31" s="2"/>
      <c r="C31" s="3">
        <v>46195</v>
      </c>
      <c r="D31" s="4">
        <v>562696935</v>
      </c>
      <c r="E31" s="5" t="s">
        <v>474</v>
      </c>
      <c r="F31" s="6">
        <v>46177</v>
      </c>
      <c r="G31" s="5" t="s">
        <v>462</v>
      </c>
      <c r="H31" s="5" t="s">
        <v>462</v>
      </c>
      <c r="I31" s="5" t="s">
        <v>294</v>
      </c>
      <c r="J31" s="5" t="s">
        <v>475</v>
      </c>
      <c r="K31" s="3"/>
      <c r="L31" s="11">
        <f ca="1">IF($O31="","",$O31-TODAY())</f>
        <v>259</v>
      </c>
      <c r="M31" s="11">
        <f ca="1">IF($C31="","",$C31+365-TODAY())</f>
        <v>277</v>
      </c>
      <c r="N31" s="11">
        <f ca="1">IF($C31="","",$C31+120-TODAY())</f>
        <v>32</v>
      </c>
      <c r="O31" s="6">
        <v>46542</v>
      </c>
      <c r="P31" s="5" t="s">
        <v>51</v>
      </c>
      <c r="Q31" s="5" t="s">
        <v>209</v>
      </c>
      <c r="R31" s="5" t="s">
        <v>51</v>
      </c>
      <c r="S31" s="5" t="s">
        <v>50</v>
      </c>
      <c r="T31" s="5" t="s">
        <v>166</v>
      </c>
      <c r="U31" s="5" t="s">
        <v>50</v>
      </c>
      <c r="V31" s="5" t="s">
        <v>384</v>
      </c>
      <c r="W31" s="5" t="s">
        <v>476</v>
      </c>
      <c r="X31" s="5"/>
      <c r="Y31" s="5" t="s">
        <v>52</v>
      </c>
      <c r="Z31" s="7">
        <v>9040.2199999999993</v>
      </c>
      <c r="AA31" s="7">
        <v>0</v>
      </c>
      <c r="AB31" s="7">
        <v>0</v>
      </c>
      <c r="AC31" s="6">
        <v>46195</v>
      </c>
      <c r="AD31" s="7">
        <v>9040.2199999999993</v>
      </c>
      <c r="AE31" s="4">
        <v>65</v>
      </c>
      <c r="AF31" s="5" t="s">
        <v>477</v>
      </c>
      <c r="AG31" s="5"/>
      <c r="AH31" s="5"/>
      <c r="AI31" s="5"/>
      <c r="AJ31" s="4"/>
      <c r="AK31" s="5" t="s">
        <v>471</v>
      </c>
      <c r="AL31" s="5" t="s">
        <v>472</v>
      </c>
      <c r="AM31" s="6">
        <v>46191</v>
      </c>
      <c r="AN31" s="5" t="s">
        <v>339</v>
      </c>
      <c r="AO31" s="5" t="s">
        <v>478</v>
      </c>
    </row>
    <row r="32" spans="1:41" x14ac:dyDescent="0.25">
      <c r="A32" s="2" t="s">
        <v>41</v>
      </c>
      <c r="B32" s="2"/>
      <c r="C32" s="3">
        <v>46217</v>
      </c>
      <c r="D32" s="4">
        <v>562140958</v>
      </c>
      <c r="E32" s="5" t="s">
        <v>479</v>
      </c>
      <c r="F32" s="6">
        <v>46178</v>
      </c>
      <c r="G32" s="5" t="s">
        <v>136</v>
      </c>
      <c r="H32" s="5" t="s">
        <v>462</v>
      </c>
      <c r="I32" s="5" t="s">
        <v>136</v>
      </c>
      <c r="J32" s="5" t="s">
        <v>435</v>
      </c>
      <c r="K32" s="3"/>
      <c r="L32" s="11">
        <f ca="1">IF($O32="","",$O32-TODAY())</f>
        <v>260</v>
      </c>
      <c r="M32" s="11">
        <f ca="1">IF($C32="","",$C32+365-TODAY())</f>
        <v>299</v>
      </c>
      <c r="N32" s="11">
        <f ca="1">IF($C32="","",$C32+120-TODAY())</f>
        <v>54</v>
      </c>
      <c r="O32" s="6">
        <v>46543</v>
      </c>
      <c r="P32" s="5" t="s">
        <v>51</v>
      </c>
      <c r="Q32" s="5" t="s">
        <v>209</v>
      </c>
      <c r="R32" s="5" t="s">
        <v>51</v>
      </c>
      <c r="S32" s="5" t="s">
        <v>50</v>
      </c>
      <c r="T32" s="5" t="s">
        <v>166</v>
      </c>
      <c r="U32" s="5" t="s">
        <v>50</v>
      </c>
      <c r="V32" s="5" t="s">
        <v>354</v>
      </c>
      <c r="W32" s="5"/>
      <c r="X32" s="5"/>
      <c r="Y32" s="5" t="s">
        <v>335</v>
      </c>
      <c r="Z32" s="7">
        <v>36353.800000000003</v>
      </c>
      <c r="AA32" s="7">
        <v>31016.19</v>
      </c>
      <c r="AB32" s="7">
        <v>4252.7299999999996</v>
      </c>
      <c r="AC32" s="6">
        <v>46217</v>
      </c>
      <c r="AD32" s="7">
        <v>1084.8800000000001</v>
      </c>
      <c r="AE32" s="4">
        <v>64</v>
      </c>
      <c r="AF32" s="5" t="s">
        <v>149</v>
      </c>
      <c r="AG32" s="5"/>
      <c r="AH32" s="5"/>
      <c r="AI32" s="5"/>
      <c r="AJ32" s="4">
        <v>564721141</v>
      </c>
      <c r="AK32" s="5" t="s">
        <v>480</v>
      </c>
      <c r="AL32" s="5" t="s">
        <v>481</v>
      </c>
      <c r="AM32" s="6">
        <v>46185</v>
      </c>
      <c r="AN32" s="5" t="s">
        <v>339</v>
      </c>
      <c r="AO32" s="5" t="s">
        <v>482</v>
      </c>
    </row>
    <row r="33" spans="1:41" x14ac:dyDescent="0.25">
      <c r="A33" s="2"/>
      <c r="B33" s="2"/>
      <c r="C33" s="3"/>
      <c r="D33" s="4">
        <v>564672683</v>
      </c>
      <c r="E33" s="5" t="s">
        <v>486</v>
      </c>
      <c r="F33" s="6">
        <v>46181</v>
      </c>
      <c r="G33" s="5" t="s">
        <v>462</v>
      </c>
      <c r="H33" s="5" t="s">
        <v>462</v>
      </c>
      <c r="I33" s="5" t="s">
        <v>294</v>
      </c>
      <c r="J33" s="5" t="s">
        <v>391</v>
      </c>
      <c r="K33" s="3"/>
      <c r="L33" s="11">
        <f ca="1">IF($O33="","",$O33-TODAY())</f>
        <v>263</v>
      </c>
      <c r="M33" s="11" t="str">
        <f ca="1">IF($C33="","",$C33+365-TODAY())</f>
        <v/>
      </c>
      <c r="N33" s="11" t="str">
        <f ca="1">IF($C33="","",$C33+120-TODAY())</f>
        <v/>
      </c>
      <c r="O33" s="6">
        <v>46546</v>
      </c>
      <c r="P33" s="5" t="s">
        <v>51</v>
      </c>
      <c r="Q33" s="5" t="s">
        <v>209</v>
      </c>
      <c r="R33" s="5" t="s">
        <v>51</v>
      </c>
      <c r="S33" s="5" t="s">
        <v>50</v>
      </c>
      <c r="T33" s="5" t="s">
        <v>166</v>
      </c>
      <c r="U33" s="5" t="s">
        <v>50</v>
      </c>
      <c r="V33" s="5" t="s">
        <v>334</v>
      </c>
      <c r="W33" s="5"/>
      <c r="X33" s="5"/>
      <c r="Y33" s="5" t="s">
        <v>379</v>
      </c>
      <c r="Z33" s="7">
        <v>18176.900000000001</v>
      </c>
      <c r="AA33" s="7">
        <v>0</v>
      </c>
      <c r="AB33" s="7">
        <v>0</v>
      </c>
      <c r="AC33" s="6"/>
      <c r="AD33" s="7">
        <v>18176.900000000001</v>
      </c>
      <c r="AE33" s="4">
        <v>61</v>
      </c>
      <c r="AF33" s="5" t="s">
        <v>149</v>
      </c>
      <c r="AG33" s="5"/>
      <c r="AH33" s="5"/>
      <c r="AI33" s="5"/>
      <c r="AJ33" s="4"/>
      <c r="AK33" s="5" t="s">
        <v>487</v>
      </c>
      <c r="AL33" s="5" t="s">
        <v>488</v>
      </c>
      <c r="AM33" s="6">
        <v>46211</v>
      </c>
      <c r="AN33" s="5" t="s">
        <v>339</v>
      </c>
      <c r="AO33" s="5" t="s">
        <v>489</v>
      </c>
    </row>
    <row r="34" spans="1:41" x14ac:dyDescent="0.25">
      <c r="A34" s="2"/>
      <c r="B34" s="2"/>
      <c r="C34" s="3"/>
      <c r="D34" s="4">
        <v>562699568</v>
      </c>
      <c r="E34" s="5" t="s">
        <v>490</v>
      </c>
      <c r="F34" s="6">
        <v>46182</v>
      </c>
      <c r="G34" s="5" t="s">
        <v>462</v>
      </c>
      <c r="H34" s="5" t="s">
        <v>462</v>
      </c>
      <c r="I34" s="5" t="s">
        <v>230</v>
      </c>
      <c r="J34" s="5" t="s">
        <v>383</v>
      </c>
      <c r="K34" s="3"/>
      <c r="L34" s="11">
        <f ca="1">IF($O34="","",$O34-TODAY())</f>
        <v>264</v>
      </c>
      <c r="M34" s="11" t="str">
        <f ca="1">IF($C34="","",$C34+365-TODAY())</f>
        <v/>
      </c>
      <c r="N34" s="11" t="str">
        <f ca="1">IF($C34="","",$C34+120-TODAY())</f>
        <v/>
      </c>
      <c r="O34" s="6">
        <v>46547</v>
      </c>
      <c r="P34" s="5" t="s">
        <v>51</v>
      </c>
      <c r="Q34" s="5" t="s">
        <v>209</v>
      </c>
      <c r="R34" s="5" t="s">
        <v>51</v>
      </c>
      <c r="S34" s="5" t="s">
        <v>50</v>
      </c>
      <c r="T34" s="5" t="s">
        <v>166</v>
      </c>
      <c r="U34" s="5" t="s">
        <v>50</v>
      </c>
      <c r="V34" s="5" t="s">
        <v>384</v>
      </c>
      <c r="W34" s="5"/>
      <c r="X34" s="5"/>
      <c r="Y34" s="5" t="s">
        <v>52</v>
      </c>
      <c r="Z34" s="7">
        <v>5492.55</v>
      </c>
      <c r="AA34" s="7">
        <v>0</v>
      </c>
      <c r="AB34" s="7">
        <v>0</v>
      </c>
      <c r="AC34" s="6"/>
      <c r="AD34" s="7">
        <v>5492.55</v>
      </c>
      <c r="AE34" s="4">
        <v>60</v>
      </c>
      <c r="AF34" s="5" t="s">
        <v>491</v>
      </c>
      <c r="AG34" s="5"/>
      <c r="AH34" s="5"/>
      <c r="AI34" s="5"/>
      <c r="AJ34" s="4"/>
      <c r="AK34" s="5" t="s">
        <v>464</v>
      </c>
      <c r="AL34" s="5" t="s">
        <v>465</v>
      </c>
      <c r="AM34" s="6">
        <v>46191</v>
      </c>
      <c r="AN34" s="5" t="s">
        <v>339</v>
      </c>
      <c r="AO34" s="5" t="s">
        <v>492</v>
      </c>
    </row>
    <row r="35" spans="1:41" x14ac:dyDescent="0.25">
      <c r="A35" s="2"/>
      <c r="B35" s="2"/>
      <c r="C35" s="3">
        <v>46211</v>
      </c>
      <c r="D35" s="4">
        <v>563177256</v>
      </c>
      <c r="E35" s="5" t="s">
        <v>749</v>
      </c>
      <c r="F35" s="6">
        <v>46192</v>
      </c>
      <c r="G35" s="5" t="s">
        <v>750</v>
      </c>
      <c r="H35" s="5" t="s">
        <v>462</v>
      </c>
      <c r="I35" s="5" t="s">
        <v>750</v>
      </c>
      <c r="J35" s="5" t="s">
        <v>435</v>
      </c>
      <c r="K35" s="3"/>
      <c r="L35" s="11">
        <f ca="1">IF($O35="","",$O35-TODAY())</f>
        <v>274</v>
      </c>
      <c r="M35" s="11">
        <f ca="1">IF($C35="","",$C35+365-TODAY())</f>
        <v>293</v>
      </c>
      <c r="N35" s="11">
        <f ca="1">IF($C35="","",$C35+120-TODAY())</f>
        <v>48</v>
      </c>
      <c r="O35" s="6">
        <v>46557</v>
      </c>
      <c r="P35" s="5" t="s">
        <v>51</v>
      </c>
      <c r="Q35" s="5" t="s">
        <v>209</v>
      </c>
      <c r="R35" s="5" t="s">
        <v>51</v>
      </c>
      <c r="S35" s="5" t="s">
        <v>50</v>
      </c>
      <c r="T35" s="5" t="s">
        <v>166</v>
      </c>
      <c r="U35" s="5" t="s">
        <v>50</v>
      </c>
      <c r="V35" s="5" t="s">
        <v>354</v>
      </c>
      <c r="W35" s="5"/>
      <c r="X35" s="5"/>
      <c r="Y35" s="5" t="s">
        <v>335</v>
      </c>
      <c r="Z35" s="7">
        <v>36353.8</v>
      </c>
      <c r="AA35" s="7">
        <v>29931.31</v>
      </c>
      <c r="AB35" s="7">
        <v>5337.61</v>
      </c>
      <c r="AC35" s="6">
        <v>46211</v>
      </c>
      <c r="AD35" s="7">
        <v>1084.88</v>
      </c>
      <c r="AE35" s="4">
        <v>50</v>
      </c>
      <c r="AF35" s="5" t="s">
        <v>149</v>
      </c>
      <c r="AG35" s="5" t="s">
        <v>918</v>
      </c>
      <c r="AH35" s="5"/>
      <c r="AI35" s="5"/>
      <c r="AJ35" s="4" t="s">
        <v>919</v>
      </c>
      <c r="AK35" s="5" t="s">
        <v>471</v>
      </c>
      <c r="AL35" s="5" t="s">
        <v>472</v>
      </c>
      <c r="AM35" s="6">
        <v>46196</v>
      </c>
      <c r="AN35" s="5" t="s">
        <v>339</v>
      </c>
      <c r="AO35" s="5"/>
    </row>
    <row r="36" spans="1:41" x14ac:dyDescent="0.25">
      <c r="A36" s="2" t="s">
        <v>41</v>
      </c>
      <c r="B36" s="2"/>
      <c r="C36" s="3">
        <v>46211</v>
      </c>
      <c r="D36" s="4">
        <v>563164453</v>
      </c>
      <c r="E36" s="5" t="s">
        <v>501</v>
      </c>
      <c r="F36" s="6">
        <v>46195</v>
      </c>
      <c r="G36" s="5" t="s">
        <v>230</v>
      </c>
      <c r="H36" s="5" t="s">
        <v>462</v>
      </c>
      <c r="I36" s="5" t="s">
        <v>230</v>
      </c>
      <c r="J36" s="5" t="s">
        <v>435</v>
      </c>
      <c r="K36" s="3"/>
      <c r="L36" s="11">
        <f ca="1">IF($O36="","",$O36-TODAY())</f>
        <v>277</v>
      </c>
      <c r="M36" s="11">
        <f ca="1">IF($C36="","",$C36+365-TODAY())</f>
        <v>293</v>
      </c>
      <c r="N36" s="11">
        <f ca="1">IF($C36="","",$C36+120-TODAY())</f>
        <v>48</v>
      </c>
      <c r="O36" s="6">
        <v>46560</v>
      </c>
      <c r="P36" s="5" t="s">
        <v>51</v>
      </c>
      <c r="Q36" s="5" t="s">
        <v>209</v>
      </c>
      <c r="R36" s="5" t="s">
        <v>51</v>
      </c>
      <c r="S36" s="5" t="s">
        <v>50</v>
      </c>
      <c r="T36" s="5" t="s">
        <v>166</v>
      </c>
      <c r="U36" s="5" t="s">
        <v>50</v>
      </c>
      <c r="V36" s="5" t="s">
        <v>354</v>
      </c>
      <c r="W36" s="5"/>
      <c r="X36" s="5"/>
      <c r="Y36" s="5" t="s">
        <v>335</v>
      </c>
      <c r="Z36" s="7">
        <v>36353.800000000003</v>
      </c>
      <c r="AA36" s="7">
        <v>31016.19</v>
      </c>
      <c r="AB36" s="7">
        <v>4252.7299999999996</v>
      </c>
      <c r="AC36" s="6">
        <v>46211</v>
      </c>
      <c r="AD36" s="7">
        <v>1084.8800000000001</v>
      </c>
      <c r="AE36" s="4">
        <v>47</v>
      </c>
      <c r="AF36" s="5" t="s">
        <v>149</v>
      </c>
      <c r="AG36" s="5" t="s">
        <v>403</v>
      </c>
      <c r="AH36" s="5" t="s">
        <v>425</v>
      </c>
      <c r="AI36" s="5"/>
      <c r="AJ36" s="4">
        <v>566076337</v>
      </c>
      <c r="AK36" s="5" t="s">
        <v>471</v>
      </c>
      <c r="AL36" s="5" t="s">
        <v>472</v>
      </c>
      <c r="AM36" s="6">
        <v>46196</v>
      </c>
      <c r="AN36" s="5" t="s">
        <v>339</v>
      </c>
      <c r="AO36" s="5" t="s">
        <v>502</v>
      </c>
    </row>
    <row r="37" spans="1:41" x14ac:dyDescent="0.25">
      <c r="A37" s="2"/>
      <c r="B37" s="2"/>
      <c r="C37" s="3"/>
      <c r="D37" s="4">
        <v>563203416</v>
      </c>
      <c r="E37" s="5" t="s">
        <v>503</v>
      </c>
      <c r="F37" s="6">
        <v>46195</v>
      </c>
      <c r="G37" s="5" t="s">
        <v>462</v>
      </c>
      <c r="H37" s="5" t="s">
        <v>462</v>
      </c>
      <c r="I37" s="5" t="s">
        <v>255</v>
      </c>
      <c r="J37" s="5" t="s">
        <v>411</v>
      </c>
      <c r="K37" s="3"/>
      <c r="L37" s="11">
        <f ca="1">IF($O37="","",$O37-TODAY())</f>
        <v>277</v>
      </c>
      <c r="M37" s="11" t="str">
        <f ca="1">IF($C37="","",$C37+365-TODAY())</f>
        <v/>
      </c>
      <c r="N37" s="11" t="str">
        <f ca="1">IF($C37="","",$C37+120-TODAY())</f>
        <v/>
      </c>
      <c r="O37" s="6">
        <v>46560</v>
      </c>
      <c r="P37" s="5" t="s">
        <v>51</v>
      </c>
      <c r="Q37" s="5" t="s">
        <v>209</v>
      </c>
      <c r="R37" s="5" t="s">
        <v>51</v>
      </c>
      <c r="S37" s="5" t="s">
        <v>50</v>
      </c>
      <c r="T37" s="5" t="s">
        <v>166</v>
      </c>
      <c r="U37" s="5" t="s">
        <v>50</v>
      </c>
      <c r="V37" s="5" t="s">
        <v>384</v>
      </c>
      <c r="W37" s="5"/>
      <c r="X37" s="5"/>
      <c r="Y37" s="5" t="s">
        <v>52</v>
      </c>
      <c r="Z37" s="7">
        <v>6392.96</v>
      </c>
      <c r="AA37" s="7">
        <v>0</v>
      </c>
      <c r="AB37" s="7">
        <v>0</v>
      </c>
      <c r="AC37" s="6"/>
      <c r="AD37" s="7">
        <v>6392.96</v>
      </c>
      <c r="AE37" s="4">
        <v>47</v>
      </c>
      <c r="AF37" s="5" t="s">
        <v>336</v>
      </c>
      <c r="AG37" s="5"/>
      <c r="AH37" s="5"/>
      <c r="AI37" s="5"/>
      <c r="AJ37" s="4"/>
      <c r="AK37" s="5" t="s">
        <v>487</v>
      </c>
      <c r="AL37" s="5" t="s">
        <v>488</v>
      </c>
      <c r="AM37" s="6">
        <v>46196</v>
      </c>
      <c r="AN37" s="5" t="s">
        <v>339</v>
      </c>
      <c r="AO37" s="5" t="s">
        <v>504</v>
      </c>
    </row>
    <row r="38" spans="1:41" x14ac:dyDescent="0.25">
      <c r="A38" s="2"/>
      <c r="B38" s="2"/>
      <c r="C38" s="3">
        <v>46268</v>
      </c>
      <c r="D38" s="4">
        <v>563163093</v>
      </c>
      <c r="E38" s="5" t="s">
        <v>753</v>
      </c>
      <c r="F38" s="6">
        <v>46195</v>
      </c>
      <c r="G38" s="5" t="s">
        <v>294</v>
      </c>
      <c r="H38" s="5" t="s">
        <v>462</v>
      </c>
      <c r="I38" s="5" t="s">
        <v>294</v>
      </c>
      <c r="J38" s="5" t="s">
        <v>332</v>
      </c>
      <c r="K38" s="3"/>
      <c r="L38" s="11">
        <f ca="1">IF($O38="","",$O38-TODAY())</f>
        <v>277</v>
      </c>
      <c r="M38" s="11">
        <f ca="1">IF($C38="","",$C38+365-TODAY())</f>
        <v>350</v>
      </c>
      <c r="N38" s="11">
        <f ca="1">IF($C38="","",$C38+120-TODAY())</f>
        <v>105</v>
      </c>
      <c r="O38" s="6">
        <v>46560</v>
      </c>
      <c r="P38" s="5" t="s">
        <v>51</v>
      </c>
      <c r="Q38" s="5" t="s">
        <v>209</v>
      </c>
      <c r="R38" s="5" t="s">
        <v>51</v>
      </c>
      <c r="S38" s="5" t="s">
        <v>50</v>
      </c>
      <c r="T38" s="5" t="s">
        <v>166</v>
      </c>
      <c r="U38" s="5" t="s">
        <v>50</v>
      </c>
      <c r="V38" s="5" t="s">
        <v>334</v>
      </c>
      <c r="W38" s="5"/>
      <c r="X38" s="5"/>
      <c r="Y38" s="5" t="s">
        <v>335</v>
      </c>
      <c r="Z38" s="7">
        <v>36353.8</v>
      </c>
      <c r="AA38" s="7">
        <v>29931.31</v>
      </c>
      <c r="AB38" s="7">
        <v>5337.61</v>
      </c>
      <c r="AC38" s="6">
        <v>46268</v>
      </c>
      <c r="AD38" s="7">
        <v>1084.88</v>
      </c>
      <c r="AE38" s="4">
        <v>47</v>
      </c>
      <c r="AF38" s="5" t="s">
        <v>149</v>
      </c>
      <c r="AG38" s="5" t="s">
        <v>920</v>
      </c>
      <c r="AH38" s="5" t="s">
        <v>398</v>
      </c>
      <c r="AI38" s="5"/>
      <c r="AJ38" s="4" t="s">
        <v>921</v>
      </c>
      <c r="AK38" s="5" t="s">
        <v>471</v>
      </c>
      <c r="AL38" s="5" t="s">
        <v>472</v>
      </c>
      <c r="AM38" s="6">
        <v>46196</v>
      </c>
      <c r="AN38" s="5" t="s">
        <v>339</v>
      </c>
      <c r="AO38" s="5"/>
    </row>
    <row r="39" spans="1:41" x14ac:dyDescent="0.25">
      <c r="A39" s="2"/>
      <c r="B39" s="2"/>
      <c r="C39" s="3">
        <v>46209</v>
      </c>
      <c r="D39" s="4">
        <v>564042566</v>
      </c>
      <c r="E39" s="5" t="s">
        <v>505</v>
      </c>
      <c r="F39" s="6">
        <v>46197</v>
      </c>
      <c r="G39" s="5" t="s">
        <v>462</v>
      </c>
      <c r="H39" s="5" t="s">
        <v>462</v>
      </c>
      <c r="I39" s="5" t="s">
        <v>45</v>
      </c>
      <c r="J39" s="5" t="s">
        <v>506</v>
      </c>
      <c r="K39" s="3"/>
      <c r="L39" s="11">
        <f ca="1">IF($O39="","",$O39-TODAY())</f>
        <v>279</v>
      </c>
      <c r="M39" s="11">
        <f ca="1">IF($C39="","",$C39+365-TODAY())</f>
        <v>291</v>
      </c>
      <c r="N39" s="11">
        <f ca="1">IF($C39="","",$C39+120-TODAY())</f>
        <v>46</v>
      </c>
      <c r="O39" s="6">
        <v>46562</v>
      </c>
      <c r="P39" s="5" t="s">
        <v>51</v>
      </c>
      <c r="Q39" s="5" t="s">
        <v>209</v>
      </c>
      <c r="R39" s="5" t="s">
        <v>51</v>
      </c>
      <c r="S39" s="5" t="s">
        <v>50</v>
      </c>
      <c r="T39" s="5" t="s">
        <v>166</v>
      </c>
      <c r="U39" s="5" t="s">
        <v>50</v>
      </c>
      <c r="V39" s="5" t="s">
        <v>384</v>
      </c>
      <c r="W39" s="5"/>
      <c r="X39" s="5"/>
      <c r="Y39" s="5" t="s">
        <v>52</v>
      </c>
      <c r="Z39" s="7">
        <v>7792.75</v>
      </c>
      <c r="AA39" s="7">
        <v>0</v>
      </c>
      <c r="AB39" s="7">
        <v>0</v>
      </c>
      <c r="AC39" s="6">
        <v>46209</v>
      </c>
      <c r="AD39" s="7">
        <v>7792.75</v>
      </c>
      <c r="AE39" s="4">
        <v>45</v>
      </c>
      <c r="AF39" s="5" t="s">
        <v>507</v>
      </c>
      <c r="AG39" s="5" t="s">
        <v>508</v>
      </c>
      <c r="AH39" s="5"/>
      <c r="AI39" s="5"/>
      <c r="AJ39" s="4"/>
      <c r="AK39" s="5" t="s">
        <v>480</v>
      </c>
      <c r="AL39" s="5" t="s">
        <v>481</v>
      </c>
      <c r="AM39" s="6">
        <v>46204</v>
      </c>
      <c r="AN39" s="5" t="s">
        <v>339</v>
      </c>
      <c r="AO39" s="5" t="s">
        <v>509</v>
      </c>
    </row>
    <row r="40" spans="1:41" x14ac:dyDescent="0.25">
      <c r="A40" s="2"/>
      <c r="B40" s="2"/>
      <c r="C40" s="3"/>
      <c r="D40" s="4">
        <v>564112414</v>
      </c>
      <c r="E40" s="5" t="s">
        <v>510</v>
      </c>
      <c r="F40" s="6">
        <v>46199</v>
      </c>
      <c r="G40" s="5" t="s">
        <v>462</v>
      </c>
      <c r="H40" s="5" t="s">
        <v>462</v>
      </c>
      <c r="I40" s="5" t="s">
        <v>294</v>
      </c>
      <c r="J40" s="5" t="s">
        <v>378</v>
      </c>
      <c r="K40" s="3"/>
      <c r="L40" s="11">
        <f ca="1">IF($O40="","",$O40-TODAY())</f>
        <v>281</v>
      </c>
      <c r="M40" s="11" t="str">
        <f ca="1">IF($C40="","",$C40+365-TODAY())</f>
        <v/>
      </c>
      <c r="N40" s="11" t="str">
        <f ca="1">IF($C40="","",$C40+120-TODAY())</f>
        <v/>
      </c>
      <c r="O40" s="6">
        <v>46564</v>
      </c>
      <c r="P40" s="5" t="s">
        <v>51</v>
      </c>
      <c r="Q40" s="5" t="s">
        <v>209</v>
      </c>
      <c r="R40" s="5" t="s">
        <v>51</v>
      </c>
      <c r="S40" s="5" t="s">
        <v>50</v>
      </c>
      <c r="T40" s="5" t="s">
        <v>166</v>
      </c>
      <c r="U40" s="5" t="s">
        <v>50</v>
      </c>
      <c r="V40" s="5" t="s">
        <v>334</v>
      </c>
      <c r="W40" s="5"/>
      <c r="X40" s="5"/>
      <c r="Y40" s="5" t="s">
        <v>379</v>
      </c>
      <c r="Z40" s="7">
        <v>2958.2</v>
      </c>
      <c r="AA40" s="7">
        <v>0</v>
      </c>
      <c r="AB40" s="7">
        <v>0</v>
      </c>
      <c r="AC40" s="6"/>
      <c r="AD40" s="7">
        <v>2958.2</v>
      </c>
      <c r="AE40" s="4">
        <v>43</v>
      </c>
      <c r="AF40" s="5" t="s">
        <v>149</v>
      </c>
      <c r="AG40" s="5" t="s">
        <v>511</v>
      </c>
      <c r="AH40" s="5"/>
      <c r="AI40" s="5"/>
      <c r="AJ40" s="4"/>
      <c r="AK40" s="5" t="s">
        <v>487</v>
      </c>
      <c r="AL40" s="5" t="s">
        <v>488</v>
      </c>
      <c r="AM40" s="6">
        <v>46205</v>
      </c>
      <c r="AN40" s="5" t="s">
        <v>339</v>
      </c>
      <c r="AO40" s="5" t="s">
        <v>512</v>
      </c>
    </row>
    <row r="41" spans="1:41" x14ac:dyDescent="0.25">
      <c r="A41" s="2" t="s">
        <v>41</v>
      </c>
      <c r="B41" s="2"/>
      <c r="C41" s="3">
        <v>46219</v>
      </c>
      <c r="D41" s="4">
        <v>564117213</v>
      </c>
      <c r="E41" s="5" t="s">
        <v>513</v>
      </c>
      <c r="F41" s="6">
        <v>46202</v>
      </c>
      <c r="G41" s="5" t="s">
        <v>514</v>
      </c>
      <c r="H41" s="5" t="s">
        <v>462</v>
      </c>
      <c r="I41" s="5" t="s">
        <v>514</v>
      </c>
      <c r="J41" s="5" t="s">
        <v>353</v>
      </c>
      <c r="K41" s="3"/>
      <c r="L41" s="11">
        <f ca="1">IF($O41="","",$O41-TODAY())</f>
        <v>284</v>
      </c>
      <c r="M41" s="11">
        <f ca="1">IF($C41="","",$C41+365-TODAY())</f>
        <v>301</v>
      </c>
      <c r="N41" s="11">
        <f ca="1">IF($C41="","",$C41+120-TODAY())</f>
        <v>56</v>
      </c>
      <c r="O41" s="6">
        <v>46567</v>
      </c>
      <c r="P41" s="5" t="s">
        <v>51</v>
      </c>
      <c r="Q41" s="5" t="s">
        <v>209</v>
      </c>
      <c r="R41" s="5" t="s">
        <v>51</v>
      </c>
      <c r="S41" s="5" t="s">
        <v>50</v>
      </c>
      <c r="T41" s="5" t="s">
        <v>166</v>
      </c>
      <c r="U41" s="5" t="s">
        <v>50</v>
      </c>
      <c r="V41" s="5" t="s">
        <v>354</v>
      </c>
      <c r="W41" s="5"/>
      <c r="X41" s="5"/>
      <c r="Y41" s="5" t="s">
        <v>355</v>
      </c>
      <c r="Z41" s="7">
        <v>11832.8</v>
      </c>
      <c r="AA41" s="7">
        <v>10095.450000000001</v>
      </c>
      <c r="AB41" s="7">
        <v>1384.23</v>
      </c>
      <c r="AC41" s="6">
        <v>46219</v>
      </c>
      <c r="AD41" s="7">
        <v>353.12</v>
      </c>
      <c r="AE41" s="4">
        <v>40</v>
      </c>
      <c r="AF41" s="5" t="s">
        <v>149</v>
      </c>
      <c r="AG41" s="5"/>
      <c r="AH41" s="5"/>
      <c r="AI41" s="5"/>
      <c r="AJ41" s="4">
        <v>567247169</v>
      </c>
      <c r="AK41" s="5" t="s">
        <v>464</v>
      </c>
      <c r="AL41" s="5" t="s">
        <v>465</v>
      </c>
      <c r="AM41" s="6">
        <v>46205</v>
      </c>
      <c r="AN41" s="5" t="s">
        <v>339</v>
      </c>
      <c r="AO41" s="5" t="s">
        <v>515</v>
      </c>
    </row>
    <row r="42" spans="1:41" x14ac:dyDescent="0.25">
      <c r="A42" s="2"/>
      <c r="B42" s="2"/>
      <c r="C42" s="3">
        <v>46224</v>
      </c>
      <c r="D42" s="4">
        <v>565309736</v>
      </c>
      <c r="E42" s="5" t="s">
        <v>516</v>
      </c>
      <c r="F42" s="6">
        <v>46202</v>
      </c>
      <c r="G42" s="5" t="s">
        <v>462</v>
      </c>
      <c r="H42" s="5" t="s">
        <v>462</v>
      </c>
      <c r="I42" s="5" t="s">
        <v>247</v>
      </c>
      <c r="J42" s="5" t="s">
        <v>411</v>
      </c>
      <c r="K42" s="3"/>
      <c r="L42" s="11">
        <f ca="1">IF($O42="","",$O42-TODAY())</f>
        <v>284</v>
      </c>
      <c r="M42" s="11">
        <f ca="1">IF($C42="","",$C42+365-TODAY())</f>
        <v>306</v>
      </c>
      <c r="N42" s="11">
        <f ca="1">IF($C42="","",$C42+120-TODAY())</f>
        <v>61</v>
      </c>
      <c r="O42" s="6">
        <v>46567</v>
      </c>
      <c r="P42" s="5" t="s">
        <v>51</v>
      </c>
      <c r="Q42" s="5" t="s">
        <v>209</v>
      </c>
      <c r="R42" s="5" t="s">
        <v>51</v>
      </c>
      <c r="S42" s="5" t="s">
        <v>50</v>
      </c>
      <c r="T42" s="5" t="s">
        <v>166</v>
      </c>
      <c r="U42" s="5" t="s">
        <v>50</v>
      </c>
      <c r="V42" s="5" t="s">
        <v>384</v>
      </c>
      <c r="W42" s="5"/>
      <c r="X42" s="5"/>
      <c r="Y42" s="5" t="s">
        <v>52</v>
      </c>
      <c r="Z42" s="7">
        <v>6392.96</v>
      </c>
      <c r="AA42" s="7">
        <v>0</v>
      </c>
      <c r="AB42" s="7">
        <v>0</v>
      </c>
      <c r="AC42" s="6">
        <v>46224</v>
      </c>
      <c r="AD42" s="7">
        <v>6392.96</v>
      </c>
      <c r="AE42" s="4">
        <v>40</v>
      </c>
      <c r="AF42" s="5" t="s">
        <v>367</v>
      </c>
      <c r="AG42" s="5"/>
      <c r="AH42" s="5"/>
      <c r="AI42" s="5"/>
      <c r="AJ42" s="4"/>
      <c r="AK42" s="5" t="s">
        <v>471</v>
      </c>
      <c r="AL42" s="5" t="s">
        <v>472</v>
      </c>
      <c r="AM42" s="6">
        <v>46204</v>
      </c>
      <c r="AN42" s="5" t="s">
        <v>339</v>
      </c>
      <c r="AO42" s="5" t="s">
        <v>517</v>
      </c>
    </row>
    <row r="43" spans="1:41" x14ac:dyDescent="0.25">
      <c r="A43" s="2" t="s">
        <v>945</v>
      </c>
      <c r="B43" s="13" t="s">
        <v>947</v>
      </c>
      <c r="C43" s="3"/>
      <c r="D43" s="4">
        <v>562142694</v>
      </c>
      <c r="E43" s="5" t="s">
        <v>521</v>
      </c>
      <c r="F43" s="6">
        <v>46177</v>
      </c>
      <c r="G43" s="5" t="s">
        <v>304</v>
      </c>
      <c r="H43" s="5" t="s">
        <v>304</v>
      </c>
      <c r="I43" s="5" t="s">
        <v>45</v>
      </c>
      <c r="J43" s="5" t="s">
        <v>522</v>
      </c>
      <c r="K43" s="3"/>
      <c r="L43" s="11" t="str">
        <f ca="1">IF($O43="","",$O43-TODAY())</f>
        <v/>
      </c>
      <c r="M43" s="11"/>
      <c r="N43" s="11"/>
      <c r="O43" s="6"/>
      <c r="P43" s="5"/>
      <c r="Q43" s="5" t="s">
        <v>286</v>
      </c>
      <c r="R43" s="5"/>
      <c r="S43" s="5"/>
      <c r="T43" s="5"/>
      <c r="U43" s="5"/>
      <c r="V43" s="5" t="s">
        <v>384</v>
      </c>
      <c r="W43" s="5"/>
      <c r="X43" s="5"/>
      <c r="Y43" s="5" t="s">
        <v>52</v>
      </c>
      <c r="Z43" s="7">
        <v>9479.4</v>
      </c>
      <c r="AA43" s="7">
        <v>0</v>
      </c>
      <c r="AB43" s="7">
        <v>0</v>
      </c>
      <c r="AC43" s="6"/>
      <c r="AD43" s="7">
        <v>9479.4</v>
      </c>
      <c r="AE43" s="4">
        <v>65</v>
      </c>
      <c r="AF43" s="5" t="s">
        <v>336</v>
      </c>
      <c r="AG43" s="5" t="s">
        <v>523</v>
      </c>
      <c r="AH43" s="5" t="s">
        <v>524</v>
      </c>
      <c r="AI43" s="5"/>
      <c r="AJ43" s="4"/>
      <c r="AK43" s="5" t="s">
        <v>525</v>
      </c>
      <c r="AL43" s="5" t="s">
        <v>113</v>
      </c>
      <c r="AM43" s="6">
        <v>46185</v>
      </c>
      <c r="AN43" s="5" t="s">
        <v>339</v>
      </c>
      <c r="AO43" s="5" t="s">
        <v>526</v>
      </c>
    </row>
    <row r="44" spans="1:41" x14ac:dyDescent="0.25">
      <c r="A44" s="2" t="s">
        <v>945</v>
      </c>
      <c r="B44" s="13" t="s">
        <v>947</v>
      </c>
      <c r="C44" s="3"/>
      <c r="D44" s="4">
        <v>564106191</v>
      </c>
      <c r="E44" s="5" t="s">
        <v>521</v>
      </c>
      <c r="F44" s="6">
        <v>46197</v>
      </c>
      <c r="G44" s="5" t="s">
        <v>304</v>
      </c>
      <c r="H44" s="5" t="s">
        <v>304</v>
      </c>
      <c r="I44" s="5" t="s">
        <v>45</v>
      </c>
      <c r="J44" s="5" t="s">
        <v>378</v>
      </c>
      <c r="K44" s="3"/>
      <c r="L44" s="11" t="str">
        <f ca="1">IF($O44="","",$O44-TODAY())</f>
        <v/>
      </c>
      <c r="M44" s="11"/>
      <c r="N44" s="11"/>
      <c r="O44" s="6"/>
      <c r="P44" s="5"/>
      <c r="Q44" s="5" t="s">
        <v>286</v>
      </c>
      <c r="R44" s="5"/>
      <c r="S44" s="5"/>
      <c r="T44" s="5"/>
      <c r="U44" s="5"/>
      <c r="V44" s="5" t="s">
        <v>334</v>
      </c>
      <c r="W44" s="5"/>
      <c r="X44" s="5"/>
      <c r="Y44" s="5" t="s">
        <v>379</v>
      </c>
      <c r="Z44" s="7">
        <v>2958.2</v>
      </c>
      <c r="AA44" s="7">
        <v>0</v>
      </c>
      <c r="AB44" s="7">
        <v>0</v>
      </c>
      <c r="AC44" s="6"/>
      <c r="AD44" s="7">
        <v>2958.2</v>
      </c>
      <c r="AE44" s="4">
        <v>45</v>
      </c>
      <c r="AF44" s="5" t="s">
        <v>149</v>
      </c>
      <c r="AG44" s="5" t="s">
        <v>336</v>
      </c>
      <c r="AH44" s="5"/>
      <c r="AI44" s="5"/>
      <c r="AJ44" s="4"/>
      <c r="AK44" s="5" t="s">
        <v>112</v>
      </c>
      <c r="AL44" s="5" t="s">
        <v>113</v>
      </c>
      <c r="AM44" s="6">
        <v>46205</v>
      </c>
      <c r="AN44" s="5" t="s">
        <v>339</v>
      </c>
      <c r="AO44" s="5" t="s">
        <v>530</v>
      </c>
    </row>
  </sheetData>
  <autoFilter ref="A1:AO44" xr:uid="{00000000-0009-0000-0000-000001000000}"/>
  <conditionalFormatting sqref="L2:L44">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44">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44">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O44">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44"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7"/>
  <sheetViews>
    <sheetView zoomScale="90" workbookViewId="0">
      <pane xSplit="2" ySplit="1" topLeftCell="C2" activePane="bottomRight" state="frozen"/>
      <selection pane="topRight"/>
      <selection pane="bottomLeft"/>
      <selection pane="bottomRight" activeCell="D23" sqref="D2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5703125" customWidth="1"/>
    <col min="8" max="8" width="34" customWidth="1"/>
    <col min="9" max="9" width="40" hidden="1" customWidth="1"/>
    <col min="10" max="10" width="42" customWidth="1"/>
    <col min="11" max="11" width="14" customWidth="1"/>
    <col min="12" max="12" width="12" customWidth="1"/>
    <col min="13" max="13" width="19" customWidth="1"/>
    <col min="14" max="14" width="1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row>
    <row r="2" spans="1:41" x14ac:dyDescent="0.25">
      <c r="A2" s="2" t="s">
        <v>42</v>
      </c>
      <c r="B2" s="13" t="s">
        <v>531</v>
      </c>
      <c r="C2" s="3">
        <v>46203</v>
      </c>
      <c r="D2" s="4">
        <v>562932517</v>
      </c>
      <c r="E2" s="5" t="s">
        <v>532</v>
      </c>
      <c r="F2" s="6">
        <v>46174</v>
      </c>
      <c r="G2" s="5" t="s">
        <v>136</v>
      </c>
      <c r="H2" s="5" t="s">
        <v>136</v>
      </c>
      <c r="I2" s="5" t="s">
        <v>45</v>
      </c>
      <c r="J2" s="5" t="s">
        <v>533</v>
      </c>
      <c r="K2" s="3">
        <v>46203</v>
      </c>
      <c r="L2" s="11">
        <f ca="1">IF($O2="","",$O2-TODAY())</f>
        <v>-19</v>
      </c>
      <c r="M2" s="11">
        <f ca="1">IF($F2="","",$F2+90-TODAY())</f>
        <v>-19</v>
      </c>
      <c r="N2" s="11">
        <f ca="1">IF($C2="","",$C2+365-TODAY())</f>
        <v>285</v>
      </c>
      <c r="O2" s="6">
        <v>46264</v>
      </c>
      <c r="P2" s="5" t="s">
        <v>47</v>
      </c>
      <c r="Q2" s="5" t="s">
        <v>137</v>
      </c>
      <c r="R2" s="5" t="s">
        <v>47</v>
      </c>
      <c r="S2" s="5" t="s">
        <v>189</v>
      </c>
      <c r="T2" s="5" t="s">
        <v>51</v>
      </c>
      <c r="U2" s="5" t="s">
        <v>50</v>
      </c>
      <c r="V2" s="5" t="s">
        <v>534</v>
      </c>
      <c r="W2" s="5" t="s">
        <v>535</v>
      </c>
      <c r="X2" s="5" t="s">
        <v>469</v>
      </c>
      <c r="Y2" s="5" t="s">
        <v>536</v>
      </c>
      <c r="Z2" s="7">
        <v>70557.69</v>
      </c>
      <c r="AA2" s="7">
        <v>0</v>
      </c>
      <c r="AB2" s="7">
        <v>0</v>
      </c>
      <c r="AC2" s="6"/>
      <c r="AD2" s="7">
        <v>70557.69</v>
      </c>
      <c r="AE2" s="4">
        <v>68</v>
      </c>
      <c r="AF2" s="5" t="s">
        <v>537</v>
      </c>
      <c r="AG2" s="5" t="s">
        <v>538</v>
      </c>
      <c r="AH2" s="5" t="s">
        <v>539</v>
      </c>
      <c r="AI2" s="5"/>
      <c r="AJ2" s="4"/>
      <c r="AK2" s="5" t="s">
        <v>540</v>
      </c>
      <c r="AL2" s="5" t="s">
        <v>541</v>
      </c>
      <c r="AM2" s="6">
        <v>46193</v>
      </c>
      <c r="AN2" s="5" t="s">
        <v>542</v>
      </c>
      <c r="AO2" s="5" t="s">
        <v>543</v>
      </c>
    </row>
    <row r="3" spans="1:41" x14ac:dyDescent="0.25">
      <c r="A3" s="2" t="s">
        <v>78</v>
      </c>
      <c r="B3" s="13" t="s">
        <v>544</v>
      </c>
      <c r="C3" s="3">
        <v>46254</v>
      </c>
      <c r="D3" s="4">
        <v>565100484</v>
      </c>
      <c r="E3" s="5" t="s">
        <v>545</v>
      </c>
      <c r="F3" s="6">
        <v>46174</v>
      </c>
      <c r="G3" s="5" t="s">
        <v>66</v>
      </c>
      <c r="H3" s="5" t="s">
        <v>66</v>
      </c>
      <c r="I3" s="5" t="s">
        <v>45</v>
      </c>
      <c r="J3" s="14" t="s">
        <v>546</v>
      </c>
      <c r="K3" s="3">
        <v>46270</v>
      </c>
      <c r="L3" s="11">
        <f ca="1">IF($O3="","",$O3-TODAY())</f>
        <v>-19</v>
      </c>
      <c r="M3" s="11">
        <f ca="1">IF($C3="","",$C3+180-TODAY())</f>
        <v>151</v>
      </c>
      <c r="N3" s="11">
        <f ca="1">IF($C3="","",$C3+365-TODAY())</f>
        <v>336</v>
      </c>
      <c r="O3" s="6">
        <v>46264</v>
      </c>
      <c r="P3" s="5" t="s">
        <v>47</v>
      </c>
      <c r="Q3" s="5" t="s">
        <v>67</v>
      </c>
      <c r="R3" s="5" t="s">
        <v>49</v>
      </c>
      <c r="S3" s="5" t="s">
        <v>50</v>
      </c>
      <c r="T3" s="5" t="s">
        <v>51</v>
      </c>
      <c r="U3" s="5" t="s">
        <v>50</v>
      </c>
      <c r="V3" s="5" t="s">
        <v>547</v>
      </c>
      <c r="W3" s="5" t="s">
        <v>535</v>
      </c>
      <c r="X3" s="5" t="s">
        <v>469</v>
      </c>
      <c r="Y3" s="5" t="s">
        <v>548</v>
      </c>
      <c r="Z3" s="7">
        <v>69078.8</v>
      </c>
      <c r="AA3" s="7">
        <v>0</v>
      </c>
      <c r="AB3" s="7">
        <v>0</v>
      </c>
      <c r="AC3" s="6"/>
      <c r="AD3" s="7">
        <v>69078.8</v>
      </c>
      <c r="AE3" s="4">
        <v>68</v>
      </c>
      <c r="AF3" s="5" t="s">
        <v>537</v>
      </c>
      <c r="AG3" s="5" t="s">
        <v>538</v>
      </c>
      <c r="AH3" s="5" t="s">
        <v>539</v>
      </c>
      <c r="AI3" s="5"/>
      <c r="AJ3" s="4"/>
      <c r="AK3" s="5" t="s">
        <v>540</v>
      </c>
      <c r="AL3" s="5" t="s">
        <v>541</v>
      </c>
      <c r="AM3" s="6">
        <v>46216</v>
      </c>
      <c r="AN3" s="5" t="s">
        <v>542</v>
      </c>
      <c r="AO3" s="5" t="s">
        <v>549</v>
      </c>
    </row>
    <row r="4" spans="1:41" x14ac:dyDescent="0.25">
      <c r="A4" s="2" t="s">
        <v>78</v>
      </c>
      <c r="B4" s="13" t="s">
        <v>550</v>
      </c>
      <c r="C4" s="3">
        <v>46268</v>
      </c>
      <c r="D4" s="4">
        <v>565101780</v>
      </c>
      <c r="E4" s="5" t="s">
        <v>551</v>
      </c>
      <c r="F4" s="6">
        <v>46181</v>
      </c>
      <c r="G4" s="5" t="s">
        <v>66</v>
      </c>
      <c r="H4" s="5" t="s">
        <v>66</v>
      </c>
      <c r="I4" s="5" t="s">
        <v>45</v>
      </c>
      <c r="J4" s="5" t="s">
        <v>552</v>
      </c>
      <c r="K4" s="3">
        <v>46270</v>
      </c>
      <c r="L4" s="11">
        <f ca="1">IF($O4="","",$O4-TODAY())</f>
        <v>-12</v>
      </c>
      <c r="M4" s="11">
        <f ca="1">IF($C4="","",$C4+180-TODAY())</f>
        <v>165</v>
      </c>
      <c r="N4" s="11">
        <f ca="1">IF($C4="","",$C4+365-TODAY())</f>
        <v>350</v>
      </c>
      <c r="O4" s="6">
        <v>46271</v>
      </c>
      <c r="P4" s="5" t="s">
        <v>47</v>
      </c>
      <c r="Q4" s="5" t="s">
        <v>67</v>
      </c>
      <c r="R4" s="5" t="s">
        <v>49</v>
      </c>
      <c r="S4" s="5" t="s">
        <v>50</v>
      </c>
      <c r="T4" s="5" t="s">
        <v>51</v>
      </c>
      <c r="U4" s="5" t="s">
        <v>50</v>
      </c>
      <c r="V4" s="5" t="s">
        <v>534</v>
      </c>
      <c r="W4" s="5" t="s">
        <v>553</v>
      </c>
      <c r="X4" s="5" t="s">
        <v>554</v>
      </c>
      <c r="Y4" s="5" t="s">
        <v>555</v>
      </c>
      <c r="Z4" s="7">
        <v>73204.81</v>
      </c>
      <c r="AA4" s="7">
        <v>0</v>
      </c>
      <c r="AB4" s="7">
        <v>0</v>
      </c>
      <c r="AC4" s="6"/>
      <c r="AD4" s="7">
        <v>73204.81</v>
      </c>
      <c r="AE4" s="4">
        <v>61</v>
      </c>
      <c r="AF4" s="5" t="s">
        <v>556</v>
      </c>
      <c r="AG4" s="5" t="s">
        <v>538</v>
      </c>
      <c r="AH4" s="5" t="s">
        <v>557</v>
      </c>
      <c r="AI4" s="5"/>
      <c r="AJ4" s="4"/>
      <c r="AK4" s="5" t="s">
        <v>540</v>
      </c>
      <c r="AL4" s="5" t="s">
        <v>558</v>
      </c>
      <c r="AM4" s="6">
        <v>46216</v>
      </c>
      <c r="AN4" s="5" t="s">
        <v>542</v>
      </c>
      <c r="AO4" s="5" t="s">
        <v>559</v>
      </c>
    </row>
    <row r="5" spans="1:41" x14ac:dyDescent="0.25">
      <c r="A5" s="2" t="s">
        <v>78</v>
      </c>
      <c r="B5" s="2" t="s">
        <v>560</v>
      </c>
      <c r="C5" s="3">
        <v>46225</v>
      </c>
      <c r="D5" s="4">
        <v>570979060</v>
      </c>
      <c r="E5" s="5" t="s">
        <v>561</v>
      </c>
      <c r="F5" s="6">
        <v>46181</v>
      </c>
      <c r="G5" s="5" t="s">
        <v>360</v>
      </c>
      <c r="H5" s="5" t="s">
        <v>360</v>
      </c>
      <c r="I5" s="5" t="s">
        <v>45</v>
      </c>
      <c r="J5" s="5" t="s">
        <v>562</v>
      </c>
      <c r="K5" s="3">
        <v>46270</v>
      </c>
      <c r="L5" s="11">
        <f ca="1">IF($O5="","",$O5-TODAY())</f>
        <v>-12</v>
      </c>
      <c r="M5" s="11">
        <f ca="1">IF($F5="","",$F5+90-TODAY())</f>
        <v>-12</v>
      </c>
      <c r="N5" s="11">
        <f ca="1">IF($C5="","",$C5+180-TODAY())</f>
        <v>122</v>
      </c>
      <c r="O5" s="6">
        <v>46271</v>
      </c>
      <c r="P5" s="5" t="s">
        <v>47</v>
      </c>
      <c r="Q5" s="5" t="s">
        <v>361</v>
      </c>
      <c r="R5" s="5" t="s">
        <v>47</v>
      </c>
      <c r="S5" s="5" t="s">
        <v>189</v>
      </c>
      <c r="T5" s="5" t="s">
        <v>49</v>
      </c>
      <c r="U5" s="5" t="s">
        <v>50</v>
      </c>
      <c r="V5" s="5" t="s">
        <v>534</v>
      </c>
      <c r="W5" s="5" t="s">
        <v>535</v>
      </c>
      <c r="X5" s="5" t="s">
        <v>469</v>
      </c>
      <c r="Y5" s="5" t="s">
        <v>563</v>
      </c>
      <c r="Z5" s="7">
        <v>21123.69</v>
      </c>
      <c r="AA5" s="7">
        <v>0</v>
      </c>
      <c r="AB5" s="7">
        <v>0</v>
      </c>
      <c r="AC5" s="6">
        <v>46225</v>
      </c>
      <c r="AD5" s="7">
        <v>21123.69</v>
      </c>
      <c r="AE5" s="4">
        <v>61</v>
      </c>
      <c r="AF5" s="5" t="s">
        <v>537</v>
      </c>
      <c r="AG5" s="5" t="s">
        <v>538</v>
      </c>
      <c r="AH5" s="5" t="s">
        <v>539</v>
      </c>
      <c r="AI5" s="5"/>
      <c r="AJ5" s="4"/>
      <c r="AK5" s="5" t="s">
        <v>540</v>
      </c>
      <c r="AL5" s="5" t="s">
        <v>558</v>
      </c>
      <c r="AM5" s="6">
        <v>46216</v>
      </c>
      <c r="AN5" s="5" t="s">
        <v>542</v>
      </c>
      <c r="AO5" s="5" t="s">
        <v>564</v>
      </c>
    </row>
    <row r="6" spans="1:41" x14ac:dyDescent="0.25">
      <c r="A6" s="2" t="s">
        <v>42</v>
      </c>
      <c r="B6" s="13" t="s">
        <v>531</v>
      </c>
      <c r="C6" s="3">
        <v>46224</v>
      </c>
      <c r="D6" s="4">
        <v>569910853</v>
      </c>
      <c r="E6" s="14" t="s">
        <v>565</v>
      </c>
      <c r="F6" s="6">
        <v>46181</v>
      </c>
      <c r="G6" s="5" t="s">
        <v>44</v>
      </c>
      <c r="H6" s="5" t="s">
        <v>44</v>
      </c>
      <c r="I6" s="5" t="s">
        <v>45</v>
      </c>
      <c r="J6" s="5" t="s">
        <v>566</v>
      </c>
      <c r="K6" s="3">
        <v>46260</v>
      </c>
      <c r="L6" s="11">
        <f ca="1">IF($O6="","",$O6-TODAY())</f>
        <v>-12</v>
      </c>
      <c r="M6" s="11">
        <f ca="1">IF($C6="","",$C6+180-TODAY())</f>
        <v>121</v>
      </c>
      <c r="N6" s="11">
        <f ca="1">IF($C6="","",$C6+365-TODAY())</f>
        <v>306</v>
      </c>
      <c r="O6" s="6">
        <v>46271</v>
      </c>
      <c r="P6" s="5" t="s">
        <v>47</v>
      </c>
      <c r="Q6" s="5" t="s">
        <v>48</v>
      </c>
      <c r="R6" s="5" t="s">
        <v>49</v>
      </c>
      <c r="S6" s="5" t="s">
        <v>50</v>
      </c>
      <c r="T6" s="5" t="s">
        <v>51</v>
      </c>
      <c r="U6" s="5" t="s">
        <v>50</v>
      </c>
      <c r="V6" s="5" t="s">
        <v>567</v>
      </c>
      <c r="W6" s="5" t="s">
        <v>554</v>
      </c>
      <c r="X6" s="5"/>
      <c r="Y6" s="5" t="s">
        <v>568</v>
      </c>
      <c r="Z6" s="7">
        <v>70557.69</v>
      </c>
      <c r="AA6" s="7">
        <v>0</v>
      </c>
      <c r="AB6" s="7">
        <v>0</v>
      </c>
      <c r="AC6" s="6">
        <v>46224</v>
      </c>
      <c r="AD6" s="7">
        <v>70557.69</v>
      </c>
      <c r="AE6" s="4">
        <v>61</v>
      </c>
      <c r="AF6" s="5" t="s">
        <v>556</v>
      </c>
      <c r="AG6" s="5" t="s">
        <v>538</v>
      </c>
      <c r="AH6" s="5" t="s">
        <v>557</v>
      </c>
      <c r="AI6" s="5"/>
      <c r="AJ6" s="4"/>
      <c r="AK6" s="5" t="s">
        <v>540</v>
      </c>
      <c r="AL6" s="5" t="s">
        <v>72</v>
      </c>
      <c r="AM6" s="6">
        <v>46216</v>
      </c>
      <c r="AN6" s="5" t="s">
        <v>542</v>
      </c>
      <c r="AO6" s="5" t="s">
        <v>569</v>
      </c>
    </row>
    <row r="7" spans="1:41" x14ac:dyDescent="0.25">
      <c r="A7" s="2" t="s">
        <v>78</v>
      </c>
      <c r="B7" s="2" t="s">
        <v>899</v>
      </c>
      <c r="C7" s="3">
        <v>46270</v>
      </c>
      <c r="D7" s="4">
        <v>565102380</v>
      </c>
      <c r="E7" s="5" t="s">
        <v>551</v>
      </c>
      <c r="F7" s="6">
        <v>46195</v>
      </c>
      <c r="G7" s="5" t="s">
        <v>66</v>
      </c>
      <c r="H7" s="5" t="s">
        <v>66</v>
      </c>
      <c r="I7" s="5" t="s">
        <v>45</v>
      </c>
      <c r="J7" s="5" t="s">
        <v>570</v>
      </c>
      <c r="K7" s="3">
        <v>46282</v>
      </c>
      <c r="L7" s="11">
        <f ca="1">IF($O7="","",$O7-TODAY())</f>
        <v>2</v>
      </c>
      <c r="M7" s="11">
        <f ca="1">IF($C7="","",$C7+180-TODAY())</f>
        <v>167</v>
      </c>
      <c r="N7" s="11">
        <f ca="1">IF($C7="","",$C7+365-TODAY())</f>
        <v>352</v>
      </c>
      <c r="O7" s="6">
        <v>46285</v>
      </c>
      <c r="P7" s="5" t="s">
        <v>47</v>
      </c>
      <c r="Q7" s="5" t="s">
        <v>67</v>
      </c>
      <c r="R7" s="5" t="s">
        <v>49</v>
      </c>
      <c r="S7" s="5" t="s">
        <v>50</v>
      </c>
      <c r="T7" s="5" t="s">
        <v>51</v>
      </c>
      <c r="U7" s="5" t="s">
        <v>50</v>
      </c>
      <c r="V7" s="5" t="s">
        <v>547</v>
      </c>
      <c r="W7" s="5" t="s">
        <v>571</v>
      </c>
      <c r="X7" s="5" t="s">
        <v>469</v>
      </c>
      <c r="Y7" s="5" t="s">
        <v>555</v>
      </c>
      <c r="Z7" s="7">
        <v>87420.55</v>
      </c>
      <c r="AA7" s="7">
        <v>0</v>
      </c>
      <c r="AB7" s="7">
        <v>0</v>
      </c>
      <c r="AC7" s="6"/>
      <c r="AD7" s="7">
        <v>87420.55</v>
      </c>
      <c r="AE7" s="4">
        <v>47</v>
      </c>
      <c r="AF7" s="5" t="s">
        <v>537</v>
      </c>
      <c r="AG7" s="5" t="s">
        <v>538</v>
      </c>
      <c r="AH7" s="5" t="s">
        <v>539</v>
      </c>
      <c r="AI7" s="5"/>
      <c r="AJ7" s="4"/>
      <c r="AK7" s="5" t="s">
        <v>540</v>
      </c>
      <c r="AL7" s="5" t="s">
        <v>558</v>
      </c>
      <c r="AM7" s="6">
        <v>46216</v>
      </c>
      <c r="AN7" s="5" t="s">
        <v>542</v>
      </c>
      <c r="AO7" s="5" t="s">
        <v>572</v>
      </c>
    </row>
    <row r="8" spans="1:41" x14ac:dyDescent="0.25">
      <c r="A8" s="2" t="s">
        <v>78</v>
      </c>
      <c r="B8" s="2" t="s">
        <v>900</v>
      </c>
      <c r="C8" s="3">
        <v>46240</v>
      </c>
      <c r="D8" s="4">
        <v>565108599</v>
      </c>
      <c r="E8" s="5" t="s">
        <v>573</v>
      </c>
      <c r="F8" s="6">
        <v>46195</v>
      </c>
      <c r="G8" s="5" t="s">
        <v>574</v>
      </c>
      <c r="H8" s="5" t="s">
        <v>574</v>
      </c>
      <c r="I8" s="5" t="s">
        <v>45</v>
      </c>
      <c r="J8" s="5" t="s">
        <v>575</v>
      </c>
      <c r="K8" s="3">
        <v>46282</v>
      </c>
      <c r="L8" s="11">
        <f ca="1">IF($O8="","",$O8-TODAY())</f>
        <v>2</v>
      </c>
      <c r="M8" s="11">
        <f ca="1">IF($F8="","",$F8+90-TODAY())</f>
        <v>2</v>
      </c>
      <c r="N8" s="11">
        <f ca="1">IF($C8="","",$C8+540-TODAY())</f>
        <v>497</v>
      </c>
      <c r="O8" s="6">
        <v>46285</v>
      </c>
      <c r="P8" s="5" t="s">
        <v>47</v>
      </c>
      <c r="Q8" s="5" t="s">
        <v>576</v>
      </c>
      <c r="R8" s="5" t="s">
        <v>47</v>
      </c>
      <c r="S8" s="5" t="s">
        <v>189</v>
      </c>
      <c r="T8" s="5" t="s">
        <v>923</v>
      </c>
      <c r="U8" s="5" t="s">
        <v>50</v>
      </c>
      <c r="V8" s="5" t="s">
        <v>577</v>
      </c>
      <c r="W8" s="5" t="s">
        <v>554</v>
      </c>
      <c r="X8" s="5"/>
      <c r="Y8" s="5" t="s">
        <v>555</v>
      </c>
      <c r="Z8" s="7">
        <v>87420.55</v>
      </c>
      <c r="AA8" s="7">
        <v>0</v>
      </c>
      <c r="AB8" s="7">
        <v>0</v>
      </c>
      <c r="AC8" s="6"/>
      <c r="AD8" s="7">
        <v>87420.55</v>
      </c>
      <c r="AE8" s="4">
        <v>47</v>
      </c>
      <c r="AF8" s="5" t="s">
        <v>556</v>
      </c>
      <c r="AG8" s="5" t="s">
        <v>538</v>
      </c>
      <c r="AH8" s="5" t="s">
        <v>557</v>
      </c>
      <c r="AI8" s="5"/>
      <c r="AJ8" s="4"/>
      <c r="AK8" s="5" t="s">
        <v>540</v>
      </c>
      <c r="AL8" s="5" t="s">
        <v>72</v>
      </c>
      <c r="AM8" s="6">
        <v>46216</v>
      </c>
      <c r="AN8" s="5" t="s">
        <v>542</v>
      </c>
      <c r="AO8" s="5" t="s">
        <v>578</v>
      </c>
    </row>
    <row r="9" spans="1:41" x14ac:dyDescent="0.25">
      <c r="A9" s="2" t="s">
        <v>78</v>
      </c>
      <c r="B9" s="13" t="s">
        <v>909</v>
      </c>
      <c r="C9" s="3">
        <v>46262</v>
      </c>
      <c r="D9" s="4">
        <v>565098609</v>
      </c>
      <c r="E9" s="5" t="s">
        <v>584</v>
      </c>
      <c r="F9" s="6">
        <v>46202</v>
      </c>
      <c r="G9" s="5" t="s">
        <v>574</v>
      </c>
      <c r="H9" s="5" t="s">
        <v>574</v>
      </c>
      <c r="I9" s="5" t="s">
        <v>45</v>
      </c>
      <c r="J9" s="5" t="s">
        <v>585</v>
      </c>
      <c r="K9" s="3">
        <v>46283</v>
      </c>
      <c r="L9" s="11">
        <f ca="1">IF($O9="","",$O9-TODAY())</f>
        <v>9</v>
      </c>
      <c r="M9" s="11">
        <f ca="1">IF($F9="","",$F9+90-TODAY())</f>
        <v>9</v>
      </c>
      <c r="N9" s="11">
        <f ca="1">IF($C9="","",$C9+540-TODAY())</f>
        <v>519</v>
      </c>
      <c r="O9" s="6">
        <v>46292</v>
      </c>
      <c r="P9" s="5" t="s">
        <v>47</v>
      </c>
      <c r="Q9" s="5" t="s">
        <v>576</v>
      </c>
      <c r="R9" s="5" t="s">
        <v>47</v>
      </c>
      <c r="S9" s="5" t="s">
        <v>189</v>
      </c>
      <c r="T9" s="5" t="s">
        <v>923</v>
      </c>
      <c r="U9" s="5" t="s">
        <v>50</v>
      </c>
      <c r="V9" s="5" t="s">
        <v>547</v>
      </c>
      <c r="W9" s="5" t="s">
        <v>571</v>
      </c>
      <c r="X9" s="5" t="s">
        <v>469</v>
      </c>
      <c r="Y9" s="5" t="s">
        <v>586</v>
      </c>
      <c r="Z9" s="7">
        <v>87420.55</v>
      </c>
      <c r="AA9" s="7">
        <v>0</v>
      </c>
      <c r="AB9" s="7">
        <v>0</v>
      </c>
      <c r="AC9" s="6"/>
      <c r="AD9" s="7">
        <v>87420.55</v>
      </c>
      <c r="AE9" s="4">
        <v>40</v>
      </c>
      <c r="AF9" s="5" t="s">
        <v>537</v>
      </c>
      <c r="AG9" s="5" t="s">
        <v>538</v>
      </c>
      <c r="AH9" s="5" t="s">
        <v>539</v>
      </c>
      <c r="AI9" s="5"/>
      <c r="AJ9" s="4"/>
      <c r="AK9" s="5" t="s">
        <v>540</v>
      </c>
      <c r="AL9" s="5" t="s">
        <v>541</v>
      </c>
      <c r="AM9" s="6">
        <v>46216</v>
      </c>
      <c r="AN9" s="5" t="s">
        <v>542</v>
      </c>
      <c r="AO9" s="5" t="s">
        <v>587</v>
      </c>
    </row>
    <row r="10" spans="1:41" x14ac:dyDescent="0.25">
      <c r="A10" s="2" t="s">
        <v>127</v>
      </c>
      <c r="B10" s="2" t="s">
        <v>910</v>
      </c>
      <c r="C10" s="3">
        <v>46276</v>
      </c>
      <c r="D10" s="4">
        <v>566323995</v>
      </c>
      <c r="E10" s="5" t="s">
        <v>591</v>
      </c>
      <c r="F10" s="6">
        <v>46202</v>
      </c>
      <c r="G10" s="5" t="s">
        <v>44</v>
      </c>
      <c r="H10" s="5" t="s">
        <v>44</v>
      </c>
      <c r="I10" s="5" t="s">
        <v>45</v>
      </c>
      <c r="J10" s="5" t="s">
        <v>592</v>
      </c>
      <c r="K10" s="3">
        <v>46283</v>
      </c>
      <c r="L10" s="11">
        <f ca="1">IF($O10="","",$O10-TODAY())</f>
        <v>9</v>
      </c>
      <c r="M10" s="11">
        <f ca="1">IF($C10="","",$C10+180-TODAY())</f>
        <v>173</v>
      </c>
      <c r="N10" s="11">
        <f ca="1">IF($C10="","",$C10+365-TODAY())</f>
        <v>358</v>
      </c>
      <c r="O10" s="6">
        <v>46292</v>
      </c>
      <c r="P10" s="5" t="s">
        <v>47</v>
      </c>
      <c r="Q10" s="5" t="s">
        <v>48</v>
      </c>
      <c r="R10" s="5" t="s">
        <v>49</v>
      </c>
      <c r="S10" s="5" t="s">
        <v>50</v>
      </c>
      <c r="T10" s="5" t="s">
        <v>51</v>
      </c>
      <c r="U10" s="5" t="s">
        <v>50</v>
      </c>
      <c r="V10" s="5" t="s">
        <v>554</v>
      </c>
      <c r="W10" s="5"/>
      <c r="X10" s="5"/>
      <c r="Y10" s="5" t="s">
        <v>52</v>
      </c>
      <c r="Z10" s="7">
        <v>59230.99</v>
      </c>
      <c r="AA10" s="7">
        <v>0</v>
      </c>
      <c r="AB10" s="7">
        <v>0</v>
      </c>
      <c r="AC10" s="6"/>
      <c r="AD10" s="7">
        <v>59230.99</v>
      </c>
      <c r="AE10" s="4">
        <v>40</v>
      </c>
      <c r="AF10" s="5" t="s">
        <v>582</v>
      </c>
      <c r="AG10" s="5"/>
      <c r="AH10" s="5"/>
      <c r="AI10" s="5"/>
      <c r="AJ10" s="4"/>
      <c r="AK10" s="5" t="s">
        <v>344</v>
      </c>
      <c r="AL10" s="5" t="s">
        <v>558</v>
      </c>
      <c r="AM10" s="6">
        <v>46225</v>
      </c>
      <c r="AN10" s="5" t="s">
        <v>542</v>
      </c>
      <c r="AO10" s="5" t="s">
        <v>593</v>
      </c>
    </row>
    <row r="11" spans="1:41" x14ac:dyDescent="0.25">
      <c r="A11" s="2"/>
      <c r="B11" s="2"/>
      <c r="C11" s="3"/>
      <c r="D11" s="4">
        <v>565101339</v>
      </c>
      <c r="E11" s="5" t="s">
        <v>594</v>
      </c>
      <c r="F11" s="6">
        <v>46181</v>
      </c>
      <c r="G11" s="5" t="s">
        <v>165</v>
      </c>
      <c r="H11" s="5" t="s">
        <v>165</v>
      </c>
      <c r="I11" s="5" t="s">
        <v>45</v>
      </c>
      <c r="J11" s="5" t="s">
        <v>595</v>
      </c>
      <c r="K11" s="3"/>
      <c r="L11" s="11">
        <f ca="1">IF($O11="","",$O11-TODAY())</f>
        <v>18</v>
      </c>
      <c r="M11" s="11" t="str">
        <f ca="1">IF($C11="","",$C11+180-TODAY())</f>
        <v/>
      </c>
      <c r="N11" s="11" t="str">
        <f ca="1">IF($C11="","",$C11+180-TODAY())</f>
        <v/>
      </c>
      <c r="O11" s="6">
        <v>46301</v>
      </c>
      <c r="P11" s="5" t="s">
        <v>166</v>
      </c>
      <c r="Q11" s="5" t="s">
        <v>167</v>
      </c>
      <c r="R11" s="5" t="s">
        <v>49</v>
      </c>
      <c r="S11" s="5" t="s">
        <v>50</v>
      </c>
      <c r="T11" s="5" t="s">
        <v>49</v>
      </c>
      <c r="U11" s="5" t="s">
        <v>50</v>
      </c>
      <c r="V11" s="5" t="s">
        <v>534</v>
      </c>
      <c r="W11" s="5" t="s">
        <v>535</v>
      </c>
      <c r="X11" s="5" t="s">
        <v>469</v>
      </c>
      <c r="Y11" s="5" t="s">
        <v>596</v>
      </c>
      <c r="Z11" s="7">
        <v>70557.69</v>
      </c>
      <c r="AA11" s="7">
        <v>0</v>
      </c>
      <c r="AB11" s="7">
        <v>0</v>
      </c>
      <c r="AC11" s="6"/>
      <c r="AD11" s="7">
        <v>70557.69</v>
      </c>
      <c r="AE11" s="4">
        <v>61</v>
      </c>
      <c r="AF11" s="5" t="s">
        <v>537</v>
      </c>
      <c r="AG11" s="5" t="s">
        <v>538</v>
      </c>
      <c r="AH11" s="5" t="s">
        <v>539</v>
      </c>
      <c r="AI11" s="5"/>
      <c r="AJ11" s="4"/>
      <c r="AK11" s="5" t="s">
        <v>540</v>
      </c>
      <c r="AL11" s="5" t="s">
        <v>558</v>
      </c>
      <c r="AM11" s="6">
        <v>46216</v>
      </c>
      <c r="AN11" s="5" t="s">
        <v>542</v>
      </c>
      <c r="AO11" s="5" t="s">
        <v>597</v>
      </c>
    </row>
    <row r="12" spans="1:41" x14ac:dyDescent="0.25">
      <c r="A12" s="2"/>
      <c r="B12" s="2"/>
      <c r="C12" s="3"/>
      <c r="D12" s="4">
        <v>565104933</v>
      </c>
      <c r="E12" s="5" t="s">
        <v>598</v>
      </c>
      <c r="F12" s="6">
        <v>46188</v>
      </c>
      <c r="G12" s="5" t="s">
        <v>165</v>
      </c>
      <c r="H12" s="5" t="s">
        <v>165</v>
      </c>
      <c r="I12" s="5" t="s">
        <v>45</v>
      </c>
      <c r="J12" s="5" t="s">
        <v>599</v>
      </c>
      <c r="K12" s="3"/>
      <c r="L12" s="11">
        <f ca="1">IF($O12="","",$O12-TODAY())</f>
        <v>25</v>
      </c>
      <c r="M12" s="11" t="str">
        <f ca="1">IF($C12="","",$C12+180-TODAY())</f>
        <v/>
      </c>
      <c r="N12" s="11" t="str">
        <f ca="1">IF($C12="","",$C12+180-TODAY())</f>
        <v/>
      </c>
      <c r="O12" s="6">
        <v>46308</v>
      </c>
      <c r="P12" s="5" t="s">
        <v>166</v>
      </c>
      <c r="Q12" s="5" t="s">
        <v>167</v>
      </c>
      <c r="R12" s="5" t="s">
        <v>49</v>
      </c>
      <c r="S12" s="5" t="s">
        <v>50</v>
      </c>
      <c r="T12" s="5" t="s">
        <v>49</v>
      </c>
      <c r="U12" s="5" t="s">
        <v>50</v>
      </c>
      <c r="V12" s="5" t="s">
        <v>534</v>
      </c>
      <c r="W12" s="5" t="s">
        <v>600</v>
      </c>
      <c r="X12" s="5" t="s">
        <v>469</v>
      </c>
      <c r="Y12" s="5" t="s">
        <v>568</v>
      </c>
      <c r="Z12" s="7">
        <v>70557.69</v>
      </c>
      <c r="AA12" s="7">
        <v>0</v>
      </c>
      <c r="AB12" s="7">
        <v>0</v>
      </c>
      <c r="AC12" s="6"/>
      <c r="AD12" s="7">
        <v>70557.69</v>
      </c>
      <c r="AE12" s="4">
        <v>54</v>
      </c>
      <c r="AF12" s="5" t="s">
        <v>537</v>
      </c>
      <c r="AG12" s="5" t="s">
        <v>538</v>
      </c>
      <c r="AH12" s="5" t="s">
        <v>539</v>
      </c>
      <c r="AI12" s="5"/>
      <c r="AJ12" s="4"/>
      <c r="AK12" s="5" t="s">
        <v>540</v>
      </c>
      <c r="AL12" s="5" t="s">
        <v>541</v>
      </c>
      <c r="AM12" s="6">
        <v>46216</v>
      </c>
      <c r="AN12" s="5" t="s">
        <v>542</v>
      </c>
      <c r="AO12" s="5" t="s">
        <v>601</v>
      </c>
    </row>
    <row r="13" spans="1:41" x14ac:dyDescent="0.25">
      <c r="A13" s="2"/>
      <c r="B13" s="2"/>
      <c r="C13" s="3"/>
      <c r="D13" s="4">
        <v>565098145</v>
      </c>
      <c r="E13" s="5" t="s">
        <v>602</v>
      </c>
      <c r="F13" s="6">
        <v>46202</v>
      </c>
      <c r="G13" s="5" t="s">
        <v>603</v>
      </c>
      <c r="H13" s="5" t="s">
        <v>603</v>
      </c>
      <c r="I13" s="5" t="s">
        <v>45</v>
      </c>
      <c r="J13" s="5" t="s">
        <v>604</v>
      </c>
      <c r="K13" s="3"/>
      <c r="L13" s="11">
        <f ca="1">IF($O13="","",$O13-TODAY())</f>
        <v>39</v>
      </c>
      <c r="M13" s="11" t="str">
        <f ca="1">IF($C13="","",$C13+180-TODAY())</f>
        <v/>
      </c>
      <c r="N13" s="11" t="str">
        <f ca="1">IF($C13="","",$C13+180-TODAY())</f>
        <v/>
      </c>
      <c r="O13" s="6">
        <v>46322</v>
      </c>
      <c r="P13" s="5" t="s">
        <v>166</v>
      </c>
      <c r="Q13" s="5" t="s">
        <v>167</v>
      </c>
      <c r="R13" s="5" t="s">
        <v>49</v>
      </c>
      <c r="S13" s="5" t="s">
        <v>50</v>
      </c>
      <c r="T13" s="5" t="s">
        <v>49</v>
      </c>
      <c r="U13" s="5" t="s">
        <v>50</v>
      </c>
      <c r="V13" s="5" t="s">
        <v>547</v>
      </c>
      <c r="W13" s="5" t="s">
        <v>571</v>
      </c>
      <c r="X13" s="5" t="s">
        <v>469</v>
      </c>
      <c r="Y13" s="5" t="s">
        <v>605</v>
      </c>
      <c r="Z13" s="7">
        <v>96657.89</v>
      </c>
      <c r="AA13" s="7">
        <v>0</v>
      </c>
      <c r="AB13" s="7">
        <v>0</v>
      </c>
      <c r="AC13" s="6"/>
      <c r="AD13" s="7">
        <v>96657.89</v>
      </c>
      <c r="AE13" s="4">
        <v>40</v>
      </c>
      <c r="AF13" s="5" t="s">
        <v>537</v>
      </c>
      <c r="AG13" s="5" t="s">
        <v>538</v>
      </c>
      <c r="AH13" s="5" t="s">
        <v>539</v>
      </c>
      <c r="AI13" s="5"/>
      <c r="AJ13" s="4"/>
      <c r="AK13" s="5" t="s">
        <v>540</v>
      </c>
      <c r="AL13" s="5" t="s">
        <v>541</v>
      </c>
      <c r="AM13" s="6">
        <v>46216</v>
      </c>
      <c r="AN13" s="5" t="s">
        <v>542</v>
      </c>
      <c r="AO13" s="5" t="s">
        <v>606</v>
      </c>
    </row>
    <row r="14" spans="1:41" x14ac:dyDescent="0.25">
      <c r="A14" s="2"/>
      <c r="B14" s="2"/>
      <c r="C14" s="3">
        <v>46225</v>
      </c>
      <c r="D14" s="4">
        <v>565108232</v>
      </c>
      <c r="E14" s="5" t="s">
        <v>614</v>
      </c>
      <c r="F14" s="6">
        <v>46195</v>
      </c>
      <c r="G14" s="5" t="s">
        <v>203</v>
      </c>
      <c r="H14" s="5" t="s">
        <v>203</v>
      </c>
      <c r="I14" s="5" t="s">
        <v>45</v>
      </c>
      <c r="J14" s="5" t="s">
        <v>615</v>
      </c>
      <c r="K14" s="3"/>
      <c r="L14" s="11">
        <f ca="1">IF($O14="","",$O14-TODAY())</f>
        <v>92</v>
      </c>
      <c r="M14" s="11">
        <f ca="1">IF($F14="","",$F14+365-TODAY())</f>
        <v>277</v>
      </c>
      <c r="N14" s="11">
        <f ca="1">IF($F14="","",$F14+365-TODAY())</f>
        <v>277</v>
      </c>
      <c r="O14" s="6">
        <v>46375</v>
      </c>
      <c r="P14" s="5" t="s">
        <v>49</v>
      </c>
      <c r="Q14" s="5" t="s">
        <v>452</v>
      </c>
      <c r="R14" s="5" t="s">
        <v>51</v>
      </c>
      <c r="S14" s="5" t="s">
        <v>189</v>
      </c>
      <c r="T14" s="5" t="s">
        <v>51</v>
      </c>
      <c r="U14" s="5" t="s">
        <v>189</v>
      </c>
      <c r="V14" s="5" t="s">
        <v>571</v>
      </c>
      <c r="W14" s="5" t="s">
        <v>554</v>
      </c>
      <c r="X14" s="5"/>
      <c r="Y14" s="5" t="s">
        <v>616</v>
      </c>
      <c r="Z14" s="7">
        <v>4393.6899999999996</v>
      </c>
      <c r="AA14" s="7">
        <v>0</v>
      </c>
      <c r="AB14" s="7">
        <v>0</v>
      </c>
      <c r="AC14" s="6">
        <v>46225</v>
      </c>
      <c r="AD14" s="7">
        <v>4393.6899999999996</v>
      </c>
      <c r="AE14" s="4">
        <v>47</v>
      </c>
      <c r="AF14" s="5" t="s">
        <v>556</v>
      </c>
      <c r="AG14" s="5" t="s">
        <v>538</v>
      </c>
      <c r="AH14" s="5" t="s">
        <v>557</v>
      </c>
      <c r="AI14" s="5"/>
      <c r="AJ14" s="4"/>
      <c r="AK14" s="5" t="s">
        <v>540</v>
      </c>
      <c r="AL14" s="5" t="s">
        <v>72</v>
      </c>
      <c r="AM14" s="6">
        <v>46216</v>
      </c>
      <c r="AN14" s="5" t="s">
        <v>542</v>
      </c>
      <c r="AO14" s="5" t="s">
        <v>617</v>
      </c>
    </row>
    <row r="15" spans="1:41" x14ac:dyDescent="0.25">
      <c r="A15" s="2"/>
      <c r="B15" s="2"/>
      <c r="C15" s="3">
        <v>46225</v>
      </c>
      <c r="D15" s="4">
        <v>562932709</v>
      </c>
      <c r="E15" s="5" t="s">
        <v>618</v>
      </c>
      <c r="F15" s="6">
        <v>46174</v>
      </c>
      <c r="G15" s="5" t="s">
        <v>214</v>
      </c>
      <c r="H15" s="5" t="s">
        <v>214</v>
      </c>
      <c r="I15" s="5" t="s">
        <v>44</v>
      </c>
      <c r="J15" s="5" t="s">
        <v>619</v>
      </c>
      <c r="K15" s="3"/>
      <c r="L15" s="11">
        <f ca="1">IF($O15="","",$O15-TODAY())</f>
        <v>256</v>
      </c>
      <c r="M15" s="11">
        <f ca="1">IF($C15="","",$C15+180-TODAY())</f>
        <v>122</v>
      </c>
      <c r="N15" s="11">
        <f ca="1">IF($C15="","",$C15+365-TODAY())</f>
        <v>307</v>
      </c>
      <c r="O15" s="6">
        <v>46539</v>
      </c>
      <c r="P15" s="5" t="s">
        <v>51</v>
      </c>
      <c r="Q15" s="5" t="s">
        <v>216</v>
      </c>
      <c r="R15" s="5" t="s">
        <v>49</v>
      </c>
      <c r="S15" s="5" t="s">
        <v>50</v>
      </c>
      <c r="T15" s="5" t="s">
        <v>51</v>
      </c>
      <c r="U15" s="5" t="s">
        <v>50</v>
      </c>
      <c r="V15" s="5" t="s">
        <v>547</v>
      </c>
      <c r="W15" s="5" t="s">
        <v>553</v>
      </c>
      <c r="X15" s="5" t="s">
        <v>554</v>
      </c>
      <c r="Y15" s="5" t="s">
        <v>620</v>
      </c>
      <c r="Z15" s="7">
        <v>67599.91</v>
      </c>
      <c r="AA15" s="7">
        <v>0</v>
      </c>
      <c r="AB15" s="7">
        <v>0</v>
      </c>
      <c r="AC15" s="6">
        <v>46225</v>
      </c>
      <c r="AD15" s="7">
        <v>67599.91</v>
      </c>
      <c r="AE15" s="4">
        <v>68</v>
      </c>
      <c r="AF15" s="5" t="s">
        <v>556</v>
      </c>
      <c r="AG15" s="5" t="s">
        <v>538</v>
      </c>
      <c r="AH15" s="5" t="s">
        <v>557</v>
      </c>
      <c r="AI15" s="5"/>
      <c r="AJ15" s="4"/>
      <c r="AK15" s="5" t="s">
        <v>540</v>
      </c>
      <c r="AL15" s="5" t="s">
        <v>541</v>
      </c>
      <c r="AM15" s="6">
        <v>46193</v>
      </c>
      <c r="AN15" s="5" t="s">
        <v>542</v>
      </c>
      <c r="AO15" s="5" t="s">
        <v>621</v>
      </c>
    </row>
    <row r="16" spans="1:41" x14ac:dyDescent="0.25">
      <c r="A16" s="2"/>
      <c r="B16" s="2"/>
      <c r="C16" s="3"/>
      <c r="D16" s="4">
        <v>566102944</v>
      </c>
      <c r="E16" s="5" t="s">
        <v>630</v>
      </c>
      <c r="F16" s="6">
        <v>46202</v>
      </c>
      <c r="G16" s="5" t="s">
        <v>208</v>
      </c>
      <c r="H16" s="5" t="s">
        <v>208</v>
      </c>
      <c r="I16" s="5" t="s">
        <v>631</v>
      </c>
      <c r="J16" s="5" t="s">
        <v>632</v>
      </c>
      <c r="K16" s="3"/>
      <c r="L16" s="11">
        <f ca="1">IF($O16="","",$O16-TODAY())</f>
        <v>284</v>
      </c>
      <c r="M16" s="11" t="str">
        <f ca="1">IF($C16="","",$C16+365-TODAY())</f>
        <v/>
      </c>
      <c r="N16" s="11" t="str">
        <f ca="1">IF($C16="","",$C16+120-TODAY())</f>
        <v/>
      </c>
      <c r="O16" s="6">
        <v>46567</v>
      </c>
      <c r="P16" s="5" t="s">
        <v>51</v>
      </c>
      <c r="Q16" s="5" t="s">
        <v>209</v>
      </c>
      <c r="R16" s="5" t="s">
        <v>51</v>
      </c>
      <c r="S16" s="5" t="s">
        <v>50</v>
      </c>
      <c r="T16" s="5" t="s">
        <v>166</v>
      </c>
      <c r="U16" s="5" t="s">
        <v>50</v>
      </c>
      <c r="V16" s="5" t="s">
        <v>534</v>
      </c>
      <c r="W16" s="5" t="s">
        <v>600</v>
      </c>
      <c r="X16" s="5" t="s">
        <v>469</v>
      </c>
      <c r="Y16" s="5" t="s">
        <v>633</v>
      </c>
      <c r="Z16" s="7">
        <v>66855.039999999994</v>
      </c>
      <c r="AA16" s="7">
        <v>0</v>
      </c>
      <c r="AB16" s="7">
        <v>0</v>
      </c>
      <c r="AC16" s="6"/>
      <c r="AD16" s="7">
        <v>66855.039999999994</v>
      </c>
      <c r="AE16" s="4">
        <v>40</v>
      </c>
      <c r="AF16" s="5" t="s">
        <v>537</v>
      </c>
      <c r="AG16" s="5" t="s">
        <v>538</v>
      </c>
      <c r="AH16" s="5" t="s">
        <v>539</v>
      </c>
      <c r="AI16" s="5"/>
      <c r="AJ16" s="4"/>
      <c r="AK16" s="5" t="s">
        <v>540</v>
      </c>
      <c r="AL16" s="5" t="s">
        <v>541</v>
      </c>
      <c r="AM16" s="6">
        <v>46216</v>
      </c>
      <c r="AN16" s="5" t="s">
        <v>542</v>
      </c>
      <c r="AO16" s="5" t="s">
        <v>634</v>
      </c>
    </row>
    <row r="17" spans="1:41" x14ac:dyDescent="0.25">
      <c r="A17" s="2" t="s">
        <v>78</v>
      </c>
      <c r="B17" s="2" t="s">
        <v>635</v>
      </c>
      <c r="C17" s="3">
        <v>46223</v>
      </c>
      <c r="D17" s="4">
        <v>565099868</v>
      </c>
      <c r="E17" s="5" t="s">
        <v>636</v>
      </c>
      <c r="F17" s="6">
        <v>46174</v>
      </c>
      <c r="G17" s="5" t="s">
        <v>331</v>
      </c>
      <c r="H17" s="5" t="s">
        <v>331</v>
      </c>
      <c r="I17" s="5" t="s">
        <v>45</v>
      </c>
      <c r="J17" s="5" t="s">
        <v>637</v>
      </c>
      <c r="K17" s="3">
        <v>46252</v>
      </c>
      <c r="L17" s="11">
        <f ca="1">IF($O17="","",$O17-TODAY())</f>
        <v>-49</v>
      </c>
      <c r="M17" s="11">
        <f ca="1">IF($C17="","",$C17+365-TODAY())</f>
        <v>305</v>
      </c>
      <c r="N17" s="11">
        <f ca="1">IF($C17="","",$C17+90-TODAY())</f>
        <v>30</v>
      </c>
      <c r="O17" s="6">
        <v>46234</v>
      </c>
      <c r="P17" s="5" t="s">
        <v>205</v>
      </c>
      <c r="Q17" s="5" t="s">
        <v>333</v>
      </c>
      <c r="R17" s="5" t="s">
        <v>51</v>
      </c>
      <c r="S17" s="5" t="s">
        <v>50</v>
      </c>
      <c r="T17" s="5" t="s">
        <v>47</v>
      </c>
      <c r="U17" s="5" t="s">
        <v>50</v>
      </c>
      <c r="V17" s="5" t="s">
        <v>534</v>
      </c>
      <c r="W17" s="5" t="s">
        <v>600</v>
      </c>
      <c r="X17" s="5" t="s">
        <v>469</v>
      </c>
      <c r="Y17" s="5" t="s">
        <v>568</v>
      </c>
      <c r="Z17" s="7">
        <v>70557.69</v>
      </c>
      <c r="AA17" s="7">
        <v>0</v>
      </c>
      <c r="AB17" s="7">
        <v>0</v>
      </c>
      <c r="AC17" s="6">
        <v>46223</v>
      </c>
      <c r="AD17" s="7">
        <v>70557.69</v>
      </c>
      <c r="AE17" s="4">
        <v>68</v>
      </c>
      <c r="AF17" s="5" t="s">
        <v>537</v>
      </c>
      <c r="AG17" s="5" t="s">
        <v>538</v>
      </c>
      <c r="AH17" s="5" t="s">
        <v>539</v>
      </c>
      <c r="AI17" s="5"/>
      <c r="AJ17" s="4"/>
      <c r="AK17" s="5" t="s">
        <v>540</v>
      </c>
      <c r="AL17" s="5" t="s">
        <v>541</v>
      </c>
      <c r="AM17" s="6">
        <v>46216</v>
      </c>
      <c r="AN17" s="5" t="s">
        <v>542</v>
      </c>
      <c r="AO17" s="5" t="s">
        <v>638</v>
      </c>
    </row>
  </sheetData>
  <autoFilter ref="A1:AO17" xr:uid="{00000000-0009-0000-0000-000002000000}"/>
  <conditionalFormatting sqref="L2:L1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disablePrompts="1" count="1">
    <dataValidation type="list" allowBlank="1" showInputMessage="1" promptTitle="Claim Status" prompt="Pick a status, or type a new one." sqref="A2:A17"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27"/>
  <sheetViews>
    <sheetView zoomScale="90" workbookViewId="0">
      <pane xSplit="2" ySplit="1" topLeftCell="C2" activePane="bottomRight" state="frozen"/>
      <selection pane="topRight"/>
      <selection pane="bottomLeft"/>
      <selection pane="bottomRight" activeCell="A21" sqref="A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28515625" customWidth="1"/>
    <col min="11" max="11" width="14" customWidth="1"/>
    <col min="12" max="12" width="12" customWidth="1"/>
    <col min="13" max="13" width="18.425781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row>
    <row r="2" spans="1:41" x14ac:dyDescent="0.25">
      <c r="A2" s="2" t="s">
        <v>41</v>
      </c>
      <c r="B2" s="2" t="s">
        <v>639</v>
      </c>
      <c r="C2" s="3">
        <v>46232</v>
      </c>
      <c r="D2" s="4">
        <v>565931559</v>
      </c>
      <c r="E2" s="5" t="s">
        <v>640</v>
      </c>
      <c r="F2" s="6">
        <v>46190</v>
      </c>
      <c r="G2" s="5" t="s">
        <v>331</v>
      </c>
      <c r="H2" s="5" t="s">
        <v>331</v>
      </c>
      <c r="I2" s="5" t="s">
        <v>45</v>
      </c>
      <c r="J2" s="5" t="s">
        <v>641</v>
      </c>
      <c r="K2" s="3">
        <v>46246</v>
      </c>
      <c r="L2" s="11">
        <f ca="1">IF($O2="","",$O2-TODAY())</f>
        <v>-33</v>
      </c>
      <c r="M2" s="11">
        <f ca="1">IF($C2="","",$C2+365-TODAY())</f>
        <v>314</v>
      </c>
      <c r="N2" s="11">
        <f ca="1">IF($C2="","",$C2+90-TODAY())</f>
        <v>39</v>
      </c>
      <c r="O2" s="6">
        <v>46250</v>
      </c>
      <c r="P2" s="5" t="s">
        <v>205</v>
      </c>
      <c r="Q2" s="5" t="s">
        <v>333</v>
      </c>
      <c r="R2" s="5" t="s">
        <v>51</v>
      </c>
      <c r="S2" s="5" t="s">
        <v>50</v>
      </c>
      <c r="T2" s="5" t="s">
        <v>47</v>
      </c>
      <c r="U2" s="5" t="s">
        <v>50</v>
      </c>
      <c r="V2" s="5"/>
      <c r="W2" s="5"/>
      <c r="X2" s="5"/>
      <c r="Y2" s="5" t="s">
        <v>52</v>
      </c>
      <c r="Z2" s="7">
        <v>9056.39</v>
      </c>
      <c r="AA2" s="7">
        <v>0</v>
      </c>
      <c r="AB2" s="7">
        <v>0</v>
      </c>
      <c r="AC2" s="6"/>
      <c r="AD2" s="7">
        <v>9056.39</v>
      </c>
      <c r="AE2" s="4">
        <v>52</v>
      </c>
      <c r="AF2" s="5" t="s">
        <v>336</v>
      </c>
      <c r="AG2" s="5"/>
      <c r="AH2" s="5"/>
      <c r="AI2" s="5"/>
      <c r="AJ2" s="4"/>
      <c r="AK2" s="5" t="s">
        <v>642</v>
      </c>
      <c r="AL2" s="5" t="s">
        <v>558</v>
      </c>
      <c r="AM2" s="6">
        <v>46210</v>
      </c>
      <c r="AN2" s="5" t="s">
        <v>643</v>
      </c>
      <c r="AO2" s="5" t="s">
        <v>644</v>
      </c>
    </row>
    <row r="3" spans="1:41" x14ac:dyDescent="0.25">
      <c r="A3" s="2" t="s">
        <v>78</v>
      </c>
      <c r="B3" s="13" t="s">
        <v>645</v>
      </c>
      <c r="C3" s="3">
        <v>46256</v>
      </c>
      <c r="D3" s="4">
        <v>562557056</v>
      </c>
      <c r="E3" s="5" t="s">
        <v>646</v>
      </c>
      <c r="F3" s="6">
        <v>46174</v>
      </c>
      <c r="G3" s="5" t="s">
        <v>44</v>
      </c>
      <c r="H3" s="5" t="s">
        <v>44</v>
      </c>
      <c r="I3" s="5" t="s">
        <v>75</v>
      </c>
      <c r="J3" s="5" t="s">
        <v>641</v>
      </c>
      <c r="K3" s="3">
        <v>46272</v>
      </c>
      <c r="L3" s="11">
        <f ca="1">IF($O3="","",$O3-TODAY())</f>
        <v>-19</v>
      </c>
      <c r="M3" s="11">
        <f ca="1">IF($C3="","",$C3+180-TODAY())</f>
        <v>153</v>
      </c>
      <c r="N3" s="11">
        <f ca="1">IF($C3="","",$C3+365-TODAY())</f>
        <v>338</v>
      </c>
      <c r="O3" s="6">
        <v>46264</v>
      </c>
      <c r="P3" s="5" t="s">
        <v>47</v>
      </c>
      <c r="Q3" s="5" t="s">
        <v>48</v>
      </c>
      <c r="R3" s="5" t="s">
        <v>49</v>
      </c>
      <c r="S3" s="5" t="s">
        <v>50</v>
      </c>
      <c r="T3" s="5" t="s">
        <v>51</v>
      </c>
      <c r="U3" s="5" t="s">
        <v>50</v>
      </c>
      <c r="V3" s="5"/>
      <c r="W3" s="5"/>
      <c r="X3" s="5"/>
      <c r="Y3" s="5" t="s">
        <v>52</v>
      </c>
      <c r="Z3" s="7">
        <v>9056.39</v>
      </c>
      <c r="AA3" s="7">
        <v>0</v>
      </c>
      <c r="AB3" s="7">
        <v>0</v>
      </c>
      <c r="AC3" s="6"/>
      <c r="AD3" s="7">
        <v>9056.39</v>
      </c>
      <c r="AE3" s="4">
        <v>68</v>
      </c>
      <c r="AF3" s="5" t="s">
        <v>457</v>
      </c>
      <c r="AG3" s="5" t="s">
        <v>336</v>
      </c>
      <c r="AH3" s="5" t="s">
        <v>647</v>
      </c>
      <c r="AI3" s="5" t="s">
        <v>458</v>
      </c>
      <c r="AJ3" s="4"/>
      <c r="AK3" s="5" t="s">
        <v>459</v>
      </c>
      <c r="AL3" s="5" t="s">
        <v>558</v>
      </c>
      <c r="AM3" s="6">
        <v>46190</v>
      </c>
      <c r="AN3" s="5" t="s">
        <v>643</v>
      </c>
      <c r="AO3" s="5" t="s">
        <v>648</v>
      </c>
    </row>
    <row r="4" spans="1:41" x14ac:dyDescent="0.25">
      <c r="A4" s="2" t="s">
        <v>78</v>
      </c>
      <c r="B4" s="2" t="s">
        <v>649</v>
      </c>
      <c r="C4" s="3">
        <v>46254</v>
      </c>
      <c r="D4" s="4">
        <v>562559783</v>
      </c>
      <c r="E4" s="5" t="s">
        <v>650</v>
      </c>
      <c r="F4" s="6">
        <v>46177</v>
      </c>
      <c r="G4" s="5" t="s">
        <v>44</v>
      </c>
      <c r="H4" s="5" t="s">
        <v>44</v>
      </c>
      <c r="I4" s="5" t="s">
        <v>45</v>
      </c>
      <c r="J4" s="5" t="s">
        <v>651</v>
      </c>
      <c r="K4" s="3">
        <v>46272</v>
      </c>
      <c r="L4" s="11">
        <f ca="1">IF($O4="","",$O4-TODAY())</f>
        <v>-16</v>
      </c>
      <c r="M4" s="11">
        <f ca="1">IF($C4="","",$C4+180-TODAY())</f>
        <v>151</v>
      </c>
      <c r="N4" s="11">
        <f ca="1">IF($C4="","",$C4+365-TODAY())</f>
        <v>336</v>
      </c>
      <c r="O4" s="6">
        <v>46267</v>
      </c>
      <c r="P4" s="5" t="s">
        <v>47</v>
      </c>
      <c r="Q4" s="5" t="s">
        <v>48</v>
      </c>
      <c r="R4" s="5" t="s">
        <v>49</v>
      </c>
      <c r="S4" s="5" t="s">
        <v>50</v>
      </c>
      <c r="T4" s="5" t="s">
        <v>51</v>
      </c>
      <c r="U4" s="5" t="s">
        <v>50</v>
      </c>
      <c r="V4" s="5"/>
      <c r="W4" s="5"/>
      <c r="X4" s="5"/>
      <c r="Y4" s="5" t="s">
        <v>52</v>
      </c>
      <c r="Z4" s="7">
        <v>9056.39</v>
      </c>
      <c r="AA4" s="7">
        <v>0</v>
      </c>
      <c r="AB4" s="7">
        <v>0</v>
      </c>
      <c r="AC4" s="6">
        <v>46197</v>
      </c>
      <c r="AD4" s="7">
        <v>9056.39</v>
      </c>
      <c r="AE4" s="4">
        <v>65</v>
      </c>
      <c r="AF4" s="5" t="s">
        <v>336</v>
      </c>
      <c r="AG4" s="5" t="s">
        <v>458</v>
      </c>
      <c r="AH4" s="5" t="s">
        <v>367</v>
      </c>
      <c r="AI4" s="5" t="s">
        <v>652</v>
      </c>
      <c r="AJ4" s="4"/>
      <c r="AK4" s="5" t="s">
        <v>459</v>
      </c>
      <c r="AL4" s="5" t="s">
        <v>558</v>
      </c>
      <c r="AM4" s="6">
        <v>46190</v>
      </c>
      <c r="AN4" s="5" t="s">
        <v>643</v>
      </c>
      <c r="AO4" s="5" t="s">
        <v>653</v>
      </c>
    </row>
    <row r="5" spans="1:41" x14ac:dyDescent="0.25">
      <c r="A5" s="2" t="s">
        <v>127</v>
      </c>
      <c r="B5" s="2" t="s">
        <v>657</v>
      </c>
      <c r="C5" s="3"/>
      <c r="D5" s="4">
        <v>570979198</v>
      </c>
      <c r="E5" s="5" t="s">
        <v>658</v>
      </c>
      <c r="F5" s="6">
        <v>46181</v>
      </c>
      <c r="G5" s="5" t="s">
        <v>81</v>
      </c>
      <c r="H5" s="5" t="s">
        <v>81</v>
      </c>
      <c r="I5" s="5" t="s">
        <v>45</v>
      </c>
      <c r="J5" s="5" t="s">
        <v>659</v>
      </c>
      <c r="K5" s="3">
        <v>46270</v>
      </c>
      <c r="L5" s="11">
        <f ca="1">IF($O5="","",$O5-TODAY())</f>
        <v>-12</v>
      </c>
      <c r="M5" s="11" t="str">
        <f ca="1">IF($C5="","",$C5+365-TODAY())</f>
        <v/>
      </c>
      <c r="N5" s="11" t="str">
        <f ca="1">IF($C5="","",$C5+365-TODAY())</f>
        <v/>
      </c>
      <c r="O5" s="6">
        <v>46271</v>
      </c>
      <c r="P5" s="5" t="s">
        <v>47</v>
      </c>
      <c r="Q5" s="5" t="s">
        <v>83</v>
      </c>
      <c r="R5" s="5" t="s">
        <v>51</v>
      </c>
      <c r="S5" s="5" t="s">
        <v>50</v>
      </c>
      <c r="T5" s="5" t="s">
        <v>51</v>
      </c>
      <c r="U5" s="5" t="s">
        <v>50</v>
      </c>
      <c r="V5" s="5" t="s">
        <v>660</v>
      </c>
      <c r="W5" s="5"/>
      <c r="X5" s="5"/>
      <c r="Y5" s="5" t="s">
        <v>52</v>
      </c>
      <c r="Z5" s="7">
        <v>20158.46</v>
      </c>
      <c r="AA5" s="7">
        <v>0</v>
      </c>
      <c r="AB5" s="7">
        <v>0</v>
      </c>
      <c r="AC5" s="6"/>
      <c r="AD5" s="7">
        <v>20158.46</v>
      </c>
      <c r="AE5" s="4">
        <v>61</v>
      </c>
      <c r="AF5" s="5" t="s">
        <v>661</v>
      </c>
      <c r="AG5" s="5" t="s">
        <v>662</v>
      </c>
      <c r="AH5" s="5" t="s">
        <v>663</v>
      </c>
      <c r="AI5" s="5" t="s">
        <v>664</v>
      </c>
      <c r="AJ5" s="4"/>
      <c r="AK5" s="5" t="s">
        <v>459</v>
      </c>
      <c r="AL5" s="5" t="s">
        <v>558</v>
      </c>
      <c r="AM5" s="6">
        <v>46190</v>
      </c>
      <c r="AN5" s="5" t="s">
        <v>643</v>
      </c>
      <c r="AO5" s="5" t="s">
        <v>665</v>
      </c>
    </row>
    <row r="6" spans="1:41" x14ac:dyDescent="0.25">
      <c r="A6" s="2" t="s">
        <v>945</v>
      </c>
      <c r="B6" s="2" t="s">
        <v>953</v>
      </c>
      <c r="C6" s="3">
        <v>46197</v>
      </c>
      <c r="D6" s="4">
        <v>562573309</v>
      </c>
      <c r="E6" s="5" t="s">
        <v>372</v>
      </c>
      <c r="F6" s="6">
        <v>46181</v>
      </c>
      <c r="G6" s="5" t="s">
        <v>136</v>
      </c>
      <c r="H6" s="5" t="s">
        <v>136</v>
      </c>
      <c r="I6" s="5" t="s">
        <v>45</v>
      </c>
      <c r="J6" s="5" t="s">
        <v>667</v>
      </c>
      <c r="K6" s="3"/>
      <c r="L6" s="11">
        <f ca="1">IF($O6="","",$O6-TODAY())</f>
        <v>-12</v>
      </c>
      <c r="M6" s="11">
        <f ca="1">IF($F6="","",$F6+90-TODAY())</f>
        <v>-12</v>
      </c>
      <c r="N6" s="11">
        <f ca="1">IF($C6="","",$C6+365-TODAY())</f>
        <v>279</v>
      </c>
      <c r="O6" s="6">
        <v>46271</v>
      </c>
      <c r="P6" s="5" t="s">
        <v>47</v>
      </c>
      <c r="Q6" s="5" t="s">
        <v>137</v>
      </c>
      <c r="R6" s="5" t="s">
        <v>47</v>
      </c>
      <c r="S6" s="5" t="s">
        <v>189</v>
      </c>
      <c r="T6" s="5" t="s">
        <v>51</v>
      </c>
      <c r="U6" s="5" t="s">
        <v>50</v>
      </c>
      <c r="V6" s="5"/>
      <c r="W6" s="5"/>
      <c r="X6" s="5"/>
      <c r="Y6" s="5" t="s">
        <v>52</v>
      </c>
      <c r="Z6" s="7">
        <v>11163.74</v>
      </c>
      <c r="AA6" s="7">
        <v>0</v>
      </c>
      <c r="AB6" s="7">
        <v>0</v>
      </c>
      <c r="AC6" s="6">
        <v>46197</v>
      </c>
      <c r="AD6" s="7">
        <v>11163.74</v>
      </c>
      <c r="AE6" s="4">
        <v>61</v>
      </c>
      <c r="AF6" s="5" t="s">
        <v>511</v>
      </c>
      <c r="AG6" s="5" t="s">
        <v>668</v>
      </c>
      <c r="AH6" s="5" t="s">
        <v>669</v>
      </c>
      <c r="AI6" s="5" t="s">
        <v>664</v>
      </c>
      <c r="AJ6" s="4"/>
      <c r="AK6" s="5" t="s">
        <v>68</v>
      </c>
      <c r="AL6" s="5" t="s">
        <v>558</v>
      </c>
      <c r="AM6" s="6">
        <v>46190</v>
      </c>
      <c r="AN6" s="5" t="s">
        <v>643</v>
      </c>
      <c r="AO6" s="5" t="s">
        <v>670</v>
      </c>
    </row>
    <row r="7" spans="1:41" x14ac:dyDescent="0.25">
      <c r="A7" s="2" t="s">
        <v>78</v>
      </c>
      <c r="B7" s="2" t="s">
        <v>671</v>
      </c>
      <c r="C7" s="3">
        <v>46236</v>
      </c>
      <c r="D7" s="4">
        <v>562578639</v>
      </c>
      <c r="E7" s="5" t="s">
        <v>672</v>
      </c>
      <c r="F7" s="6">
        <v>46181</v>
      </c>
      <c r="G7" s="5" t="s">
        <v>574</v>
      </c>
      <c r="H7" s="5" t="s">
        <v>574</v>
      </c>
      <c r="I7" s="5" t="s">
        <v>45</v>
      </c>
      <c r="J7" s="5" t="s">
        <v>673</v>
      </c>
      <c r="K7" s="3">
        <v>46270</v>
      </c>
      <c r="L7" s="11">
        <f ca="1">IF($O7="","",$O7-TODAY())</f>
        <v>-12</v>
      </c>
      <c r="M7" s="11">
        <f ca="1">IF($F7="","",$F7+90-TODAY())</f>
        <v>-12</v>
      </c>
      <c r="N7" s="11">
        <f ca="1">IF($C7="","",$C7+540-TODAY())</f>
        <v>493</v>
      </c>
      <c r="O7" s="6">
        <v>46271</v>
      </c>
      <c r="P7" s="5" t="s">
        <v>47</v>
      </c>
      <c r="Q7" s="5" t="s">
        <v>576</v>
      </c>
      <c r="R7" s="5" t="s">
        <v>47</v>
      </c>
      <c r="S7" s="5" t="s">
        <v>189</v>
      </c>
      <c r="T7" s="5" t="s">
        <v>923</v>
      </c>
      <c r="U7" s="5" t="s">
        <v>50</v>
      </c>
      <c r="V7" s="5" t="s">
        <v>660</v>
      </c>
      <c r="W7" s="5" t="s">
        <v>554</v>
      </c>
      <c r="X7" s="5"/>
      <c r="Y7" s="5" t="s">
        <v>52</v>
      </c>
      <c r="Z7" s="7">
        <v>25252.06</v>
      </c>
      <c r="AA7" s="7">
        <v>0</v>
      </c>
      <c r="AB7" s="7">
        <v>0</v>
      </c>
      <c r="AC7" s="6"/>
      <c r="AD7" s="7">
        <v>25252.06</v>
      </c>
      <c r="AE7" s="4">
        <v>61</v>
      </c>
      <c r="AF7" s="5" t="s">
        <v>367</v>
      </c>
      <c r="AG7" s="5" t="s">
        <v>336</v>
      </c>
      <c r="AH7" s="5" t="s">
        <v>674</v>
      </c>
      <c r="AI7" s="5" t="s">
        <v>457</v>
      </c>
      <c r="AJ7" s="4"/>
      <c r="AK7" s="5" t="s">
        <v>459</v>
      </c>
      <c r="AL7" s="5" t="s">
        <v>558</v>
      </c>
      <c r="AM7" s="6">
        <v>46190</v>
      </c>
      <c r="AN7" s="5" t="s">
        <v>643</v>
      </c>
      <c r="AO7" s="5" t="s">
        <v>675</v>
      </c>
    </row>
    <row r="8" spans="1:41" x14ac:dyDescent="0.25">
      <c r="A8" s="2" t="s">
        <v>945</v>
      </c>
      <c r="B8" s="13" t="s">
        <v>953</v>
      </c>
      <c r="C8" s="3">
        <v>46197</v>
      </c>
      <c r="D8" s="4">
        <v>562086355</v>
      </c>
      <c r="E8" s="5" t="s">
        <v>676</v>
      </c>
      <c r="F8" s="6">
        <v>46184</v>
      </c>
      <c r="G8" s="5" t="s">
        <v>136</v>
      </c>
      <c r="H8" s="5" t="s">
        <v>136</v>
      </c>
      <c r="I8" s="5" t="s">
        <v>45</v>
      </c>
      <c r="J8" s="14" t="s">
        <v>677</v>
      </c>
      <c r="K8" s="3"/>
      <c r="L8" s="11">
        <f ca="1">IF($O8="","",$O8-TODAY())</f>
        <v>-9</v>
      </c>
      <c r="M8" s="11">
        <f ca="1">IF($F8="","",$F8+90-TODAY())</f>
        <v>-9</v>
      </c>
      <c r="N8" s="11">
        <f ca="1">IF($C8="","",$C8+365-TODAY())</f>
        <v>279</v>
      </c>
      <c r="O8" s="6">
        <v>46274</v>
      </c>
      <c r="P8" s="5" t="s">
        <v>47</v>
      </c>
      <c r="Q8" s="5" t="s">
        <v>137</v>
      </c>
      <c r="R8" s="5" t="s">
        <v>47</v>
      </c>
      <c r="S8" s="5" t="s">
        <v>189</v>
      </c>
      <c r="T8" s="5" t="s">
        <v>51</v>
      </c>
      <c r="U8" s="5" t="s">
        <v>50</v>
      </c>
      <c r="V8" s="5"/>
      <c r="W8" s="5"/>
      <c r="X8" s="5"/>
      <c r="Y8" s="5" t="s">
        <v>52</v>
      </c>
      <c r="Z8" s="7">
        <v>2493.33</v>
      </c>
      <c r="AA8" s="7">
        <v>0</v>
      </c>
      <c r="AB8" s="7">
        <v>0</v>
      </c>
      <c r="AC8" s="6">
        <v>46197</v>
      </c>
      <c r="AD8" s="7">
        <v>2493.33</v>
      </c>
      <c r="AE8" s="4">
        <v>58</v>
      </c>
      <c r="AF8" s="5" t="s">
        <v>403</v>
      </c>
      <c r="AG8" s="5" t="s">
        <v>149</v>
      </c>
      <c r="AH8" s="5"/>
      <c r="AI8" s="5"/>
      <c r="AJ8" s="4"/>
      <c r="AK8" s="5" t="s">
        <v>85</v>
      </c>
      <c r="AL8" s="5" t="s">
        <v>541</v>
      </c>
      <c r="AM8" s="6">
        <v>46188</v>
      </c>
      <c r="AN8" s="5" t="s">
        <v>643</v>
      </c>
      <c r="AO8" s="5" t="s">
        <v>678</v>
      </c>
    </row>
    <row r="9" spans="1:41" x14ac:dyDescent="0.25">
      <c r="A9" s="2" t="s">
        <v>41</v>
      </c>
      <c r="B9" s="13" t="s">
        <v>386</v>
      </c>
      <c r="C9" s="3">
        <v>46196</v>
      </c>
      <c r="D9" s="4">
        <v>570992620</v>
      </c>
      <c r="E9" s="5" t="s">
        <v>387</v>
      </c>
      <c r="F9" s="6">
        <v>46184</v>
      </c>
      <c r="G9" s="5" t="s">
        <v>136</v>
      </c>
      <c r="H9" s="5" t="s">
        <v>136</v>
      </c>
      <c r="I9" s="5" t="s">
        <v>136</v>
      </c>
      <c r="J9" s="5" t="s">
        <v>679</v>
      </c>
      <c r="K9" s="3">
        <v>46271</v>
      </c>
      <c r="L9" s="11">
        <f ca="1">IF($O9="","",$O9-TODAY())</f>
        <v>-9</v>
      </c>
      <c r="M9" s="11">
        <f ca="1">IF($F9="","",$F9+90-TODAY())</f>
        <v>-9</v>
      </c>
      <c r="N9" s="11">
        <f ca="1">IF($C9="","",$C9+365-TODAY())</f>
        <v>278</v>
      </c>
      <c r="O9" s="6">
        <v>46274</v>
      </c>
      <c r="P9" s="5" t="s">
        <v>47</v>
      </c>
      <c r="Q9" s="5" t="s">
        <v>137</v>
      </c>
      <c r="R9" s="5" t="s">
        <v>47</v>
      </c>
      <c r="S9" s="5" t="s">
        <v>189</v>
      </c>
      <c r="T9" s="5" t="s">
        <v>51</v>
      </c>
      <c r="U9" s="5" t="s">
        <v>50</v>
      </c>
      <c r="V9" s="5"/>
      <c r="W9" s="5"/>
      <c r="X9" s="5"/>
      <c r="Y9" s="5" t="s">
        <v>52</v>
      </c>
      <c r="Z9" s="7">
        <v>11094.23</v>
      </c>
      <c r="AA9" s="7">
        <v>0</v>
      </c>
      <c r="AB9" s="7">
        <v>0</v>
      </c>
      <c r="AC9" s="6">
        <v>46196</v>
      </c>
      <c r="AD9" s="7">
        <v>11094.23</v>
      </c>
      <c r="AE9" s="4">
        <v>58</v>
      </c>
      <c r="AF9" s="5" t="s">
        <v>680</v>
      </c>
      <c r="AG9" s="5" t="s">
        <v>425</v>
      </c>
      <c r="AH9" s="5" t="s">
        <v>681</v>
      </c>
      <c r="AI9" s="5"/>
      <c r="AJ9" s="4"/>
      <c r="AK9" s="5" t="s">
        <v>132</v>
      </c>
      <c r="AL9" s="5" t="s">
        <v>558</v>
      </c>
      <c r="AM9" s="6">
        <v>46190</v>
      </c>
      <c r="AN9" s="5" t="s">
        <v>643</v>
      </c>
      <c r="AO9" s="5" t="s">
        <v>682</v>
      </c>
    </row>
    <row r="10" spans="1:41" x14ac:dyDescent="0.25">
      <c r="A10" s="2" t="s">
        <v>78</v>
      </c>
      <c r="B10" s="13" t="s">
        <v>683</v>
      </c>
      <c r="C10" s="3">
        <v>46197</v>
      </c>
      <c r="D10" s="4">
        <v>570992408</v>
      </c>
      <c r="E10" s="5" t="s">
        <v>377</v>
      </c>
      <c r="F10" s="6">
        <v>46185</v>
      </c>
      <c r="G10" s="5" t="s">
        <v>44</v>
      </c>
      <c r="H10" s="5" t="s">
        <v>44</v>
      </c>
      <c r="I10" s="5" t="s">
        <v>45</v>
      </c>
      <c r="J10" s="5" t="s">
        <v>684</v>
      </c>
      <c r="K10" s="3">
        <v>46271</v>
      </c>
      <c r="L10" s="11">
        <f ca="1">IF($O10="","",$O10-TODAY())</f>
        <v>-8</v>
      </c>
      <c r="M10" s="11">
        <f ca="1">IF($C10="","",$C10+180-TODAY())</f>
        <v>94</v>
      </c>
      <c r="N10" s="11">
        <f ca="1">IF($C10="","",$C10+365-TODAY())</f>
        <v>279</v>
      </c>
      <c r="O10" s="6">
        <v>46275</v>
      </c>
      <c r="P10" s="5" t="s">
        <v>47</v>
      </c>
      <c r="Q10" s="5" t="s">
        <v>48</v>
      </c>
      <c r="R10" s="5" t="s">
        <v>49</v>
      </c>
      <c r="S10" s="5" t="s">
        <v>50</v>
      </c>
      <c r="T10" s="5" t="s">
        <v>51</v>
      </c>
      <c r="U10" s="5" t="s">
        <v>50</v>
      </c>
      <c r="V10" s="5"/>
      <c r="W10" s="5"/>
      <c r="X10" s="5"/>
      <c r="Y10" s="5" t="s">
        <v>52</v>
      </c>
      <c r="Z10" s="7">
        <v>5614.63</v>
      </c>
      <c r="AA10" s="7">
        <v>0</v>
      </c>
      <c r="AB10" s="7">
        <v>0</v>
      </c>
      <c r="AC10" s="6">
        <v>46197</v>
      </c>
      <c r="AD10" s="7">
        <v>5614.63</v>
      </c>
      <c r="AE10" s="4">
        <v>57</v>
      </c>
      <c r="AF10" s="5" t="s">
        <v>348</v>
      </c>
      <c r="AG10" s="5"/>
      <c r="AH10" s="5"/>
      <c r="AI10" s="5"/>
      <c r="AJ10" s="4"/>
      <c r="AK10" s="5" t="s">
        <v>100</v>
      </c>
      <c r="AL10" s="5" t="s">
        <v>558</v>
      </c>
      <c r="AM10" s="6">
        <v>46189</v>
      </c>
      <c r="AN10" s="5" t="s">
        <v>643</v>
      </c>
      <c r="AO10" s="5" t="s">
        <v>685</v>
      </c>
    </row>
    <row r="11" spans="1:41" x14ac:dyDescent="0.25">
      <c r="A11" s="2" t="s">
        <v>127</v>
      </c>
      <c r="B11" s="2" t="s">
        <v>689</v>
      </c>
      <c r="C11" s="3"/>
      <c r="D11" s="4">
        <v>571013418</v>
      </c>
      <c r="E11" s="5" t="s">
        <v>396</v>
      </c>
      <c r="F11" s="6">
        <v>46191</v>
      </c>
      <c r="G11" s="5" t="s">
        <v>130</v>
      </c>
      <c r="H11" s="5" t="s">
        <v>130</v>
      </c>
      <c r="I11" s="5" t="s">
        <v>45</v>
      </c>
      <c r="J11" s="5" t="s">
        <v>690</v>
      </c>
      <c r="K11" s="3">
        <v>46272</v>
      </c>
      <c r="L11" s="11">
        <f ca="1">IF($O11="","",$O11-TODAY())</f>
        <v>-2</v>
      </c>
      <c r="M11" s="11" t="str">
        <f ca="1">IF($C11="","",$C11+180-TODAY())</f>
        <v/>
      </c>
      <c r="N11" s="11" t="str">
        <f ca="1">IF($C11="","",$C11+365-TODAY())</f>
        <v/>
      </c>
      <c r="O11" s="6">
        <v>46281</v>
      </c>
      <c r="P11" s="5" t="s">
        <v>47</v>
      </c>
      <c r="Q11" s="5" t="s">
        <v>131</v>
      </c>
      <c r="R11" s="5" t="s">
        <v>49</v>
      </c>
      <c r="S11" s="5" t="s">
        <v>50</v>
      </c>
      <c r="T11" s="5" t="s">
        <v>51</v>
      </c>
      <c r="U11" s="5" t="s">
        <v>50</v>
      </c>
      <c r="V11" s="5" t="s">
        <v>660</v>
      </c>
      <c r="W11" s="5"/>
      <c r="X11" s="5"/>
      <c r="Y11" s="5" t="s">
        <v>52</v>
      </c>
      <c r="Z11" s="7">
        <v>15769.79</v>
      </c>
      <c r="AA11" s="7">
        <v>0</v>
      </c>
      <c r="AB11" s="7">
        <v>0</v>
      </c>
      <c r="AC11" s="6"/>
      <c r="AD11" s="7">
        <v>15769.79</v>
      </c>
      <c r="AE11" s="4">
        <v>51</v>
      </c>
      <c r="AF11" s="5" t="s">
        <v>511</v>
      </c>
      <c r="AG11" s="5" t="s">
        <v>691</v>
      </c>
      <c r="AH11" s="5" t="s">
        <v>692</v>
      </c>
      <c r="AI11" s="5"/>
      <c r="AJ11" s="4"/>
      <c r="AK11" s="5" t="s">
        <v>132</v>
      </c>
      <c r="AL11" s="5" t="s">
        <v>558</v>
      </c>
      <c r="AM11" s="6">
        <v>46210</v>
      </c>
      <c r="AN11" s="5" t="s">
        <v>643</v>
      </c>
      <c r="AO11" s="5" t="s">
        <v>693</v>
      </c>
    </row>
    <row r="12" spans="1:41" x14ac:dyDescent="0.25">
      <c r="A12" s="2" t="s">
        <v>78</v>
      </c>
      <c r="B12" s="2" t="s">
        <v>898</v>
      </c>
      <c r="C12" s="3">
        <v>46272</v>
      </c>
      <c r="D12" s="4">
        <v>563839702</v>
      </c>
      <c r="E12" s="5" t="s">
        <v>699</v>
      </c>
      <c r="F12" s="6">
        <v>46197</v>
      </c>
      <c r="G12" s="5" t="s">
        <v>44</v>
      </c>
      <c r="H12" s="5" t="s">
        <v>44</v>
      </c>
      <c r="I12" s="5" t="s">
        <v>75</v>
      </c>
      <c r="J12" s="5" t="s">
        <v>700</v>
      </c>
      <c r="K12" s="3">
        <v>46282</v>
      </c>
      <c r="L12" s="11">
        <f ca="1">IF($O12="","",$O12-TODAY())</f>
        <v>4</v>
      </c>
      <c r="M12" s="11">
        <f ca="1">IF($C12="","",$C12+180-TODAY())</f>
        <v>169</v>
      </c>
      <c r="N12" s="11">
        <f ca="1">IF($C12="","",$C12+365-TODAY())</f>
        <v>354</v>
      </c>
      <c r="O12" s="6">
        <v>46287</v>
      </c>
      <c r="P12" s="5" t="s">
        <v>47</v>
      </c>
      <c r="Q12" s="5" t="s">
        <v>48</v>
      </c>
      <c r="R12" s="5" t="s">
        <v>49</v>
      </c>
      <c r="S12" s="5" t="s">
        <v>50</v>
      </c>
      <c r="T12" s="5" t="s">
        <v>51</v>
      </c>
      <c r="U12" s="5" t="s">
        <v>50</v>
      </c>
      <c r="V12" s="5"/>
      <c r="W12" s="5"/>
      <c r="X12" s="5"/>
      <c r="Y12" s="5" t="s">
        <v>52</v>
      </c>
      <c r="Z12" s="7">
        <v>10892.84</v>
      </c>
      <c r="AA12" s="7">
        <v>0</v>
      </c>
      <c r="AB12" s="7">
        <v>0</v>
      </c>
      <c r="AC12" s="6"/>
      <c r="AD12" s="7">
        <v>10892.84</v>
      </c>
      <c r="AE12" s="4">
        <v>45</v>
      </c>
      <c r="AF12" s="5" t="s">
        <v>336</v>
      </c>
      <c r="AG12" s="5" t="s">
        <v>367</v>
      </c>
      <c r="AH12" s="5" t="s">
        <v>701</v>
      </c>
      <c r="AI12" s="5"/>
      <c r="AJ12" s="4"/>
      <c r="AK12" s="5" t="s">
        <v>459</v>
      </c>
      <c r="AL12" s="5" t="s">
        <v>558</v>
      </c>
      <c r="AM12" s="6">
        <v>46203</v>
      </c>
      <c r="AN12" s="5" t="s">
        <v>643</v>
      </c>
      <c r="AO12" s="5" t="s">
        <v>702</v>
      </c>
    </row>
    <row r="13" spans="1:41" x14ac:dyDescent="0.25">
      <c r="A13" s="2" t="s">
        <v>901</v>
      </c>
      <c r="B13" s="13" t="s">
        <v>902</v>
      </c>
      <c r="C13" s="3"/>
      <c r="D13" s="4">
        <v>572208778</v>
      </c>
      <c r="E13" s="5" t="s">
        <v>438</v>
      </c>
      <c r="F13" s="6">
        <v>46198</v>
      </c>
      <c r="G13" s="5" t="s">
        <v>439</v>
      </c>
      <c r="H13" s="5" t="s">
        <v>439</v>
      </c>
      <c r="I13" s="5" t="s">
        <v>45</v>
      </c>
      <c r="J13" s="5" t="s">
        <v>667</v>
      </c>
      <c r="K13" s="3">
        <v>46283</v>
      </c>
      <c r="L13" s="11">
        <f ca="1">IF($O13="","",$O13-TODAY())</f>
        <v>5</v>
      </c>
      <c r="M13" s="11" t="str">
        <f ca="1">IF($C13="","",$C13+180-TODAY())</f>
        <v/>
      </c>
      <c r="N13" s="11" t="str">
        <f ca="1">IF($C13="","",$C13+365-TODAY())</f>
        <v/>
      </c>
      <c r="O13" s="6">
        <v>46288</v>
      </c>
      <c r="P13" s="5" t="s">
        <v>47</v>
      </c>
      <c r="Q13" s="5" t="s">
        <v>131</v>
      </c>
      <c r="R13" s="5" t="s">
        <v>49</v>
      </c>
      <c r="S13" s="5" t="s">
        <v>50</v>
      </c>
      <c r="T13" s="5" t="s">
        <v>51</v>
      </c>
      <c r="U13" s="5" t="s">
        <v>50</v>
      </c>
      <c r="V13" s="5"/>
      <c r="W13" s="5"/>
      <c r="X13" s="5"/>
      <c r="Y13" s="5" t="s">
        <v>52</v>
      </c>
      <c r="Z13" s="7">
        <v>11163.74</v>
      </c>
      <c r="AA13" s="7">
        <v>0</v>
      </c>
      <c r="AB13" s="7">
        <v>0</v>
      </c>
      <c r="AC13" s="6">
        <v>46220</v>
      </c>
      <c r="AD13" s="7">
        <v>11163.74</v>
      </c>
      <c r="AE13" s="4">
        <v>44</v>
      </c>
      <c r="AF13" s="5" t="s">
        <v>669</v>
      </c>
      <c r="AG13" s="5" t="s">
        <v>511</v>
      </c>
      <c r="AH13" s="5" t="s">
        <v>706</v>
      </c>
      <c r="AI13" s="5" t="s">
        <v>707</v>
      </c>
      <c r="AJ13" s="4"/>
      <c r="AK13" s="5" t="s">
        <v>132</v>
      </c>
      <c r="AL13" s="5" t="s">
        <v>558</v>
      </c>
      <c r="AM13" s="6">
        <v>46203</v>
      </c>
      <c r="AN13" s="5" t="s">
        <v>643</v>
      </c>
      <c r="AO13" s="5" t="s">
        <v>708</v>
      </c>
    </row>
    <row r="14" spans="1:41" x14ac:dyDescent="0.25">
      <c r="A14" s="2" t="s">
        <v>78</v>
      </c>
      <c r="B14" s="13" t="s">
        <v>904</v>
      </c>
      <c r="C14" s="3">
        <v>46210</v>
      </c>
      <c r="D14" s="4">
        <v>563854100</v>
      </c>
      <c r="E14" s="5" t="s">
        <v>432</v>
      </c>
      <c r="F14" s="6">
        <v>46198</v>
      </c>
      <c r="G14" s="5" t="s">
        <v>130</v>
      </c>
      <c r="H14" s="5" t="s">
        <v>130</v>
      </c>
      <c r="I14" s="5" t="s">
        <v>45</v>
      </c>
      <c r="J14" s="5" t="s">
        <v>709</v>
      </c>
      <c r="K14" s="3">
        <v>46283</v>
      </c>
      <c r="L14" s="11">
        <f ca="1">IF($O14="","",$O14-TODAY())</f>
        <v>5</v>
      </c>
      <c r="M14" s="11">
        <f ca="1">IF($C14="","",$C14+180-TODAY())</f>
        <v>107</v>
      </c>
      <c r="N14" s="11">
        <f ca="1">IF($C14="","",$C14+365-TODAY())</f>
        <v>292</v>
      </c>
      <c r="O14" s="6">
        <v>46288</v>
      </c>
      <c r="P14" s="5" t="s">
        <v>47</v>
      </c>
      <c r="Q14" s="5" t="s">
        <v>131</v>
      </c>
      <c r="R14" s="5" t="s">
        <v>49</v>
      </c>
      <c r="S14" s="5" t="s">
        <v>50</v>
      </c>
      <c r="T14" s="5" t="s">
        <v>51</v>
      </c>
      <c r="U14" s="5" t="s">
        <v>50</v>
      </c>
      <c r="V14" s="5" t="s">
        <v>554</v>
      </c>
      <c r="W14" s="5"/>
      <c r="X14" s="5"/>
      <c r="Y14" s="5" t="s">
        <v>52</v>
      </c>
      <c r="Z14" s="7">
        <v>6297.27</v>
      </c>
      <c r="AA14" s="7">
        <v>0</v>
      </c>
      <c r="AB14" s="7">
        <v>0</v>
      </c>
      <c r="AC14" s="6"/>
      <c r="AD14" s="7">
        <v>6297.27</v>
      </c>
      <c r="AE14" s="4">
        <v>44</v>
      </c>
      <c r="AF14" s="5" t="s">
        <v>336</v>
      </c>
      <c r="AG14" s="5" t="s">
        <v>367</v>
      </c>
      <c r="AH14" s="5" t="s">
        <v>710</v>
      </c>
      <c r="AI14" s="5"/>
      <c r="AJ14" s="4"/>
      <c r="AK14" s="5" t="s">
        <v>132</v>
      </c>
      <c r="AL14" s="5" t="s">
        <v>558</v>
      </c>
      <c r="AM14" s="6">
        <v>46203</v>
      </c>
      <c r="AN14" s="5" t="s">
        <v>643</v>
      </c>
      <c r="AO14" s="5" t="s">
        <v>711</v>
      </c>
    </row>
    <row r="15" spans="1:41" x14ac:dyDescent="0.25">
      <c r="A15" s="2"/>
      <c r="B15" s="2"/>
      <c r="C15" s="3">
        <v>46223</v>
      </c>
      <c r="D15" s="4">
        <v>563941508</v>
      </c>
      <c r="E15" s="5" t="s">
        <v>714</v>
      </c>
      <c r="F15" s="6">
        <v>46203</v>
      </c>
      <c r="G15" s="5" t="s">
        <v>360</v>
      </c>
      <c r="H15" s="5" t="s">
        <v>360</v>
      </c>
      <c r="I15" s="5" t="s">
        <v>45</v>
      </c>
      <c r="J15" s="5" t="s">
        <v>694</v>
      </c>
      <c r="K15" s="3"/>
      <c r="L15" s="11">
        <f ca="1">IF($O15="","",$O15-TODAY())</f>
        <v>10</v>
      </c>
      <c r="M15" s="11">
        <f ca="1">IF($F15="","",$F15+90-TODAY())</f>
        <v>10</v>
      </c>
      <c r="N15" s="11">
        <f ca="1">IF($C15="","",$C15+180-TODAY())</f>
        <v>120</v>
      </c>
      <c r="O15" s="6">
        <v>46293</v>
      </c>
      <c r="P15" s="5" t="s">
        <v>47</v>
      </c>
      <c r="Q15" s="5" t="s">
        <v>361</v>
      </c>
      <c r="R15" s="5" t="s">
        <v>47</v>
      </c>
      <c r="S15" s="5" t="s">
        <v>189</v>
      </c>
      <c r="T15" s="5" t="s">
        <v>49</v>
      </c>
      <c r="U15" s="5" t="s">
        <v>50</v>
      </c>
      <c r="V15" s="5"/>
      <c r="W15" s="5"/>
      <c r="X15" s="5"/>
      <c r="Y15" s="5" t="s">
        <v>52</v>
      </c>
      <c r="Z15" s="7">
        <v>2493.33</v>
      </c>
      <c r="AA15" s="7">
        <v>0</v>
      </c>
      <c r="AB15" s="7">
        <v>0</v>
      </c>
      <c r="AC15" s="6">
        <v>46223</v>
      </c>
      <c r="AD15" s="7">
        <v>2493.33</v>
      </c>
      <c r="AE15" s="4">
        <v>39</v>
      </c>
      <c r="AF15" s="5" t="s">
        <v>402</v>
      </c>
      <c r="AG15" s="5" t="s">
        <v>367</v>
      </c>
      <c r="AH15" s="5"/>
      <c r="AI15" s="5"/>
      <c r="AJ15" s="4"/>
      <c r="AK15" s="5" t="s">
        <v>62</v>
      </c>
      <c r="AL15" s="5" t="s">
        <v>541</v>
      </c>
      <c r="AM15" s="6">
        <v>46213</v>
      </c>
      <c r="AN15" s="5" t="s">
        <v>643</v>
      </c>
      <c r="AO15" s="5" t="s">
        <v>715</v>
      </c>
    </row>
    <row r="16" spans="1:41" x14ac:dyDescent="0.25">
      <c r="A16" s="2"/>
      <c r="B16" s="2"/>
      <c r="C16" s="3"/>
      <c r="D16" s="4">
        <v>564121445</v>
      </c>
      <c r="E16" s="5" t="s">
        <v>716</v>
      </c>
      <c r="F16" s="6">
        <v>46203</v>
      </c>
      <c r="G16" s="5" t="s">
        <v>81</v>
      </c>
      <c r="H16" s="5" t="s">
        <v>81</v>
      </c>
      <c r="I16" s="5" t="s">
        <v>45</v>
      </c>
      <c r="J16" s="5" t="s">
        <v>687</v>
      </c>
      <c r="K16" s="3"/>
      <c r="L16" s="11">
        <f ca="1">IF($O16="","",$O16-TODAY())</f>
        <v>10</v>
      </c>
      <c r="M16" s="11" t="str">
        <f ca="1">IF($C16="","",$C16+365-TODAY())</f>
        <v/>
      </c>
      <c r="N16" s="11" t="str">
        <f ca="1">IF($C16="","",$C16+365-TODAY())</f>
        <v/>
      </c>
      <c r="O16" s="6">
        <v>46293</v>
      </c>
      <c r="P16" s="5" t="s">
        <v>47</v>
      </c>
      <c r="Q16" s="5" t="s">
        <v>83</v>
      </c>
      <c r="R16" s="5" t="s">
        <v>51</v>
      </c>
      <c r="S16" s="5" t="s">
        <v>50</v>
      </c>
      <c r="T16" s="5" t="s">
        <v>51</v>
      </c>
      <c r="U16" s="5" t="s">
        <v>50</v>
      </c>
      <c r="V16" s="5" t="s">
        <v>554</v>
      </c>
      <c r="W16" s="5"/>
      <c r="X16" s="5"/>
      <c r="Y16" s="5" t="s">
        <v>52</v>
      </c>
      <c r="Z16" s="7">
        <v>5614.63</v>
      </c>
      <c r="AA16" s="7">
        <v>0</v>
      </c>
      <c r="AB16" s="7">
        <v>0</v>
      </c>
      <c r="AC16" s="6"/>
      <c r="AD16" s="7">
        <v>5614.63</v>
      </c>
      <c r="AE16" s="4">
        <v>39</v>
      </c>
      <c r="AF16" s="5" t="s">
        <v>348</v>
      </c>
      <c r="AG16" s="5"/>
      <c r="AH16" s="5"/>
      <c r="AI16" s="5"/>
      <c r="AJ16" s="4"/>
      <c r="AK16" s="5" t="s">
        <v>100</v>
      </c>
      <c r="AL16" s="5" t="s">
        <v>558</v>
      </c>
      <c r="AM16" s="6">
        <v>46211</v>
      </c>
      <c r="AN16" s="5" t="s">
        <v>643</v>
      </c>
      <c r="AO16" s="5" t="s">
        <v>717</v>
      </c>
    </row>
    <row r="17" spans="1:41" x14ac:dyDescent="0.25">
      <c r="A17" s="2" t="s">
        <v>41</v>
      </c>
      <c r="B17" s="2"/>
      <c r="C17" s="3">
        <v>46206</v>
      </c>
      <c r="D17" s="4">
        <v>561704073</v>
      </c>
      <c r="E17" s="5" t="s">
        <v>718</v>
      </c>
      <c r="F17" s="6">
        <v>46182</v>
      </c>
      <c r="G17" s="5" t="s">
        <v>208</v>
      </c>
      <c r="H17" s="5" t="s">
        <v>165</v>
      </c>
      <c r="I17" s="5" t="s">
        <v>208</v>
      </c>
      <c r="J17" s="5" t="s">
        <v>694</v>
      </c>
      <c r="K17" s="3"/>
      <c r="L17" s="11">
        <f ca="1">IF($O17="","",$O17-TODAY())</f>
        <v>19</v>
      </c>
      <c r="M17" s="11">
        <f ca="1">IF($C17="","",$C17+180-TODAY())</f>
        <v>103</v>
      </c>
      <c r="N17" s="11">
        <f ca="1">IF($C17="","",$C17+180-TODAY())</f>
        <v>103</v>
      </c>
      <c r="O17" s="6">
        <v>46302</v>
      </c>
      <c r="P17" s="5" t="s">
        <v>166</v>
      </c>
      <c r="Q17" s="5" t="s">
        <v>167</v>
      </c>
      <c r="R17" s="5" t="s">
        <v>49</v>
      </c>
      <c r="S17" s="5" t="s">
        <v>50</v>
      </c>
      <c r="T17" s="5" t="s">
        <v>49</v>
      </c>
      <c r="U17" s="5" t="s">
        <v>50</v>
      </c>
      <c r="V17" s="5"/>
      <c r="W17" s="5"/>
      <c r="X17" s="5"/>
      <c r="Y17" s="5" t="s">
        <v>52</v>
      </c>
      <c r="Z17" s="7">
        <v>2493.33</v>
      </c>
      <c r="AA17" s="7">
        <v>2418.7399999999998</v>
      </c>
      <c r="AB17" s="7">
        <v>67.13</v>
      </c>
      <c r="AC17" s="6">
        <v>46206</v>
      </c>
      <c r="AD17" s="7">
        <v>7.46</v>
      </c>
      <c r="AE17" s="4">
        <v>60</v>
      </c>
      <c r="AF17" s="5" t="s">
        <v>402</v>
      </c>
      <c r="AG17" s="5" t="s">
        <v>149</v>
      </c>
      <c r="AH17" s="5"/>
      <c r="AI17" s="5"/>
      <c r="AJ17" s="4">
        <v>565633590</v>
      </c>
      <c r="AK17" s="5" t="s">
        <v>85</v>
      </c>
      <c r="AL17" s="5" t="s">
        <v>541</v>
      </c>
      <c r="AM17" s="6">
        <v>46184</v>
      </c>
      <c r="AN17" s="5" t="s">
        <v>643</v>
      </c>
      <c r="AO17" s="5" t="s">
        <v>719</v>
      </c>
    </row>
    <row r="18" spans="1:41" x14ac:dyDescent="0.25">
      <c r="A18" s="2"/>
      <c r="B18" s="2"/>
      <c r="C18" s="3">
        <v>46218</v>
      </c>
      <c r="D18" s="4">
        <v>563836350</v>
      </c>
      <c r="E18" s="5" t="s">
        <v>720</v>
      </c>
      <c r="F18" s="6">
        <v>46185</v>
      </c>
      <c r="G18" s="5" t="s">
        <v>514</v>
      </c>
      <c r="H18" s="5" t="s">
        <v>514</v>
      </c>
      <c r="I18" s="5" t="s">
        <v>45</v>
      </c>
      <c r="J18" s="5" t="s">
        <v>721</v>
      </c>
      <c r="K18" s="3"/>
      <c r="L18" s="11">
        <f ca="1">IF($O18="","",$O18-TODAY())</f>
        <v>22</v>
      </c>
      <c r="M18" s="11">
        <f ca="1">IF($F18="","",$F18+365-TODAY())</f>
        <v>267</v>
      </c>
      <c r="N18" s="11">
        <f ca="1">IF($F18="","",$F18+365-TODAY())</f>
        <v>267</v>
      </c>
      <c r="O18" s="6">
        <v>46305</v>
      </c>
      <c r="P18" s="5" t="s">
        <v>166</v>
      </c>
      <c r="Q18" s="5" t="s">
        <v>722</v>
      </c>
      <c r="R18" s="5" t="s">
        <v>51</v>
      </c>
      <c r="S18" s="5" t="s">
        <v>189</v>
      </c>
      <c r="T18" s="5" t="s">
        <v>51</v>
      </c>
      <c r="U18" s="5" t="s">
        <v>189</v>
      </c>
      <c r="V18" s="5"/>
      <c r="W18" s="5"/>
      <c r="X18" s="5"/>
      <c r="Y18" s="5" t="s">
        <v>52</v>
      </c>
      <c r="Z18" s="7">
        <v>1758.12</v>
      </c>
      <c r="AA18" s="7">
        <v>0</v>
      </c>
      <c r="AB18" s="7">
        <v>0</v>
      </c>
      <c r="AC18" s="6">
        <v>46218</v>
      </c>
      <c r="AD18" s="7">
        <v>1758.12</v>
      </c>
      <c r="AE18" s="4">
        <v>57</v>
      </c>
      <c r="AF18" s="5" t="s">
        <v>511</v>
      </c>
      <c r="AG18" s="5" t="s">
        <v>669</v>
      </c>
      <c r="AH18" s="5"/>
      <c r="AI18" s="5"/>
      <c r="AJ18" s="4"/>
      <c r="AK18" s="5" t="s">
        <v>642</v>
      </c>
      <c r="AL18" s="5" t="s">
        <v>723</v>
      </c>
      <c r="AM18" s="6">
        <v>46203</v>
      </c>
      <c r="AN18" s="5" t="s">
        <v>643</v>
      </c>
      <c r="AO18" s="5" t="s">
        <v>724</v>
      </c>
    </row>
    <row r="19" spans="1:41" x14ac:dyDescent="0.25">
      <c r="A19" s="2"/>
      <c r="B19" s="2"/>
      <c r="C19" s="3">
        <v>46217</v>
      </c>
      <c r="D19" s="4">
        <v>563945778</v>
      </c>
      <c r="E19" s="5" t="s">
        <v>732</v>
      </c>
      <c r="F19" s="6">
        <v>46193</v>
      </c>
      <c r="G19" s="5" t="s">
        <v>165</v>
      </c>
      <c r="H19" s="5" t="s">
        <v>165</v>
      </c>
      <c r="I19" s="5" t="s">
        <v>45</v>
      </c>
      <c r="J19" s="5" t="s">
        <v>697</v>
      </c>
      <c r="K19" s="3"/>
      <c r="L19" s="11">
        <f ca="1">IF($O19="","",$O19-TODAY())</f>
        <v>30</v>
      </c>
      <c r="M19" s="11">
        <f ca="1">IF($C19="","",$C19+180-TODAY())</f>
        <v>114</v>
      </c>
      <c r="N19" s="11">
        <f ca="1">IF($C19="","",$C19+180-TODAY())</f>
        <v>114</v>
      </c>
      <c r="O19" s="6">
        <v>46313</v>
      </c>
      <c r="P19" s="5" t="s">
        <v>166</v>
      </c>
      <c r="Q19" s="5" t="s">
        <v>167</v>
      </c>
      <c r="R19" s="5" t="s">
        <v>49</v>
      </c>
      <c r="S19" s="5" t="s">
        <v>50</v>
      </c>
      <c r="T19" s="5" t="s">
        <v>49</v>
      </c>
      <c r="U19" s="5" t="s">
        <v>50</v>
      </c>
      <c r="V19" s="5" t="s">
        <v>554</v>
      </c>
      <c r="W19" s="5"/>
      <c r="X19" s="5"/>
      <c r="Y19" s="5" t="s">
        <v>52</v>
      </c>
      <c r="Z19" s="7">
        <v>7623.07</v>
      </c>
      <c r="AA19" s="7">
        <v>0</v>
      </c>
      <c r="AB19" s="7">
        <v>0</v>
      </c>
      <c r="AC19" s="6">
        <v>46217</v>
      </c>
      <c r="AD19" s="7">
        <v>7623.07</v>
      </c>
      <c r="AE19" s="4">
        <v>49</v>
      </c>
      <c r="AF19" s="5" t="s">
        <v>336</v>
      </c>
      <c r="AG19" s="5"/>
      <c r="AH19" s="5"/>
      <c r="AI19" s="5"/>
      <c r="AJ19" s="4"/>
      <c r="AK19" s="5" t="s">
        <v>92</v>
      </c>
      <c r="AL19" s="5" t="s">
        <v>558</v>
      </c>
      <c r="AM19" s="6">
        <v>46205</v>
      </c>
      <c r="AN19" s="5" t="s">
        <v>643</v>
      </c>
      <c r="AO19" s="5" t="s">
        <v>733</v>
      </c>
    </row>
    <row r="20" spans="1:41" x14ac:dyDescent="0.25">
      <c r="A20" s="2"/>
      <c r="B20" s="2"/>
      <c r="C20" s="3"/>
      <c r="D20" s="4">
        <v>563845926</v>
      </c>
      <c r="E20" s="5" t="s">
        <v>448</v>
      </c>
      <c r="F20" s="6">
        <v>46198</v>
      </c>
      <c r="G20" s="5" t="s">
        <v>188</v>
      </c>
      <c r="H20" s="5" t="s">
        <v>188</v>
      </c>
      <c r="I20" s="5" t="s">
        <v>45</v>
      </c>
      <c r="J20" s="5" t="s">
        <v>738</v>
      </c>
      <c r="K20" s="3"/>
      <c r="L20" s="11">
        <f ca="1">IF($O20="","",$O20-TODAY())</f>
        <v>35</v>
      </c>
      <c r="M20" s="11">
        <f ca="1">IF($F20="","",$F20+365-TODAY())</f>
        <v>280</v>
      </c>
      <c r="N20" s="11" t="str">
        <f ca="1">IF($C20="","",$C20+180-TODAY())</f>
        <v/>
      </c>
      <c r="O20" s="6">
        <v>46318</v>
      </c>
      <c r="P20" s="5" t="s">
        <v>166</v>
      </c>
      <c r="Q20" s="5" t="s">
        <v>188</v>
      </c>
      <c r="R20" s="5" t="s">
        <v>51</v>
      </c>
      <c r="S20" s="5" t="s">
        <v>189</v>
      </c>
      <c r="T20" s="5" t="s">
        <v>49</v>
      </c>
      <c r="U20" s="5" t="s">
        <v>50</v>
      </c>
      <c r="V20" s="5"/>
      <c r="W20" s="5"/>
      <c r="X20" s="5"/>
      <c r="Y20" s="5" t="s">
        <v>52</v>
      </c>
      <c r="Z20" s="7">
        <v>14614.67</v>
      </c>
      <c r="AA20" s="7">
        <v>0</v>
      </c>
      <c r="AB20" s="7">
        <v>0</v>
      </c>
      <c r="AC20" s="6"/>
      <c r="AD20" s="7">
        <v>14614.67</v>
      </c>
      <c r="AE20" s="4">
        <v>44</v>
      </c>
      <c r="AF20" s="5" t="s">
        <v>669</v>
      </c>
      <c r="AG20" s="5" t="s">
        <v>511</v>
      </c>
      <c r="AH20" s="5" t="s">
        <v>706</v>
      </c>
      <c r="AI20" s="5" t="s">
        <v>739</v>
      </c>
      <c r="AJ20" s="4"/>
      <c r="AK20" s="5" t="s">
        <v>132</v>
      </c>
      <c r="AL20" s="5" t="s">
        <v>558</v>
      </c>
      <c r="AM20" s="6">
        <v>46203</v>
      </c>
      <c r="AN20" s="5" t="s">
        <v>643</v>
      </c>
      <c r="AO20" s="5" t="s">
        <v>740</v>
      </c>
    </row>
    <row r="21" spans="1:41" x14ac:dyDescent="0.25">
      <c r="A21" s="2"/>
      <c r="B21" s="2"/>
      <c r="C21" s="3">
        <v>46232</v>
      </c>
      <c r="D21" s="4">
        <v>564581824</v>
      </c>
      <c r="E21" s="5" t="s">
        <v>939</v>
      </c>
      <c r="F21" s="6">
        <v>46202</v>
      </c>
      <c r="G21" s="5" t="s">
        <v>819</v>
      </c>
      <c r="H21" s="5" t="s">
        <v>819</v>
      </c>
      <c r="I21" s="5" t="s">
        <v>75</v>
      </c>
      <c r="J21" s="5" t="s">
        <v>940</v>
      </c>
      <c r="K21" s="3"/>
      <c r="L21" s="11">
        <f ca="1">IF($O21="","",$O21-TODAY())</f>
        <v>69</v>
      </c>
      <c r="M21" s="11">
        <f ca="1">IF($F21="","",$F21+365-TODAY())</f>
        <v>284</v>
      </c>
      <c r="N21" s="11">
        <f ca="1">IF($F21="","",$F21+365-TODAY())</f>
        <v>284</v>
      </c>
      <c r="O21" s="6">
        <v>46352</v>
      </c>
      <c r="P21" s="5" t="s">
        <v>820</v>
      </c>
      <c r="Q21" s="5" t="s">
        <v>821</v>
      </c>
      <c r="R21" s="5" t="s">
        <v>51</v>
      </c>
      <c r="S21" s="5" t="s">
        <v>189</v>
      </c>
      <c r="T21" s="5" t="s">
        <v>51</v>
      </c>
      <c r="U21" s="5" t="s">
        <v>189</v>
      </c>
      <c r="V21" s="5"/>
      <c r="W21" s="5"/>
      <c r="X21" s="5"/>
      <c r="Y21" s="5" t="s">
        <v>52</v>
      </c>
      <c r="Z21" s="7">
        <v>3471.16</v>
      </c>
      <c r="AA21" s="7">
        <v>3230.34</v>
      </c>
      <c r="AB21" s="7">
        <v>433.48</v>
      </c>
      <c r="AC21" s="6">
        <v>46232</v>
      </c>
      <c r="AD21" s="7">
        <v>-192.66</v>
      </c>
      <c r="AE21" s="4">
        <v>40</v>
      </c>
      <c r="AF21" s="5" t="s">
        <v>941</v>
      </c>
      <c r="AG21" s="5"/>
      <c r="AH21" s="5"/>
      <c r="AI21" s="5"/>
      <c r="AJ21" s="4"/>
      <c r="AK21" s="5" t="s">
        <v>942</v>
      </c>
      <c r="AL21" s="5" t="s">
        <v>541</v>
      </c>
      <c r="AM21" s="6">
        <v>46217</v>
      </c>
      <c r="AN21" s="5" t="s">
        <v>643</v>
      </c>
      <c r="AO21" s="5"/>
    </row>
    <row r="22" spans="1:41" x14ac:dyDescent="0.25">
      <c r="A22" s="2"/>
      <c r="B22" s="2"/>
      <c r="C22" s="3">
        <v>46253</v>
      </c>
      <c r="D22" s="4">
        <v>564529714</v>
      </c>
      <c r="E22" s="5" t="s">
        <v>943</v>
      </c>
      <c r="F22" s="6">
        <v>46195</v>
      </c>
      <c r="G22" s="5" t="s">
        <v>75</v>
      </c>
      <c r="H22" s="5" t="s">
        <v>75</v>
      </c>
      <c r="I22" s="5" t="s">
        <v>45</v>
      </c>
      <c r="J22" s="5" t="s">
        <v>944</v>
      </c>
      <c r="K22" s="3"/>
      <c r="L22" s="11">
        <f ca="1">IF($O22="","",$O22-TODAY())</f>
        <v>92</v>
      </c>
      <c r="M22" s="11">
        <f ca="1">IF($F22="","",$F22+365-TODAY())</f>
        <v>277</v>
      </c>
      <c r="N22" s="11">
        <f ca="1">IF($F22="","",$F22+365-TODAY())</f>
        <v>277</v>
      </c>
      <c r="O22" s="6">
        <v>46375</v>
      </c>
      <c r="P22" s="5" t="s">
        <v>49</v>
      </c>
      <c r="Q22" s="5" t="s">
        <v>456</v>
      </c>
      <c r="R22" s="5" t="s">
        <v>51</v>
      </c>
      <c r="S22" s="5" t="s">
        <v>189</v>
      </c>
      <c r="T22" s="5" t="s">
        <v>51</v>
      </c>
      <c r="U22" s="5" t="s">
        <v>189</v>
      </c>
      <c r="V22" s="5"/>
      <c r="W22" s="5"/>
      <c r="X22" s="5"/>
      <c r="Y22" s="5" t="s">
        <v>52</v>
      </c>
      <c r="Z22" s="7">
        <v>17815.21</v>
      </c>
      <c r="AA22" s="7">
        <v>0</v>
      </c>
      <c r="AB22" s="7">
        <v>0</v>
      </c>
      <c r="AC22" s="6">
        <v>46253</v>
      </c>
      <c r="AD22" s="7">
        <v>17815.21</v>
      </c>
      <c r="AE22" s="4">
        <v>47</v>
      </c>
      <c r="AF22" s="5" t="s">
        <v>336</v>
      </c>
      <c r="AG22" s="5" t="s">
        <v>457</v>
      </c>
      <c r="AH22" s="5" t="s">
        <v>356</v>
      </c>
      <c r="AI22" s="5" t="s">
        <v>511</v>
      </c>
      <c r="AJ22" s="4"/>
      <c r="AK22" s="5" t="s">
        <v>459</v>
      </c>
      <c r="AL22" s="5" t="s">
        <v>730</v>
      </c>
      <c r="AM22" s="6">
        <v>46246</v>
      </c>
      <c r="AN22" s="5" t="s">
        <v>643</v>
      </c>
      <c r="AO22" s="5"/>
    </row>
    <row r="23" spans="1:41" x14ac:dyDescent="0.25">
      <c r="A23" s="2"/>
      <c r="B23" s="2"/>
      <c r="C23" s="3">
        <v>46188</v>
      </c>
      <c r="D23" s="4">
        <v>561270366</v>
      </c>
      <c r="E23" s="5" t="s">
        <v>483</v>
      </c>
      <c r="F23" s="6">
        <v>46177</v>
      </c>
      <c r="G23" s="5" t="s">
        <v>208</v>
      </c>
      <c r="H23" s="5" t="s">
        <v>208</v>
      </c>
      <c r="I23" s="5" t="s">
        <v>484</v>
      </c>
      <c r="J23" s="5" t="s">
        <v>687</v>
      </c>
      <c r="K23" s="3"/>
      <c r="L23" s="11">
        <f ca="1">IF($O23="","",$O23-TODAY())</f>
        <v>259</v>
      </c>
      <c r="M23" s="11">
        <f ca="1">IF($C23="","",$C23+365-TODAY())</f>
        <v>270</v>
      </c>
      <c r="N23" s="11">
        <f ca="1">IF($C23="","",$C23+120-TODAY())</f>
        <v>25</v>
      </c>
      <c r="O23" s="6">
        <v>46542</v>
      </c>
      <c r="P23" s="5" t="s">
        <v>51</v>
      </c>
      <c r="Q23" s="5" t="s">
        <v>209</v>
      </c>
      <c r="R23" s="5" t="s">
        <v>51</v>
      </c>
      <c r="S23" s="5" t="s">
        <v>50</v>
      </c>
      <c r="T23" s="5" t="s">
        <v>166</v>
      </c>
      <c r="U23" s="5" t="s">
        <v>50</v>
      </c>
      <c r="V23" s="5" t="s">
        <v>554</v>
      </c>
      <c r="W23" s="5"/>
      <c r="X23" s="5"/>
      <c r="Y23" s="5" t="s">
        <v>52</v>
      </c>
      <c r="Z23" s="7">
        <v>5614.63</v>
      </c>
      <c r="AA23" s="7">
        <v>0</v>
      </c>
      <c r="AB23" s="7">
        <v>0</v>
      </c>
      <c r="AC23" s="6">
        <v>46188</v>
      </c>
      <c r="AD23" s="7">
        <v>5614.63</v>
      </c>
      <c r="AE23" s="4">
        <v>65</v>
      </c>
      <c r="AF23" s="5" t="s">
        <v>348</v>
      </c>
      <c r="AG23" s="5"/>
      <c r="AH23" s="5"/>
      <c r="AI23" s="5"/>
      <c r="AJ23" s="4"/>
      <c r="AK23" s="5" t="s">
        <v>62</v>
      </c>
      <c r="AL23" s="5" t="s">
        <v>541</v>
      </c>
      <c r="AM23" s="6">
        <v>46181</v>
      </c>
      <c r="AN23" s="5" t="s">
        <v>643</v>
      </c>
      <c r="AO23" s="5" t="s">
        <v>741</v>
      </c>
    </row>
    <row r="24" spans="1:41" x14ac:dyDescent="0.25">
      <c r="A24" s="2"/>
      <c r="B24" s="2"/>
      <c r="C24" s="3">
        <v>46195</v>
      </c>
      <c r="D24" s="4">
        <v>562554208</v>
      </c>
      <c r="E24" s="5" t="s">
        <v>749</v>
      </c>
      <c r="F24" s="6">
        <v>46188</v>
      </c>
      <c r="G24" s="5" t="s">
        <v>208</v>
      </c>
      <c r="H24" s="5" t="s">
        <v>208</v>
      </c>
      <c r="I24" s="5" t="s">
        <v>750</v>
      </c>
      <c r="J24" s="5" t="s">
        <v>751</v>
      </c>
      <c r="K24" s="3"/>
      <c r="L24" s="11">
        <f ca="1">IF($O24="","",$O24-TODAY())</f>
        <v>270</v>
      </c>
      <c r="M24" s="11">
        <f ca="1">IF($C24="","",$C24+365-TODAY())</f>
        <v>277</v>
      </c>
      <c r="N24" s="11">
        <f ca="1">IF($C24="","",$C24+120-TODAY())</f>
        <v>32</v>
      </c>
      <c r="O24" s="6">
        <v>46553</v>
      </c>
      <c r="P24" s="5" t="s">
        <v>51</v>
      </c>
      <c r="Q24" s="5" t="s">
        <v>209</v>
      </c>
      <c r="R24" s="5" t="s">
        <v>51</v>
      </c>
      <c r="S24" s="5" t="s">
        <v>50</v>
      </c>
      <c r="T24" s="5" t="s">
        <v>166</v>
      </c>
      <c r="U24" s="5" t="s">
        <v>50</v>
      </c>
      <c r="V24" s="5"/>
      <c r="W24" s="5"/>
      <c r="X24" s="5"/>
      <c r="Y24" s="5" t="s">
        <v>52</v>
      </c>
      <c r="Z24" s="7">
        <v>5784.24</v>
      </c>
      <c r="AA24" s="7">
        <v>0</v>
      </c>
      <c r="AB24" s="7">
        <v>0</v>
      </c>
      <c r="AC24" s="6">
        <v>46195</v>
      </c>
      <c r="AD24" s="7">
        <v>5784.24</v>
      </c>
      <c r="AE24" s="4">
        <v>54</v>
      </c>
      <c r="AF24" s="5" t="s">
        <v>403</v>
      </c>
      <c r="AG24" s="5" t="s">
        <v>367</v>
      </c>
      <c r="AH24" s="5"/>
      <c r="AI24" s="5"/>
      <c r="AJ24" s="4"/>
      <c r="AK24" s="5" t="s">
        <v>132</v>
      </c>
      <c r="AL24" s="5" t="s">
        <v>558</v>
      </c>
      <c r="AM24" s="6">
        <v>46190</v>
      </c>
      <c r="AN24" s="5" t="s">
        <v>643</v>
      </c>
      <c r="AO24" s="5" t="s">
        <v>752</v>
      </c>
    </row>
    <row r="25" spans="1:41" x14ac:dyDescent="0.25">
      <c r="A25" s="2"/>
      <c r="B25" s="2"/>
      <c r="C25" s="3">
        <v>46218</v>
      </c>
      <c r="D25" s="4">
        <v>564087324</v>
      </c>
      <c r="E25" s="5" t="s">
        <v>756</v>
      </c>
      <c r="F25" s="6">
        <v>46191</v>
      </c>
      <c r="G25" s="5" t="s">
        <v>208</v>
      </c>
      <c r="H25" s="5" t="s">
        <v>208</v>
      </c>
      <c r="I25" s="5" t="s">
        <v>284</v>
      </c>
      <c r="J25" s="5" t="s">
        <v>687</v>
      </c>
      <c r="K25" s="3"/>
      <c r="L25" s="11">
        <f ca="1">IF($O25="","",$O25-TODAY())</f>
        <v>273</v>
      </c>
      <c r="M25" s="11">
        <f ca="1">IF($C25="","",$C25+365-TODAY())</f>
        <v>300</v>
      </c>
      <c r="N25" s="11">
        <f ca="1">IF($C25="","",$C25+120-TODAY())</f>
        <v>55</v>
      </c>
      <c r="O25" s="6">
        <v>46556</v>
      </c>
      <c r="P25" s="5" t="s">
        <v>51</v>
      </c>
      <c r="Q25" s="5" t="s">
        <v>209</v>
      </c>
      <c r="R25" s="5" t="s">
        <v>51</v>
      </c>
      <c r="S25" s="5" t="s">
        <v>50</v>
      </c>
      <c r="T25" s="5" t="s">
        <v>166</v>
      </c>
      <c r="U25" s="5" t="s">
        <v>50</v>
      </c>
      <c r="V25" s="5" t="s">
        <v>554</v>
      </c>
      <c r="W25" s="5"/>
      <c r="X25" s="5"/>
      <c r="Y25" s="5" t="s">
        <v>52</v>
      </c>
      <c r="Z25" s="7">
        <v>5614.63</v>
      </c>
      <c r="AA25" s="7">
        <v>0</v>
      </c>
      <c r="AB25" s="7">
        <v>0</v>
      </c>
      <c r="AC25" s="6">
        <v>46218</v>
      </c>
      <c r="AD25" s="7">
        <v>5614.63</v>
      </c>
      <c r="AE25" s="4">
        <v>51</v>
      </c>
      <c r="AF25" s="5" t="s">
        <v>348</v>
      </c>
      <c r="AG25" s="5"/>
      <c r="AH25" s="5"/>
      <c r="AI25" s="5"/>
      <c r="AJ25" s="4"/>
      <c r="AK25" s="5" t="s">
        <v>55</v>
      </c>
      <c r="AL25" s="5" t="s">
        <v>558</v>
      </c>
      <c r="AM25" s="6">
        <v>46210</v>
      </c>
      <c r="AN25" s="5" t="s">
        <v>643</v>
      </c>
      <c r="AO25" s="5" t="s">
        <v>757</v>
      </c>
    </row>
    <row r="26" spans="1:41" x14ac:dyDescent="0.25">
      <c r="A26" s="2" t="s">
        <v>945</v>
      </c>
      <c r="B26" s="13" t="s">
        <v>947</v>
      </c>
      <c r="C26" s="3"/>
      <c r="D26" s="4">
        <v>563830748</v>
      </c>
      <c r="E26" s="5" t="s">
        <v>521</v>
      </c>
      <c r="F26" s="6">
        <v>46193</v>
      </c>
      <c r="G26" s="5" t="s">
        <v>304</v>
      </c>
      <c r="H26" s="5" t="s">
        <v>304</v>
      </c>
      <c r="I26" s="5" t="s">
        <v>45</v>
      </c>
      <c r="J26" s="5" t="s">
        <v>760</v>
      </c>
      <c r="K26" s="3"/>
      <c r="L26" s="11" t="str">
        <f ca="1">IF($O26="","",$O26-TODAY())</f>
        <v/>
      </c>
      <c r="M26" s="11"/>
      <c r="N26" s="11"/>
      <c r="O26" s="6"/>
      <c r="P26" s="5"/>
      <c r="Q26" s="5" t="s">
        <v>286</v>
      </c>
      <c r="R26" s="5"/>
      <c r="S26" s="5"/>
      <c r="T26" s="5"/>
      <c r="U26" s="5"/>
      <c r="V26" s="5"/>
      <c r="W26" s="5"/>
      <c r="X26" s="5"/>
      <c r="Y26" s="5" t="s">
        <v>52</v>
      </c>
      <c r="Z26" s="7">
        <v>11094.23</v>
      </c>
      <c r="AA26" s="7">
        <v>0</v>
      </c>
      <c r="AB26" s="7">
        <v>0</v>
      </c>
      <c r="AC26" s="6"/>
      <c r="AD26" s="7">
        <v>11094.23</v>
      </c>
      <c r="AE26" s="4">
        <v>49</v>
      </c>
      <c r="AF26" s="5" t="s">
        <v>761</v>
      </c>
      <c r="AG26" s="5" t="s">
        <v>511</v>
      </c>
      <c r="AH26" s="5" t="s">
        <v>647</v>
      </c>
      <c r="AI26" s="5" t="s">
        <v>762</v>
      </c>
      <c r="AJ26" s="4"/>
      <c r="AK26" s="5" t="s">
        <v>132</v>
      </c>
      <c r="AL26" s="5" t="s">
        <v>558</v>
      </c>
      <c r="AM26" s="6">
        <v>46203</v>
      </c>
      <c r="AN26" s="5" t="s">
        <v>643</v>
      </c>
      <c r="AO26" s="5" t="s">
        <v>763</v>
      </c>
    </row>
    <row r="27" spans="1:41" x14ac:dyDescent="0.25">
      <c r="A27" s="2"/>
      <c r="B27" s="2"/>
      <c r="C27" s="3"/>
      <c r="D27" s="4">
        <v>564560469</v>
      </c>
      <c r="E27" s="5" t="s">
        <v>771</v>
      </c>
      <c r="F27" s="6">
        <v>46202</v>
      </c>
      <c r="G27" s="5" t="s">
        <v>297</v>
      </c>
      <c r="H27" s="5" t="s">
        <v>297</v>
      </c>
      <c r="I27" s="5" t="s">
        <v>165</v>
      </c>
      <c r="J27" s="5" t="s">
        <v>772</v>
      </c>
      <c r="K27" s="3"/>
      <c r="L27" s="11" t="str">
        <f ca="1">IF($O27="","",$O27-TODAY())</f>
        <v/>
      </c>
      <c r="M27" s="11"/>
      <c r="N27" s="11"/>
      <c r="O27" s="6"/>
      <c r="P27" s="5"/>
      <c r="Q27" s="5" t="s">
        <v>286</v>
      </c>
      <c r="R27" s="5"/>
      <c r="S27" s="5"/>
      <c r="T27" s="5"/>
      <c r="U27" s="5"/>
      <c r="V27" s="5"/>
      <c r="W27" s="5"/>
      <c r="X27" s="5"/>
      <c r="Y27" s="5" t="s">
        <v>184</v>
      </c>
      <c r="Z27" s="7">
        <v>15998.71</v>
      </c>
      <c r="AA27" s="7">
        <v>0</v>
      </c>
      <c r="AB27" s="7">
        <v>0</v>
      </c>
      <c r="AC27" s="6"/>
      <c r="AD27" s="7">
        <v>15998.71</v>
      </c>
      <c r="AE27" s="4">
        <v>40</v>
      </c>
      <c r="AF27" s="5" t="s">
        <v>336</v>
      </c>
      <c r="AG27" s="5" t="s">
        <v>367</v>
      </c>
      <c r="AH27" s="5" t="s">
        <v>773</v>
      </c>
      <c r="AI27" s="5"/>
      <c r="AJ27" s="4"/>
      <c r="AK27" s="5" t="s">
        <v>132</v>
      </c>
      <c r="AL27" s="5" t="s">
        <v>558</v>
      </c>
      <c r="AM27" s="6">
        <v>46210</v>
      </c>
      <c r="AN27" s="5" t="s">
        <v>643</v>
      </c>
      <c r="AO27" s="5" t="s">
        <v>774</v>
      </c>
    </row>
  </sheetData>
  <autoFilter ref="A1:AO27" xr:uid="{00000000-0009-0000-0000-000003000000}"/>
  <conditionalFormatting sqref="L2:L27">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7">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7">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O27">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0 A11:A25"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8"/>
  <sheetViews>
    <sheetView tabSelected="1" zoomScale="90" workbookViewId="0">
      <pane xSplit="2" ySplit="1" topLeftCell="C2" activePane="bottomRight" state="frozen"/>
      <selection pane="topRight"/>
      <selection pane="bottomLeft"/>
      <selection pane="bottomRight" activeCell="L24" sqref="L2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42578125" customWidth="1"/>
    <col min="11" max="11" width="14" customWidth="1"/>
    <col min="12" max="12" width="13.28515625" customWidth="1"/>
    <col min="13" max="13" width="18.5703125" customWidth="1"/>
    <col min="14" max="14" width="15.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3.75"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row>
    <row r="2" spans="1:41" x14ac:dyDescent="0.25">
      <c r="A2" s="2" t="s">
        <v>78</v>
      </c>
      <c r="B2" s="2" t="s">
        <v>775</v>
      </c>
      <c r="C2" s="3">
        <v>46203</v>
      </c>
      <c r="D2" s="4">
        <v>570988442</v>
      </c>
      <c r="E2" s="5" t="s">
        <v>776</v>
      </c>
      <c r="F2" s="6">
        <v>46176</v>
      </c>
      <c r="G2" s="5" t="s">
        <v>360</v>
      </c>
      <c r="H2" s="5" t="s">
        <v>360</v>
      </c>
      <c r="I2" s="5" t="s">
        <v>45</v>
      </c>
      <c r="J2" s="5" t="s">
        <v>777</v>
      </c>
      <c r="K2" s="3">
        <v>46271</v>
      </c>
      <c r="L2" s="11">
        <f ca="1">IF($O2="","",$O2-TODAY())</f>
        <v>-17</v>
      </c>
      <c r="M2" s="11">
        <f ca="1">IF($F2="","",$F2+90-TODAY())</f>
        <v>-17</v>
      </c>
      <c r="N2" s="11">
        <f ca="1">IF($C2="","",$C2+180-TODAY())</f>
        <v>100</v>
      </c>
      <c r="O2" s="6">
        <v>46266</v>
      </c>
      <c r="P2" s="5" t="s">
        <v>47</v>
      </c>
      <c r="Q2" s="5" t="s">
        <v>361</v>
      </c>
      <c r="R2" s="5" t="s">
        <v>47</v>
      </c>
      <c r="S2" s="5" t="s">
        <v>189</v>
      </c>
      <c r="T2" s="5" t="s">
        <v>49</v>
      </c>
      <c r="U2" s="5" t="s">
        <v>50</v>
      </c>
      <c r="V2" s="5"/>
      <c r="W2" s="5"/>
      <c r="X2" s="5"/>
      <c r="Y2" s="5" t="s">
        <v>52</v>
      </c>
      <c r="Z2" s="7">
        <v>1294.23</v>
      </c>
      <c r="AA2" s="7">
        <v>0</v>
      </c>
      <c r="AB2" s="7">
        <v>0</v>
      </c>
      <c r="AC2" s="6">
        <v>46203</v>
      </c>
      <c r="AD2" s="7">
        <v>1294.23</v>
      </c>
      <c r="AE2" s="4">
        <v>66</v>
      </c>
      <c r="AF2" s="5" t="s">
        <v>778</v>
      </c>
      <c r="AG2" s="5" t="s">
        <v>779</v>
      </c>
      <c r="AH2" s="5"/>
      <c r="AI2" s="5"/>
      <c r="AJ2" s="4"/>
      <c r="AK2" s="5" t="s">
        <v>68</v>
      </c>
      <c r="AL2" s="5" t="s">
        <v>113</v>
      </c>
      <c r="AM2" s="6">
        <v>46195</v>
      </c>
      <c r="AN2" s="5" t="s">
        <v>780</v>
      </c>
      <c r="AO2" s="5" t="s">
        <v>781</v>
      </c>
    </row>
    <row r="3" spans="1:41" x14ac:dyDescent="0.25">
      <c r="A3" s="2"/>
      <c r="B3" s="2"/>
      <c r="C3" s="3">
        <v>46273</v>
      </c>
      <c r="D3" s="4">
        <v>563010537</v>
      </c>
      <c r="E3" s="5" t="s">
        <v>938</v>
      </c>
      <c r="F3" s="6">
        <v>46176</v>
      </c>
      <c r="G3" s="5" t="s">
        <v>66</v>
      </c>
      <c r="H3" s="5" t="s">
        <v>66</v>
      </c>
      <c r="I3" s="5" t="s">
        <v>45</v>
      </c>
      <c r="J3" s="5" t="s">
        <v>777</v>
      </c>
      <c r="K3" s="3"/>
      <c r="L3" s="11">
        <f ca="1">IF($O3="","",$O3-TODAY())</f>
        <v>-17</v>
      </c>
      <c r="M3" s="11">
        <f ca="1">IF($C3="","",$C3+180-TODAY())</f>
        <v>170</v>
      </c>
      <c r="N3" s="11">
        <f ca="1">IF($C3="","",$C3+365-TODAY())</f>
        <v>355</v>
      </c>
      <c r="O3" s="6">
        <v>46266</v>
      </c>
      <c r="P3" s="5" t="s">
        <v>47</v>
      </c>
      <c r="Q3" s="5" t="s">
        <v>67</v>
      </c>
      <c r="R3" s="5" t="s">
        <v>49</v>
      </c>
      <c r="S3" s="5" t="s">
        <v>50</v>
      </c>
      <c r="T3" s="5" t="s">
        <v>51</v>
      </c>
      <c r="U3" s="5" t="s">
        <v>50</v>
      </c>
      <c r="V3" s="5"/>
      <c r="W3" s="5"/>
      <c r="X3" s="5"/>
      <c r="Y3" s="5" t="s">
        <v>52</v>
      </c>
      <c r="Z3" s="7">
        <v>1294.23</v>
      </c>
      <c r="AA3" s="7">
        <v>1136.6</v>
      </c>
      <c r="AB3" s="7">
        <v>175.13</v>
      </c>
      <c r="AC3" s="6">
        <v>46273</v>
      </c>
      <c r="AD3" s="7">
        <v>-17.5</v>
      </c>
      <c r="AE3" s="4">
        <v>66</v>
      </c>
      <c r="AF3" s="5" t="s">
        <v>826</v>
      </c>
      <c r="AG3" s="5" t="s">
        <v>537</v>
      </c>
      <c r="AH3" s="5" t="s">
        <v>556</v>
      </c>
      <c r="AI3" s="5"/>
      <c r="AJ3" s="4"/>
      <c r="AK3" s="5" t="s">
        <v>68</v>
      </c>
      <c r="AL3" s="5" t="s">
        <v>113</v>
      </c>
      <c r="AM3" s="6">
        <v>46195</v>
      </c>
      <c r="AN3" s="5" t="s">
        <v>780</v>
      </c>
      <c r="AO3" s="5"/>
    </row>
    <row r="4" spans="1:41" x14ac:dyDescent="0.25">
      <c r="A4" s="2" t="s">
        <v>127</v>
      </c>
      <c r="B4" s="13" t="s">
        <v>782</v>
      </c>
      <c r="C4" s="3"/>
      <c r="D4" s="4">
        <v>563023143</v>
      </c>
      <c r="E4" s="5" t="s">
        <v>783</v>
      </c>
      <c r="F4" s="6">
        <v>46177</v>
      </c>
      <c r="G4" s="5" t="s">
        <v>130</v>
      </c>
      <c r="H4" s="5" t="s">
        <v>130</v>
      </c>
      <c r="I4" s="5" t="s">
        <v>45</v>
      </c>
      <c r="J4" s="5" t="s">
        <v>777</v>
      </c>
      <c r="K4" s="3">
        <v>46275</v>
      </c>
      <c r="L4" s="11">
        <f ca="1">IF($O4="","",$O4-TODAY())</f>
        <v>-16</v>
      </c>
      <c r="M4" s="11" t="str">
        <f ca="1">IF($C4="","",$C4+180-TODAY())</f>
        <v/>
      </c>
      <c r="N4" s="11" t="str">
        <f ca="1">IF($C4="","",$C4+365-TODAY())</f>
        <v/>
      </c>
      <c r="O4" s="6">
        <v>46267</v>
      </c>
      <c r="P4" s="5" t="s">
        <v>47</v>
      </c>
      <c r="Q4" s="5" t="s">
        <v>131</v>
      </c>
      <c r="R4" s="5" t="s">
        <v>49</v>
      </c>
      <c r="S4" s="5" t="s">
        <v>50</v>
      </c>
      <c r="T4" s="5" t="s">
        <v>51</v>
      </c>
      <c r="U4" s="5" t="s">
        <v>50</v>
      </c>
      <c r="V4" s="5"/>
      <c r="W4" s="5"/>
      <c r="X4" s="5"/>
      <c r="Y4" s="5" t="s">
        <v>52</v>
      </c>
      <c r="Z4" s="7">
        <v>1294.23</v>
      </c>
      <c r="AA4" s="7">
        <v>0</v>
      </c>
      <c r="AB4" s="7">
        <v>0</v>
      </c>
      <c r="AC4" s="6"/>
      <c r="AD4" s="7">
        <v>1294.23</v>
      </c>
      <c r="AE4" s="4">
        <v>65</v>
      </c>
      <c r="AF4" s="5" t="s">
        <v>784</v>
      </c>
      <c r="AG4" s="5" t="s">
        <v>785</v>
      </c>
      <c r="AH4" s="5"/>
      <c r="AI4" s="5"/>
      <c r="AJ4" s="4"/>
      <c r="AK4" s="5" t="s">
        <v>97</v>
      </c>
      <c r="AL4" s="5" t="s">
        <v>786</v>
      </c>
      <c r="AM4" s="6">
        <v>46195</v>
      </c>
      <c r="AN4" s="5" t="s">
        <v>780</v>
      </c>
      <c r="AO4" s="5" t="s">
        <v>787</v>
      </c>
    </row>
    <row r="5" spans="1:41" x14ac:dyDescent="0.25">
      <c r="A5" s="2" t="s">
        <v>78</v>
      </c>
      <c r="B5" s="2" t="s">
        <v>788</v>
      </c>
      <c r="C5" s="3">
        <v>46247</v>
      </c>
      <c r="D5" s="4">
        <v>563060686</v>
      </c>
      <c r="E5" s="5" t="s">
        <v>789</v>
      </c>
      <c r="F5" s="6">
        <v>46182</v>
      </c>
      <c r="G5" s="5" t="s">
        <v>66</v>
      </c>
      <c r="H5" s="5" t="s">
        <v>66</v>
      </c>
      <c r="I5" s="5" t="s">
        <v>45</v>
      </c>
      <c r="J5" s="5" t="s">
        <v>790</v>
      </c>
      <c r="K5" s="3">
        <v>46271</v>
      </c>
      <c r="L5" s="11">
        <f ca="1">IF($O5="","",$O5-TODAY())</f>
        <v>-11</v>
      </c>
      <c r="M5" s="11">
        <f ca="1">IF($C5="","",$C5+180-TODAY())</f>
        <v>144</v>
      </c>
      <c r="N5" s="11">
        <f ca="1">IF($C5="","",$C5+365-TODAY())</f>
        <v>329</v>
      </c>
      <c r="O5" s="6">
        <v>46272</v>
      </c>
      <c r="P5" s="5" t="s">
        <v>47</v>
      </c>
      <c r="Q5" s="5" t="s">
        <v>67</v>
      </c>
      <c r="R5" s="5" t="s">
        <v>49</v>
      </c>
      <c r="S5" s="5" t="s">
        <v>50</v>
      </c>
      <c r="T5" s="5" t="s">
        <v>51</v>
      </c>
      <c r="U5" s="5" t="s">
        <v>50</v>
      </c>
      <c r="V5" s="5"/>
      <c r="W5" s="5"/>
      <c r="X5" s="5"/>
      <c r="Y5" s="5" t="s">
        <v>52</v>
      </c>
      <c r="Z5" s="7">
        <v>3822.49</v>
      </c>
      <c r="AA5" s="7">
        <v>0</v>
      </c>
      <c r="AB5" s="7">
        <v>0</v>
      </c>
      <c r="AC5" s="6"/>
      <c r="AD5" s="7">
        <v>3822.49</v>
      </c>
      <c r="AE5" s="4">
        <v>60</v>
      </c>
      <c r="AF5" s="5" t="s">
        <v>403</v>
      </c>
      <c r="AG5" s="5" t="s">
        <v>791</v>
      </c>
      <c r="AH5" s="5" t="s">
        <v>155</v>
      </c>
      <c r="AI5" s="5" t="s">
        <v>792</v>
      </c>
      <c r="AJ5" s="4"/>
      <c r="AK5" s="5" t="s">
        <v>85</v>
      </c>
      <c r="AL5" s="5" t="s">
        <v>63</v>
      </c>
      <c r="AM5" s="6">
        <v>46195</v>
      </c>
      <c r="AN5" s="5" t="s">
        <v>780</v>
      </c>
      <c r="AO5" s="5" t="s">
        <v>793</v>
      </c>
    </row>
    <row r="6" spans="1:41" x14ac:dyDescent="0.25">
      <c r="A6" s="2" t="s">
        <v>78</v>
      </c>
      <c r="B6" s="13" t="s">
        <v>794</v>
      </c>
      <c r="C6" s="3">
        <v>46204</v>
      </c>
      <c r="D6" s="4">
        <v>563063291</v>
      </c>
      <c r="E6" s="5" t="s">
        <v>795</v>
      </c>
      <c r="F6" s="6">
        <v>46183</v>
      </c>
      <c r="G6" s="5" t="s">
        <v>136</v>
      </c>
      <c r="H6" s="5" t="s">
        <v>136</v>
      </c>
      <c r="I6" s="5" t="s">
        <v>45</v>
      </c>
      <c r="J6" s="5" t="s">
        <v>796</v>
      </c>
      <c r="K6" s="3">
        <v>46276</v>
      </c>
      <c r="L6" s="11">
        <f ca="1">IF($O6="","",$O6-TODAY())</f>
        <v>-10</v>
      </c>
      <c r="M6" s="11">
        <f ca="1">IF($F6="","",$F6+90-TODAY())</f>
        <v>-10</v>
      </c>
      <c r="N6" s="11">
        <f ca="1">IF($C6="","",$C6+365-TODAY())</f>
        <v>286</v>
      </c>
      <c r="O6" s="6">
        <v>46273</v>
      </c>
      <c r="P6" s="5" t="s">
        <v>47</v>
      </c>
      <c r="Q6" s="5" t="s">
        <v>137</v>
      </c>
      <c r="R6" s="5" t="s">
        <v>47</v>
      </c>
      <c r="S6" s="5" t="s">
        <v>189</v>
      </c>
      <c r="T6" s="5" t="s">
        <v>51</v>
      </c>
      <c r="U6" s="5" t="s">
        <v>50</v>
      </c>
      <c r="V6" s="5"/>
      <c r="W6" s="5"/>
      <c r="X6" s="5"/>
      <c r="Y6" s="5" t="s">
        <v>52</v>
      </c>
      <c r="Z6" s="7">
        <v>2528.2600000000002</v>
      </c>
      <c r="AA6" s="7">
        <v>0</v>
      </c>
      <c r="AB6" s="7">
        <v>0</v>
      </c>
      <c r="AC6" s="6">
        <v>46204</v>
      </c>
      <c r="AD6" s="7">
        <v>2528.2600000000002</v>
      </c>
      <c r="AE6" s="4">
        <v>59</v>
      </c>
      <c r="AF6" s="5" t="s">
        <v>797</v>
      </c>
      <c r="AG6" s="5"/>
      <c r="AH6" s="5"/>
      <c r="AI6" s="5"/>
      <c r="AJ6" s="4"/>
      <c r="AK6" s="5" t="s">
        <v>68</v>
      </c>
      <c r="AL6" s="5" t="s">
        <v>113</v>
      </c>
      <c r="AM6" s="6">
        <v>46195</v>
      </c>
      <c r="AN6" s="5" t="s">
        <v>780</v>
      </c>
      <c r="AO6" s="5" t="s">
        <v>798</v>
      </c>
    </row>
    <row r="7" spans="1:41" x14ac:dyDescent="0.25">
      <c r="A7" s="2" t="s">
        <v>41</v>
      </c>
      <c r="B7" s="13" t="s">
        <v>913</v>
      </c>
      <c r="C7" s="3">
        <v>46202</v>
      </c>
      <c r="D7" s="4">
        <v>570990107</v>
      </c>
      <c r="E7" s="5" t="s">
        <v>799</v>
      </c>
      <c r="F7" s="6">
        <v>46190</v>
      </c>
      <c r="G7" s="5" t="s">
        <v>360</v>
      </c>
      <c r="H7" s="5" t="s">
        <v>360</v>
      </c>
      <c r="I7" s="5" t="s">
        <v>45</v>
      </c>
      <c r="J7" s="5" t="s">
        <v>800</v>
      </c>
      <c r="K7" s="3">
        <v>46282</v>
      </c>
      <c r="L7" s="11">
        <f ca="1">IF($O7="","",$O7-TODAY())</f>
        <v>-3</v>
      </c>
      <c r="M7" s="11">
        <f ca="1">IF($F7="","",$F7+90-TODAY())</f>
        <v>-3</v>
      </c>
      <c r="N7" s="11">
        <f ca="1">IF($C7="","",$C7+180-TODAY())</f>
        <v>99</v>
      </c>
      <c r="O7" s="6">
        <v>46280</v>
      </c>
      <c r="P7" s="5" t="s">
        <v>47</v>
      </c>
      <c r="Q7" s="5" t="s">
        <v>361</v>
      </c>
      <c r="R7" s="5" t="s">
        <v>47</v>
      </c>
      <c r="S7" s="5" t="s">
        <v>189</v>
      </c>
      <c r="T7" s="5" t="s">
        <v>49</v>
      </c>
      <c r="U7" s="5" t="s">
        <v>50</v>
      </c>
      <c r="V7" s="5"/>
      <c r="W7" s="5"/>
      <c r="X7" s="5"/>
      <c r="Y7" s="5" t="s">
        <v>52</v>
      </c>
      <c r="Z7" s="7">
        <v>879.06</v>
      </c>
      <c r="AA7" s="7">
        <v>0</v>
      </c>
      <c r="AB7" s="7">
        <v>0</v>
      </c>
      <c r="AC7" s="6">
        <v>46202</v>
      </c>
      <c r="AD7" s="7">
        <v>879.06</v>
      </c>
      <c r="AE7" s="4">
        <v>52</v>
      </c>
      <c r="AF7" s="5" t="s">
        <v>801</v>
      </c>
      <c r="AG7" s="5" t="s">
        <v>778</v>
      </c>
      <c r="AH7" s="5"/>
      <c r="AI7" s="5"/>
      <c r="AJ7" s="4"/>
      <c r="AK7" s="5" t="s">
        <v>68</v>
      </c>
      <c r="AL7" s="5" t="s">
        <v>113</v>
      </c>
      <c r="AM7" s="6">
        <v>46195</v>
      </c>
      <c r="AN7" s="5" t="s">
        <v>780</v>
      </c>
      <c r="AO7" s="5" t="s">
        <v>802</v>
      </c>
    </row>
    <row r="8" spans="1:41" x14ac:dyDescent="0.25">
      <c r="A8" s="2" t="s">
        <v>127</v>
      </c>
      <c r="B8" s="2" t="s">
        <v>803</v>
      </c>
      <c r="C8" s="3"/>
      <c r="D8" s="4">
        <v>564069244</v>
      </c>
      <c r="E8" s="5" t="s">
        <v>804</v>
      </c>
      <c r="F8" s="6">
        <v>46198</v>
      </c>
      <c r="G8" s="5" t="s">
        <v>130</v>
      </c>
      <c r="H8" s="5" t="s">
        <v>130</v>
      </c>
      <c r="I8" s="5" t="s">
        <v>45</v>
      </c>
      <c r="J8" s="5" t="s">
        <v>790</v>
      </c>
      <c r="K8" s="3">
        <v>46273</v>
      </c>
      <c r="L8" s="11">
        <f ca="1">IF($O8="","",$O8-TODAY())</f>
        <v>5</v>
      </c>
      <c r="M8" s="11" t="str">
        <f ca="1">IF($C8="","",$C8+180-TODAY())</f>
        <v/>
      </c>
      <c r="N8" s="11" t="str">
        <f ca="1">IF($C8="","",$C8+365-TODAY())</f>
        <v/>
      </c>
      <c r="O8" s="6">
        <v>46288</v>
      </c>
      <c r="P8" s="5" t="s">
        <v>47</v>
      </c>
      <c r="Q8" s="5" t="s">
        <v>131</v>
      </c>
      <c r="R8" s="5" t="s">
        <v>49</v>
      </c>
      <c r="S8" s="5" t="s">
        <v>50</v>
      </c>
      <c r="T8" s="5" t="s">
        <v>51</v>
      </c>
      <c r="U8" s="5" t="s">
        <v>50</v>
      </c>
      <c r="V8" s="5"/>
      <c r="W8" s="5"/>
      <c r="X8" s="5"/>
      <c r="Y8" s="5" t="s">
        <v>52</v>
      </c>
      <c r="Z8" s="7">
        <v>3822.49</v>
      </c>
      <c r="AA8" s="7">
        <v>0</v>
      </c>
      <c r="AB8" s="7">
        <v>0</v>
      </c>
      <c r="AC8" s="6"/>
      <c r="AD8" s="7">
        <v>3822.49</v>
      </c>
      <c r="AE8" s="4">
        <v>44</v>
      </c>
      <c r="AF8" s="5" t="s">
        <v>805</v>
      </c>
      <c r="AG8" s="5"/>
      <c r="AH8" s="5"/>
      <c r="AI8" s="5"/>
      <c r="AJ8" s="4"/>
      <c r="AK8" s="5" t="s">
        <v>97</v>
      </c>
      <c r="AL8" s="5" t="s">
        <v>786</v>
      </c>
      <c r="AM8" s="6">
        <v>46204</v>
      </c>
      <c r="AN8" s="5" t="s">
        <v>780</v>
      </c>
      <c r="AO8" s="5" t="s">
        <v>806</v>
      </c>
    </row>
    <row r="9" spans="1:41" x14ac:dyDescent="0.25">
      <c r="A9" s="2"/>
      <c r="B9" s="2"/>
      <c r="C9" s="3"/>
      <c r="D9" s="4">
        <v>564070165</v>
      </c>
      <c r="E9" s="5" t="s">
        <v>807</v>
      </c>
      <c r="F9" s="6">
        <v>46203</v>
      </c>
      <c r="G9" s="5" t="s">
        <v>44</v>
      </c>
      <c r="H9" s="5" t="s">
        <v>44</v>
      </c>
      <c r="I9" s="5" t="s">
        <v>215</v>
      </c>
      <c r="J9" s="5" t="s">
        <v>808</v>
      </c>
      <c r="K9" s="3"/>
      <c r="L9" s="11">
        <f ca="1">IF($O9="","",$O9-TODAY())</f>
        <v>10</v>
      </c>
      <c r="M9" s="11" t="str">
        <f ca="1">IF($C9="","",$C9+180-TODAY())</f>
        <v/>
      </c>
      <c r="N9" s="11" t="str">
        <f ca="1">IF($C9="","",$C9+365-TODAY())</f>
        <v/>
      </c>
      <c r="O9" s="6">
        <v>46293</v>
      </c>
      <c r="P9" s="5" t="s">
        <v>47</v>
      </c>
      <c r="Q9" s="5" t="s">
        <v>48</v>
      </c>
      <c r="R9" s="5" t="s">
        <v>49</v>
      </c>
      <c r="S9" s="5" t="s">
        <v>50</v>
      </c>
      <c r="T9" s="5" t="s">
        <v>51</v>
      </c>
      <c r="U9" s="5" t="s">
        <v>50</v>
      </c>
      <c r="V9" s="5"/>
      <c r="W9" s="5"/>
      <c r="X9" s="5"/>
      <c r="Y9" s="5" t="s">
        <v>52</v>
      </c>
      <c r="Z9" s="7">
        <v>3822.49</v>
      </c>
      <c r="AA9" s="7">
        <v>0</v>
      </c>
      <c r="AB9" s="7">
        <v>0</v>
      </c>
      <c r="AC9" s="6"/>
      <c r="AD9" s="7">
        <v>3822.49</v>
      </c>
      <c r="AE9" s="4">
        <v>39</v>
      </c>
      <c r="AF9" s="5" t="s">
        <v>785</v>
      </c>
      <c r="AG9" s="5" t="s">
        <v>809</v>
      </c>
      <c r="AH9" s="5" t="s">
        <v>778</v>
      </c>
      <c r="AI9" s="5"/>
      <c r="AJ9" s="4"/>
      <c r="AK9" s="5" t="s">
        <v>85</v>
      </c>
      <c r="AL9" s="5" t="s">
        <v>63</v>
      </c>
      <c r="AM9" s="6">
        <v>46204</v>
      </c>
      <c r="AN9" s="5" t="s">
        <v>780</v>
      </c>
      <c r="AO9" s="5" t="s">
        <v>810</v>
      </c>
    </row>
    <row r="10" spans="1:41" x14ac:dyDescent="0.25">
      <c r="A10" s="2"/>
      <c r="B10" s="2"/>
      <c r="C10" s="3">
        <v>46227</v>
      </c>
      <c r="D10" s="4">
        <v>563071059</v>
      </c>
      <c r="E10" s="5" t="s">
        <v>811</v>
      </c>
      <c r="F10" s="6">
        <v>46190</v>
      </c>
      <c r="G10" s="5" t="s">
        <v>812</v>
      </c>
      <c r="H10" s="5" t="s">
        <v>812</v>
      </c>
      <c r="I10" s="5" t="s">
        <v>45</v>
      </c>
      <c r="J10" s="5" t="s">
        <v>800</v>
      </c>
      <c r="K10" s="3"/>
      <c r="L10" s="11">
        <f ca="1">IF($O10="","",$O10-TODAY())</f>
        <v>27</v>
      </c>
      <c r="M10" s="11">
        <f ca="1">IF($C10="","",$C10+180-TODAY())</f>
        <v>124</v>
      </c>
      <c r="N10" s="11">
        <f ca="1">IF($C10="","",$C10+180-TODAY())</f>
        <v>124</v>
      </c>
      <c r="O10" s="6">
        <v>46310</v>
      </c>
      <c r="P10" s="5" t="s">
        <v>166</v>
      </c>
      <c r="Q10" s="5" t="s">
        <v>183</v>
      </c>
      <c r="R10" s="5" t="s">
        <v>49</v>
      </c>
      <c r="S10" s="5" t="s">
        <v>50</v>
      </c>
      <c r="T10" s="5" t="s">
        <v>49</v>
      </c>
      <c r="U10" s="5" t="s">
        <v>50</v>
      </c>
      <c r="V10" s="5"/>
      <c r="W10" s="5"/>
      <c r="X10" s="5"/>
      <c r="Y10" s="5" t="s">
        <v>52</v>
      </c>
      <c r="Z10" s="7">
        <v>879.06</v>
      </c>
      <c r="AA10" s="7">
        <v>0</v>
      </c>
      <c r="AB10" s="7">
        <v>0</v>
      </c>
      <c r="AC10" s="6">
        <v>46227</v>
      </c>
      <c r="AD10" s="7">
        <v>879.06</v>
      </c>
      <c r="AE10" s="4">
        <v>52</v>
      </c>
      <c r="AF10" s="5" t="s">
        <v>797</v>
      </c>
      <c r="AG10" s="5"/>
      <c r="AH10" s="5"/>
      <c r="AI10" s="5"/>
      <c r="AJ10" s="4"/>
      <c r="AK10" s="5" t="s">
        <v>68</v>
      </c>
      <c r="AL10" s="5" t="s">
        <v>113</v>
      </c>
      <c r="AM10" s="6">
        <v>46195</v>
      </c>
      <c r="AN10" s="5" t="s">
        <v>780</v>
      </c>
      <c r="AO10" s="5" t="s">
        <v>813</v>
      </c>
    </row>
    <row r="11" spans="1:41" x14ac:dyDescent="0.25">
      <c r="A11" s="2"/>
      <c r="B11" s="2"/>
      <c r="C11" s="3"/>
      <c r="D11" s="4">
        <v>564059272</v>
      </c>
      <c r="E11" s="5" t="s">
        <v>814</v>
      </c>
      <c r="F11" s="6">
        <v>46191</v>
      </c>
      <c r="G11" s="5" t="s">
        <v>170</v>
      </c>
      <c r="H11" s="5" t="s">
        <v>170</v>
      </c>
      <c r="I11" s="5" t="s">
        <v>45</v>
      </c>
      <c r="J11" s="5" t="s">
        <v>815</v>
      </c>
      <c r="K11" s="3"/>
      <c r="L11" s="11">
        <f ca="1">IF($O11="","",$O11-TODAY())</f>
        <v>28</v>
      </c>
      <c r="M11" s="11" t="str">
        <f ca="1">IF($C11="","",$C11+365-TODAY())</f>
        <v/>
      </c>
      <c r="N11" s="11" t="str">
        <f ca="1">IF($C11="","",$C11+90-TODAY())</f>
        <v/>
      </c>
      <c r="O11" s="6">
        <v>46311</v>
      </c>
      <c r="P11" s="5" t="s">
        <v>166</v>
      </c>
      <c r="Q11" s="5" t="s">
        <v>171</v>
      </c>
      <c r="R11" s="5" t="s">
        <v>51</v>
      </c>
      <c r="S11" s="5" t="s">
        <v>50</v>
      </c>
      <c r="T11" s="5" t="s">
        <v>47</v>
      </c>
      <c r="U11" s="5" t="s">
        <v>50</v>
      </c>
      <c r="V11" s="5"/>
      <c r="W11" s="5"/>
      <c r="X11" s="5"/>
      <c r="Y11" s="5" t="s">
        <v>52</v>
      </c>
      <c r="Z11" s="7">
        <v>3822.49</v>
      </c>
      <c r="AA11" s="7">
        <v>0</v>
      </c>
      <c r="AB11" s="7">
        <v>0</v>
      </c>
      <c r="AC11" s="6"/>
      <c r="AD11" s="7">
        <v>3822.49</v>
      </c>
      <c r="AE11" s="4">
        <v>51</v>
      </c>
      <c r="AF11" s="5" t="s">
        <v>816</v>
      </c>
      <c r="AG11" s="5"/>
      <c r="AH11" s="5"/>
      <c r="AI11" s="5"/>
      <c r="AJ11" s="4"/>
      <c r="AK11" s="5" t="s">
        <v>97</v>
      </c>
      <c r="AL11" s="5" t="s">
        <v>786</v>
      </c>
      <c r="AM11" s="6">
        <v>46204</v>
      </c>
      <c r="AN11" s="5" t="s">
        <v>780</v>
      </c>
      <c r="AO11" s="5" t="s">
        <v>817</v>
      </c>
    </row>
    <row r="12" spans="1:41" x14ac:dyDescent="0.25">
      <c r="A12" s="2"/>
      <c r="B12" s="2"/>
      <c r="C12" s="3">
        <v>46202</v>
      </c>
      <c r="D12" s="4">
        <v>563006512</v>
      </c>
      <c r="E12" s="5" t="s">
        <v>824</v>
      </c>
      <c r="F12" s="6">
        <v>46175</v>
      </c>
      <c r="G12" s="5" t="s">
        <v>208</v>
      </c>
      <c r="H12" s="5" t="s">
        <v>208</v>
      </c>
      <c r="I12" s="5" t="s">
        <v>230</v>
      </c>
      <c r="J12" s="5" t="s">
        <v>825</v>
      </c>
      <c r="K12" s="3"/>
      <c r="L12" s="11">
        <f ca="1">IF($O12="","",$O12-TODAY())</f>
        <v>257</v>
      </c>
      <c r="M12" s="11">
        <f ca="1">IF($C12="","",$C12+365-TODAY())</f>
        <v>284</v>
      </c>
      <c r="N12" s="11">
        <f ca="1">IF($C12="","",$C12+120-TODAY())</f>
        <v>39</v>
      </c>
      <c r="O12" s="6">
        <v>46540</v>
      </c>
      <c r="P12" s="5" t="s">
        <v>51</v>
      </c>
      <c r="Q12" s="5" t="s">
        <v>209</v>
      </c>
      <c r="R12" s="5" t="s">
        <v>51</v>
      </c>
      <c r="S12" s="5" t="s">
        <v>50</v>
      </c>
      <c r="T12" s="5" t="s">
        <v>166</v>
      </c>
      <c r="U12" s="5" t="s">
        <v>50</v>
      </c>
      <c r="V12" s="5"/>
      <c r="W12" s="5"/>
      <c r="X12" s="5"/>
      <c r="Y12" s="5" t="s">
        <v>52</v>
      </c>
      <c r="Z12" s="7">
        <v>3822.49</v>
      </c>
      <c r="AA12" s="7">
        <v>0</v>
      </c>
      <c r="AB12" s="7">
        <v>0</v>
      </c>
      <c r="AC12" s="6">
        <v>46202</v>
      </c>
      <c r="AD12" s="7">
        <v>3822.49</v>
      </c>
      <c r="AE12" s="4">
        <v>67</v>
      </c>
      <c r="AF12" s="5" t="s">
        <v>826</v>
      </c>
      <c r="AG12" s="5" t="s">
        <v>827</v>
      </c>
      <c r="AH12" s="5"/>
      <c r="AI12" s="5"/>
      <c r="AJ12" s="4"/>
      <c r="AK12" s="5" t="s">
        <v>85</v>
      </c>
      <c r="AL12" s="5" t="s">
        <v>63</v>
      </c>
      <c r="AM12" s="6">
        <v>46195</v>
      </c>
      <c r="AN12" s="5" t="s">
        <v>780</v>
      </c>
      <c r="AO12" s="5" t="s">
        <v>828</v>
      </c>
    </row>
    <row r="13" spans="1:41" x14ac:dyDescent="0.25">
      <c r="A13" s="2"/>
      <c r="B13" s="2"/>
      <c r="C13" s="3">
        <v>46202</v>
      </c>
      <c r="D13" s="4">
        <v>563068412</v>
      </c>
      <c r="E13" s="5" t="s">
        <v>837</v>
      </c>
      <c r="F13" s="6">
        <v>46189</v>
      </c>
      <c r="G13" s="5" t="s">
        <v>208</v>
      </c>
      <c r="H13" s="5" t="s">
        <v>208</v>
      </c>
      <c r="I13" s="5" t="s">
        <v>45</v>
      </c>
      <c r="J13" s="5" t="s">
        <v>838</v>
      </c>
      <c r="K13" s="3"/>
      <c r="L13" s="11">
        <f ca="1">IF($O13="","",$O13-TODAY())</f>
        <v>271</v>
      </c>
      <c r="M13" s="11">
        <f ca="1">IF($C13="","",$C13+365-TODAY())</f>
        <v>284</v>
      </c>
      <c r="N13" s="11">
        <f ca="1">IF($C13="","",$C13+120-TODAY())</f>
        <v>39</v>
      </c>
      <c r="O13" s="6">
        <v>46554</v>
      </c>
      <c r="P13" s="5" t="s">
        <v>51</v>
      </c>
      <c r="Q13" s="5" t="s">
        <v>209</v>
      </c>
      <c r="R13" s="5" t="s">
        <v>51</v>
      </c>
      <c r="S13" s="5" t="s">
        <v>50</v>
      </c>
      <c r="T13" s="5" t="s">
        <v>166</v>
      </c>
      <c r="U13" s="5" t="s">
        <v>50</v>
      </c>
      <c r="V13" s="5"/>
      <c r="W13" s="5"/>
      <c r="X13" s="5"/>
      <c r="Y13" s="5" t="s">
        <v>52</v>
      </c>
      <c r="Z13" s="7">
        <v>3822.49</v>
      </c>
      <c r="AA13" s="7">
        <v>0</v>
      </c>
      <c r="AB13" s="7">
        <v>0</v>
      </c>
      <c r="AC13" s="6">
        <v>46202</v>
      </c>
      <c r="AD13" s="7">
        <v>3822.49</v>
      </c>
      <c r="AE13" s="4">
        <v>53</v>
      </c>
      <c r="AF13" s="5" t="s">
        <v>681</v>
      </c>
      <c r="AG13" s="5" t="s">
        <v>839</v>
      </c>
      <c r="AH13" s="5"/>
      <c r="AI13" s="5"/>
      <c r="AJ13" s="4"/>
      <c r="AK13" s="5" t="s">
        <v>85</v>
      </c>
      <c r="AL13" s="5" t="s">
        <v>63</v>
      </c>
      <c r="AM13" s="6">
        <v>46195</v>
      </c>
      <c r="AN13" s="5" t="s">
        <v>780</v>
      </c>
      <c r="AO13" s="5" t="s">
        <v>840</v>
      </c>
    </row>
    <row r="14" spans="1:41" x14ac:dyDescent="0.25">
      <c r="A14" s="2"/>
      <c r="B14" s="2"/>
      <c r="C14" s="3">
        <v>46212</v>
      </c>
      <c r="D14" s="4">
        <v>564058406</v>
      </c>
      <c r="E14" s="5" t="s">
        <v>841</v>
      </c>
      <c r="F14" s="6">
        <v>46191</v>
      </c>
      <c r="G14" s="5" t="s">
        <v>208</v>
      </c>
      <c r="H14" s="5" t="s">
        <v>208</v>
      </c>
      <c r="I14" s="5" t="s">
        <v>230</v>
      </c>
      <c r="J14" s="5" t="s">
        <v>777</v>
      </c>
      <c r="K14" s="3"/>
      <c r="L14" s="11">
        <f ca="1">IF($O14="","",$O14-TODAY())</f>
        <v>273</v>
      </c>
      <c r="M14" s="11">
        <f ca="1">IF($C14="","",$C14+365-TODAY())</f>
        <v>294</v>
      </c>
      <c r="N14" s="11">
        <f ca="1">IF($C14="","",$C14+120-TODAY())</f>
        <v>49</v>
      </c>
      <c r="O14" s="6">
        <v>46556</v>
      </c>
      <c r="P14" s="5" t="s">
        <v>51</v>
      </c>
      <c r="Q14" s="5" t="s">
        <v>209</v>
      </c>
      <c r="R14" s="5" t="s">
        <v>51</v>
      </c>
      <c r="S14" s="5" t="s">
        <v>50</v>
      </c>
      <c r="T14" s="5" t="s">
        <v>166</v>
      </c>
      <c r="U14" s="5" t="s">
        <v>50</v>
      </c>
      <c r="V14" s="5"/>
      <c r="W14" s="5"/>
      <c r="X14" s="5"/>
      <c r="Y14" s="5" t="s">
        <v>52</v>
      </c>
      <c r="Z14" s="7">
        <v>1294.23</v>
      </c>
      <c r="AA14" s="7">
        <v>0</v>
      </c>
      <c r="AB14" s="7">
        <v>0</v>
      </c>
      <c r="AC14" s="6">
        <v>46212</v>
      </c>
      <c r="AD14" s="7">
        <v>1294.23</v>
      </c>
      <c r="AE14" s="4">
        <v>51</v>
      </c>
      <c r="AF14" s="5" t="s">
        <v>842</v>
      </c>
      <c r="AG14" s="5" t="s">
        <v>801</v>
      </c>
      <c r="AH14" s="5" t="s">
        <v>537</v>
      </c>
      <c r="AI14" s="5"/>
      <c r="AJ14" s="4"/>
      <c r="AK14" s="5" t="s">
        <v>97</v>
      </c>
      <c r="AL14" s="5" t="s">
        <v>786</v>
      </c>
      <c r="AM14" s="6">
        <v>46204</v>
      </c>
      <c r="AN14" s="5" t="s">
        <v>780</v>
      </c>
      <c r="AO14" s="5" t="s">
        <v>843</v>
      </c>
    </row>
    <row r="15" spans="1:41" x14ac:dyDescent="0.25">
      <c r="A15" s="2" t="s">
        <v>41</v>
      </c>
      <c r="B15" s="13" t="s">
        <v>914</v>
      </c>
      <c r="C15" s="3">
        <v>46198</v>
      </c>
      <c r="D15" s="4">
        <v>568262814</v>
      </c>
      <c r="E15" s="5" t="s">
        <v>849</v>
      </c>
      <c r="F15" s="6">
        <v>46184</v>
      </c>
      <c r="G15" s="5" t="s">
        <v>331</v>
      </c>
      <c r="H15" s="5" t="s">
        <v>331</v>
      </c>
      <c r="I15" s="5" t="s">
        <v>45</v>
      </c>
      <c r="J15" s="5" t="s">
        <v>808</v>
      </c>
      <c r="K15" s="3">
        <v>46261</v>
      </c>
      <c r="L15" s="11">
        <f ca="1">IF($O15="","",$O15-TODAY())</f>
        <v>-39</v>
      </c>
      <c r="M15" s="11">
        <f ca="1">IF($C15="","",$C15+365-TODAY())</f>
        <v>280</v>
      </c>
      <c r="N15" s="11">
        <f ca="1">IF($C15="","",$C15+90-TODAY())</f>
        <v>5</v>
      </c>
      <c r="O15" s="6">
        <v>46244</v>
      </c>
      <c r="P15" s="5" t="s">
        <v>205</v>
      </c>
      <c r="Q15" s="5" t="s">
        <v>333</v>
      </c>
      <c r="R15" s="5" t="s">
        <v>51</v>
      </c>
      <c r="S15" s="5" t="s">
        <v>50</v>
      </c>
      <c r="T15" s="5" t="s">
        <v>47</v>
      </c>
      <c r="U15" s="5" t="s">
        <v>50</v>
      </c>
      <c r="V15" s="5"/>
      <c r="W15" s="5"/>
      <c r="X15" s="5"/>
      <c r="Y15" s="5" t="s">
        <v>52</v>
      </c>
      <c r="Z15" s="7">
        <v>3822.49</v>
      </c>
      <c r="AA15" s="7">
        <v>0</v>
      </c>
      <c r="AB15" s="7">
        <v>0</v>
      </c>
      <c r="AC15" s="6">
        <v>46202</v>
      </c>
      <c r="AD15" s="7">
        <v>3822.49</v>
      </c>
      <c r="AE15" s="4">
        <v>58</v>
      </c>
      <c r="AF15" s="5" t="s">
        <v>850</v>
      </c>
      <c r="AG15" s="5" t="s">
        <v>424</v>
      </c>
      <c r="AH15" s="5" t="s">
        <v>851</v>
      </c>
      <c r="AI15" s="5" t="s">
        <v>852</v>
      </c>
      <c r="AJ15" s="4"/>
      <c r="AK15" s="5" t="s">
        <v>97</v>
      </c>
      <c r="AL15" s="5" t="s">
        <v>786</v>
      </c>
      <c r="AM15" s="6">
        <v>46195</v>
      </c>
      <c r="AN15" s="5" t="s">
        <v>780</v>
      </c>
      <c r="AO15" s="5" t="s">
        <v>853</v>
      </c>
    </row>
    <row r="16" spans="1:41" x14ac:dyDescent="0.25">
      <c r="A16" s="2"/>
      <c r="B16" s="2"/>
      <c r="C16" s="3">
        <v>46220</v>
      </c>
      <c r="D16" s="4">
        <v>563009396</v>
      </c>
      <c r="E16" s="5" t="s">
        <v>854</v>
      </c>
      <c r="F16" s="6">
        <v>46176</v>
      </c>
      <c r="G16" s="5" t="s">
        <v>314</v>
      </c>
      <c r="H16" s="5" t="s">
        <v>314</v>
      </c>
      <c r="I16" s="5" t="s">
        <v>45</v>
      </c>
      <c r="J16" s="5" t="s">
        <v>855</v>
      </c>
      <c r="K16" s="3"/>
      <c r="L16" s="11" t="str">
        <f ca="1">IF($O16="","",$O16-TODAY())</f>
        <v/>
      </c>
      <c r="M16" s="11"/>
      <c r="N16" s="11">
        <f ca="1">IF($C16="","",$C16+180-TODAY())</f>
        <v>117</v>
      </c>
      <c r="O16" s="6"/>
      <c r="P16" s="5"/>
      <c r="Q16" s="5" t="s">
        <v>315</v>
      </c>
      <c r="R16" s="5"/>
      <c r="S16" s="5"/>
      <c r="T16" s="5" t="s">
        <v>49</v>
      </c>
      <c r="U16" s="5" t="s">
        <v>50</v>
      </c>
      <c r="V16" s="5"/>
      <c r="W16" s="5"/>
      <c r="X16" s="5"/>
      <c r="Y16" s="5" t="s">
        <v>52</v>
      </c>
      <c r="Z16" s="7">
        <v>1649.2</v>
      </c>
      <c r="AA16" s="7">
        <v>0</v>
      </c>
      <c r="AB16" s="7">
        <v>0</v>
      </c>
      <c r="AC16" s="6">
        <v>46220</v>
      </c>
      <c r="AD16" s="7">
        <v>1649.2</v>
      </c>
      <c r="AE16" s="4">
        <v>66</v>
      </c>
      <c r="AF16" s="5" t="s">
        <v>826</v>
      </c>
      <c r="AG16" s="5" t="s">
        <v>785</v>
      </c>
      <c r="AH16" s="5" t="s">
        <v>831</v>
      </c>
      <c r="AI16" s="5"/>
      <c r="AJ16" s="4"/>
      <c r="AK16" s="5" t="s">
        <v>68</v>
      </c>
      <c r="AL16" s="5" t="s">
        <v>113</v>
      </c>
      <c r="AM16" s="6">
        <v>46195</v>
      </c>
      <c r="AN16" s="5" t="s">
        <v>780</v>
      </c>
      <c r="AO16" s="5" t="s">
        <v>856</v>
      </c>
    </row>
    <row r="17" spans="1:41" x14ac:dyDescent="0.25">
      <c r="A17" s="2" t="s">
        <v>127</v>
      </c>
      <c r="B17" s="13" t="s">
        <v>857</v>
      </c>
      <c r="C17" s="3"/>
      <c r="D17" s="4">
        <v>571160597</v>
      </c>
      <c r="E17" s="5" t="s">
        <v>858</v>
      </c>
      <c r="F17" s="6">
        <v>46182</v>
      </c>
      <c r="G17" s="5" t="s">
        <v>81</v>
      </c>
      <c r="H17" s="5" t="s">
        <v>81</v>
      </c>
      <c r="I17" s="5" t="s">
        <v>45</v>
      </c>
      <c r="J17" s="5" t="s">
        <v>859</v>
      </c>
      <c r="K17" s="3">
        <v>46273</v>
      </c>
      <c r="L17" s="11">
        <f ca="1">IF($O17="","",$O17-TODAY())</f>
        <v>-11</v>
      </c>
      <c r="M17" s="11" t="str">
        <f ca="1">IF($C17="","",$C17+365-TODAY())</f>
        <v/>
      </c>
      <c r="N17" s="11" t="str">
        <f ca="1">IF($C17="","",$C17+365-TODAY())</f>
        <v/>
      </c>
      <c r="O17" s="6">
        <v>46272</v>
      </c>
      <c r="P17" s="5" t="s">
        <v>47</v>
      </c>
      <c r="Q17" s="5" t="s">
        <v>83</v>
      </c>
      <c r="R17" s="5" t="s">
        <v>51</v>
      </c>
      <c r="S17" s="5" t="s">
        <v>50</v>
      </c>
      <c r="T17" s="5" t="s">
        <v>51</v>
      </c>
      <c r="U17" s="5" t="s">
        <v>50</v>
      </c>
      <c r="V17" s="5"/>
      <c r="W17" s="5"/>
      <c r="X17" s="5"/>
      <c r="Y17" s="5" t="s">
        <v>52</v>
      </c>
      <c r="Z17" s="7">
        <v>2173.29</v>
      </c>
      <c r="AA17" s="7">
        <v>0</v>
      </c>
      <c r="AB17" s="7">
        <v>0</v>
      </c>
      <c r="AC17" s="6">
        <v>46223</v>
      </c>
      <c r="AD17" s="7">
        <v>2173.29</v>
      </c>
      <c r="AE17" s="4">
        <v>60</v>
      </c>
      <c r="AF17" s="5" t="s">
        <v>801</v>
      </c>
      <c r="AG17" s="5"/>
      <c r="AH17" s="5"/>
      <c r="AI17" s="5"/>
      <c r="AJ17" s="4"/>
      <c r="AK17" s="5" t="s">
        <v>85</v>
      </c>
      <c r="AL17" s="5" t="s">
        <v>63</v>
      </c>
      <c r="AM17" s="6">
        <v>46195</v>
      </c>
      <c r="AN17" s="5" t="s">
        <v>780</v>
      </c>
      <c r="AO17" s="5" t="s">
        <v>860</v>
      </c>
    </row>
    <row r="18" spans="1:41" x14ac:dyDescent="0.25">
      <c r="A18" s="2"/>
      <c r="B18" s="2"/>
      <c r="C18" s="3">
        <v>46220</v>
      </c>
      <c r="D18" s="4">
        <v>563069183</v>
      </c>
      <c r="E18" s="5" t="s">
        <v>854</v>
      </c>
      <c r="F18" s="6">
        <v>46190</v>
      </c>
      <c r="G18" s="5" t="s">
        <v>314</v>
      </c>
      <c r="H18" s="5" t="s">
        <v>314</v>
      </c>
      <c r="I18" s="5" t="s">
        <v>45</v>
      </c>
      <c r="J18" s="5" t="s">
        <v>777</v>
      </c>
      <c r="K18" s="3"/>
      <c r="L18" s="11" t="str">
        <f ca="1">IF($O18="","",$O18-TODAY())</f>
        <v/>
      </c>
      <c r="M18" s="11"/>
      <c r="N18" s="11">
        <f ca="1">IF($C18="","",$C18+180-TODAY())</f>
        <v>117</v>
      </c>
      <c r="O18" s="6"/>
      <c r="P18" s="5"/>
      <c r="Q18" s="5" t="s">
        <v>315</v>
      </c>
      <c r="R18" s="5"/>
      <c r="S18" s="5"/>
      <c r="T18" s="5" t="s">
        <v>49</v>
      </c>
      <c r="U18" s="5" t="s">
        <v>50</v>
      </c>
      <c r="V18" s="5"/>
      <c r="W18" s="5"/>
      <c r="X18" s="5"/>
      <c r="Y18" s="5" t="s">
        <v>52</v>
      </c>
      <c r="Z18" s="7">
        <v>1294.23</v>
      </c>
      <c r="AA18" s="7">
        <v>0</v>
      </c>
      <c r="AB18" s="7">
        <v>0</v>
      </c>
      <c r="AC18" s="6">
        <v>46220</v>
      </c>
      <c r="AD18" s="7">
        <v>1294.23</v>
      </c>
      <c r="AE18" s="4">
        <v>52</v>
      </c>
      <c r="AF18" s="5" t="s">
        <v>826</v>
      </c>
      <c r="AG18" s="5"/>
      <c r="AH18" s="5"/>
      <c r="AI18" s="5"/>
      <c r="AJ18" s="4"/>
      <c r="AK18" s="5" t="s">
        <v>68</v>
      </c>
      <c r="AL18" s="5" t="s">
        <v>113</v>
      </c>
      <c r="AM18" s="6">
        <v>46195</v>
      </c>
      <c r="AN18" s="5" t="s">
        <v>780</v>
      </c>
      <c r="AO18" s="5" t="s">
        <v>861</v>
      </c>
    </row>
  </sheetData>
  <autoFilter ref="A1:AO18" xr:uid="{00000000-0009-0000-0000-000004000000}"/>
  <conditionalFormatting sqref="L2:L1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O1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disablePrompts="1" count="1">
    <dataValidation type="list" allowBlank="1" showInputMessage="1" promptTitle="Claim Status" prompt="Pick a status, or type a new one." sqref="A2:A18"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862</v>
      </c>
    </row>
    <row r="2" spans="1:1" x14ac:dyDescent="0.25">
      <c r="A2" s="9"/>
    </row>
    <row r="3" spans="1:1" x14ac:dyDescent="0.25">
      <c r="A3" s="9" t="s">
        <v>863</v>
      </c>
    </row>
    <row r="4" spans="1:1" x14ac:dyDescent="0.25">
      <c r="A4" s="9"/>
    </row>
    <row r="5" spans="1:1" x14ac:dyDescent="0.25">
      <c r="A5" s="10" t="s">
        <v>864</v>
      </c>
    </row>
    <row r="6" spans="1:1" ht="45" x14ac:dyDescent="0.25">
      <c r="A6" s="9" t="s">
        <v>865</v>
      </c>
    </row>
    <row r="7" spans="1:1" x14ac:dyDescent="0.25">
      <c r="A7" s="9" t="s">
        <v>866</v>
      </c>
    </row>
    <row r="8" spans="1:1" x14ac:dyDescent="0.25">
      <c r="A8" s="9" t="s">
        <v>867</v>
      </c>
    </row>
    <row r="9" spans="1:1" x14ac:dyDescent="0.25">
      <c r="A9" s="9" t="s">
        <v>868</v>
      </c>
    </row>
    <row r="10" spans="1:1" x14ac:dyDescent="0.25">
      <c r="A10" s="9" t="s">
        <v>869</v>
      </c>
    </row>
    <row r="11" spans="1:1" x14ac:dyDescent="0.25">
      <c r="A11" s="9" t="s">
        <v>870</v>
      </c>
    </row>
    <row r="12" spans="1:1" x14ac:dyDescent="0.25">
      <c r="A12" s="9" t="s">
        <v>871</v>
      </c>
    </row>
    <row r="13" spans="1:1" x14ac:dyDescent="0.25">
      <c r="A13" s="9"/>
    </row>
    <row r="14" spans="1:1" ht="30" x14ac:dyDescent="0.25">
      <c r="A14" s="9" t="s">
        <v>872</v>
      </c>
    </row>
    <row r="15" spans="1:1" ht="45" x14ac:dyDescent="0.25">
      <c r="A15" s="9" t="s">
        <v>873</v>
      </c>
    </row>
    <row r="16" spans="1:1" ht="30" x14ac:dyDescent="0.25">
      <c r="A16" s="9" t="s">
        <v>874</v>
      </c>
    </row>
    <row r="17" spans="1:1" ht="30" x14ac:dyDescent="0.25">
      <c r="A17" s="9" t="s">
        <v>875</v>
      </c>
    </row>
    <row r="18" spans="1:1" x14ac:dyDescent="0.25">
      <c r="A18" s="9"/>
    </row>
    <row r="19" spans="1:1" x14ac:dyDescent="0.25">
      <c r="A19" s="10" t="s">
        <v>876</v>
      </c>
    </row>
    <row r="20" spans="1:1" ht="45" x14ac:dyDescent="0.25">
      <c r="A20" s="9" t="s">
        <v>877</v>
      </c>
    </row>
    <row r="21" spans="1:1" x14ac:dyDescent="0.25">
      <c r="A21" s="9" t="s">
        <v>954</v>
      </c>
    </row>
    <row r="22" spans="1:1" ht="30" x14ac:dyDescent="0.25">
      <c r="A22" s="9" t="s">
        <v>879</v>
      </c>
    </row>
    <row r="23" spans="1:1" x14ac:dyDescent="0.25">
      <c r="A23" s="9"/>
    </row>
    <row r="24" spans="1:1" x14ac:dyDescent="0.25">
      <c r="A24" s="10" t="s">
        <v>880</v>
      </c>
    </row>
    <row r="25" spans="1:1" ht="30" x14ac:dyDescent="0.25">
      <c r="A25" s="9" t="s">
        <v>881</v>
      </c>
    </row>
    <row r="26" spans="1:1" ht="45" x14ac:dyDescent="0.25">
      <c r="A26" s="9" t="s">
        <v>882</v>
      </c>
    </row>
    <row r="27" spans="1:1" x14ac:dyDescent="0.25">
      <c r="A27" s="9"/>
    </row>
    <row r="28" spans="1:1" x14ac:dyDescent="0.25">
      <c r="A28" s="10" t="s">
        <v>883</v>
      </c>
    </row>
    <row r="29" spans="1:1" ht="45" x14ac:dyDescent="0.25">
      <c r="A29" s="9" t="s">
        <v>884</v>
      </c>
    </row>
    <row r="30" spans="1:1" ht="45" x14ac:dyDescent="0.25">
      <c r="A30" s="9" t="s">
        <v>885</v>
      </c>
    </row>
    <row r="31" spans="1:1" ht="30" x14ac:dyDescent="0.25">
      <c r="A31" s="9" t="s">
        <v>886</v>
      </c>
    </row>
    <row r="32" spans="1:1" x14ac:dyDescent="0.25">
      <c r="A32" s="9"/>
    </row>
    <row r="33" spans="1:1" x14ac:dyDescent="0.25">
      <c r="A33" s="10" t="s">
        <v>887</v>
      </c>
    </row>
    <row r="34" spans="1:1" ht="45" x14ac:dyDescent="0.25">
      <c r="A34" s="9" t="s">
        <v>888</v>
      </c>
    </row>
    <row r="35" spans="1:1" ht="30" x14ac:dyDescent="0.25">
      <c r="A35" s="9" t="s">
        <v>889</v>
      </c>
    </row>
    <row r="36" spans="1:1" x14ac:dyDescent="0.25">
      <c r="A36" s="9"/>
    </row>
    <row r="37" spans="1:1" x14ac:dyDescent="0.25">
      <c r="A37" s="9" t="s">
        <v>890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2026-09-19T00:40:09Z</dcterms:modified>
  <cp:category/>
  <cp:contentStatus/>
</cp:coreProperties>
</file>