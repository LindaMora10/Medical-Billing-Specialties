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<sst xmlns="http://schemas.openxmlformats.org/spreadsheetml/2006/main" count="2131" uniqueCount="586">
  <si>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</si>
  <si>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</si>
  <si>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</si>
  <si>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</si>
  <si>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</si>
  <si>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</si>
  <si>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</si>
  <si>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</si>
  <si>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</si>
  <si>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</si>
  <si>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</si>
  <si>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</si>
  <si>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</si>
  <si>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</si>
  <si>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</si>
  <si>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</si>
  <si>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</si>
  <si>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</si>
  <si>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</si>
  <si>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</si>
  <si>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</si>
  <si>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</si>
  <si>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</si>
  <si>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</si>
  <si>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</si>
  <si>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</si>
  <si>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</si>
  <si>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</si>
  <si>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</si>
  <si>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</si>
  <si>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</si>
  <si>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</si>
  <si>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</si>
  <si>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</si>
  <si>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</si>
  <si>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</si>
  <si>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</si>
  <si>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</si>
  <si>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</si>
  <si>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</si>
  <si>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</si>
  <si>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</si>
  <si>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</si>
  <si>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</si>
  <si>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</si>
  <si>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</si>
  <si>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</si>
  <si>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</si>
  <si>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</si>
  <si>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</si>
  <si>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</si>
  <si>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</si>
  <si>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</si>
  <si>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</si>
  <si>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</si>
  <si>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</si>
  <si>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</si>
  <si>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</si>
  <si>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</si>
  <si>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</si>
  <si>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</si>
  <si>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</si>
  <si>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</si>
  <si>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</si>
  <si>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</si>
  <si>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</si>
  <si>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</si>
  <si>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</si>
  <si>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</si>
  <si>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</si>
  <si>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</si>
  <si>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</si>
  <si>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</si>
  <si>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</si>
  <si>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</si>
  <si>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</si>
  <si>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</si>
  <si>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</si>
  <si>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</si>
  <si>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</si>
  <si>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</si>
  <si>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</si>
  <si>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</si>
  <si>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</si>
  <si>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</si>
  <si>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</si>
  <si>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</si>
  <si>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</si>
  <si>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</si>
  <si>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</si>
  <si>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</si>
  <si>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</si>
  <si>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</si>
  <si>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</si>
  <si>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</si>
  <si>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</si>
  <si>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</si>
  <si>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</si>
  <si>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</si>
  <si>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</si>
  <si>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</si>
  <si>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</si>
  <si>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</si>
  <si>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</si>
  <si>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</si>
  <si>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</si>
  <si>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</si>
  <si>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</si>
  <si>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</si>
  <si>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</si>
  <si>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</si>
  <si>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</si>
  <si>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</si>
  <si>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</si>
  <si>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</si>
  <si>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</si>
  <si>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</si>
  <si>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</si>
  <si>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</si>
  <si>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</si>
  <si>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</si>
  <si>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</si>
  <si>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</si>
  <si>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</si>
  <si>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</si>
  <si>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</si>
  <si>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</si>
  <si>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</si>
  <si>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</si>
  <si>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</si>
  <si>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</si>
  <si>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</si>
  <si>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</si>
  <si>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</si>
  <si>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</si>
  <si>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</si>
  <si>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</si>
  <si>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</si>
  <si>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</si>
  <si>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</si>
  <si>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</si>
  <si>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</si>
  <si>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</si>
  <si>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</si>
  <si>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</si>
  <si>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</si>
  <si>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</si>
  <si>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</si>
  <si>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</si>
  <si>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</si>
  <si>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</si>
  <si>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</si>
  <si>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</si>
  <si>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</si>
  <si>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</si>
  <si>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</si>
  <si>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</si>
  <si>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</si>
  <si>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</si>
  <si>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</si>
  <si>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</si>
  <si>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</si>
  <si>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</si>
  <si>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</si>
  <si>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</si>
  <si>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</si>
  <si>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</si>
  <si>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</si>
  <si>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</si>
  <si>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</si>
  <si>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</si>
  <si>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</si>
  <si>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</si>
  <si>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</si>
  <si>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</si>
  <si>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</si>
  <si>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</si>
  <si>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</si>
  <si>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</si>
  <si>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</si>
  <si>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</si>
  <si>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</si>
  <si>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</si>
  <si>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</si>
  <si>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</si>
  <si>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</si>
  <si>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</si>
  <si>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</si>
  <si>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</si>
  <si>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</si>
  <si>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</si>
  <si>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</si>
  <si>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</si>
  <si>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</si>
  <si>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</si>
  <si>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</si>
  <si>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</si>
  <si>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</si>
  <si>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</si>
  <si>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</si>
  <si>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</si>
  <si>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</si>
  <si>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</si>
  <si>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</si>
  <si>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</si>
  <si>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</si>
  <si>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</si>
  <si>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</si>
  <si>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</si>
  <si>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</si>
  <si>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</si>
  <si>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</si>
  <si>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</si>
  <si>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</si>
  <si>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</si>
  <si>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</si>
  <si>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</si>
  <si>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</si>
  <si>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</si>
  <si>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</si>
  <si>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</si>
  <si>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</si>
  <si>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</si>
  <si>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</si>
  <si>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</si>
  <si>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</si>
  <si>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</si>
  <si>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</si>
  <si>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</si>
  <si>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</si>
  <si>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</si>
  <si>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</si>
  <si>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</si>
  <si>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</si>
  <si>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</si>
  <si>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</si>
  <si>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</si>
  <si>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</si>
  <si>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</si>
  <si>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</si>
  <si>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</si>
  <si>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</si>
  <si>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</si>
  <si>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</si>
  <si>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</si>
  <si>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</si>
  <si>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</si>
  <si>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</si>
  <si>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</si>
  <si>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</si>
  <si>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</si>
  <si>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</si>
  <si>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</si>
  <si>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</si>
  <si>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</si>
  <si>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</si>
  <si>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</si>
  <si>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</si>
  <si>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</si>
  <si>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</si>
  <si>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</si>
  <si>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</si>
  <si>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</si>
  <si>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</si>
  <si>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</si>
  <si>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</si>
  <si>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</si>
  <si>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</si>
  <si>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</si>
  <si>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</si>
  <si>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</si>
  <si>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</si>
  <si>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</si>
  <si>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</si>
  <si>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</si>
  <si>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</si>
  <si>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</si>
  <si>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</si>
  <si>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</si>
  <si>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</si>
  <si>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</si>
  <si>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</si>
  <si>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</si>
  <si>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</si>
  <si>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</si>
  <si>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</si>
  <si>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</si>
  <si>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</si>
  <si>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</si>
  <si>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</si>
  <si>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</si>
  <si>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</si>
  <si>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</si>
  <si>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</si>
  <si>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</si>
  <si>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</si>
  <si>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</si>
  <si>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</si>
  <si>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</si>
  <si>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</si>
  <si>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</si>
  <si>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</si>
  <si>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</si>
  <si>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</si>
  <si>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</si>
  <si>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</si>
  <si>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</si>
  <si>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</si>
  <si>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</si>
  <si>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</si>
  <si>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</si>
  <si>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</si>
  <si>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</si>
  <si>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</si>
  <si>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</si>
  <si>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</si>
  <si>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</si>
  <si>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</si>
  <si>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</si>
  <si>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</si>
  <si>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</si>
  <si>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</si>
  <si>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</si>
  <si>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</si>
  <si>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</si>
  <si>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</si>
  <si>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</si>
  <si>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</si>
  <si>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</si>
  <si>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</si>
  <si>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</si>
  <si>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</si>
  <si>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</si>
  <si>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</si>
  <si>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</si>
  <si>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</si>
  <si>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</si>
  <si>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</si>
  <si>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</si>
  <si>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</si>
  <si>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</si>
  <si>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</si>
  <si>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</si>
  <si>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</si>
  <si>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</si>
  <si>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</si>
  <si>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</si>
  <si>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</si>
  <si>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</si>
  <si>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</si>
  <si>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</si>
  <si>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</si>
  <si>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</si>
  <si>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</si>
  <si>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</si>
  <si>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</si>
  <si>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</si>
  <si>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</si>
  <si>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</si>
  <si>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</si>
  <si>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</si>
  <si>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</si>
  <si>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</si>
  <si>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</si>
  <si>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</si>
  <si>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</si>
  <si>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</si>
  <si>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</si>
  <si>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</si>
  <si>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</si>
  <si>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</si>
  <si>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</si>
  <si>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</si>
  <si>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</si>
  <si>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</si>
  <si>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</si>
  <si>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</si>
  <si>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</si>
  <si>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</si>
  <si>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</si>
  <si>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</si>
  <si>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</si>
  <si>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</si>
  <si>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</si>
  <si>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</si>
  <si>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</si>
  <si>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</si>
  <si>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</si>
  <si>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</si>
  <si>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</si>
  <si>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</si>
  <si>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</si>
  <si>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</si>
  <si>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</si>
  <si>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</si>
  <si>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</si>
  <si>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</si>
  <si>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</si>
  <si>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</si>
  <si>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</si>
  <si>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</si>
  <si>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</si>
  <si>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</si>
  <si>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</si>
  <si>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</si>
  <si>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</si>
  <si>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</si>
  <si>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</si>
  <si>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</si>
  <si>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</si>
  <si>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</si>
  <si>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</si>
  <si>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</si>
  <si>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</si>
  <si>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</si>
  <si>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</si>
  <si>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</si>
  <si>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</si>
  <si>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</si>
  <si>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</si>
  <si>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</si>
  <si>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</si>
  <si>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</si>
  <si>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</si>
  <si>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</si>
  <si>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</si>
  <si>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</si>
  <si>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</si>
  <si>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</si>
  <si>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</si>
  <si>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</si>
  <si>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</si>
  <si>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</si>
  <si>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</si>
  <si>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</si>
  <si>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</si>
  <si>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</si>
  <si>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</si>
  <si>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</si>
  <si>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</si>
  <si>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</si>
  <si>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</si>
  <si>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</si>
  <si>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</si>
  <si>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</si>
  <si>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</si>
  <si>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</si>
  <si>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</si>
  <si>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</si>
  <si>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</si>
  <si>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</si>
  <si>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</si>
  <si>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</si>
  <si>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</si>
  <si>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</si>
  <si>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</si>
  <si>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</si>
  <si>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</si>
  <si>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</si>
  <si>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</si>
  <si>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</si>
  <si>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</si>
  <si>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</si>
  <si>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</si>
  <si>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</si>
  <si>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</si>
  <si>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</si>
  <si>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</si>
  <si>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</si>
  <si>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</si>
  <si>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</si>
  <si>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</si>
  <si>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</si>
  <si>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</si>
  <si>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</si>
  <si>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</si>
  <si>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</si>
  <si>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</si>
  <si>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</si>
  <si>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</si>
  <si>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</si>
  <si>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</si>
  <si>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</si>
  <si>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</si>
  <si>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</si>
  <si>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</si>
  <si>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</si>
  <si>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</si>
  <si>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</si>
  <si>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</si>
  <si>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</si>
  <si>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</si>
  <si>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</si>
  <si>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</si>
  <si>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</si>
  <si>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</si>
  <si>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</si>
  <si>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</si>
  <si>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</si>
  <si>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</si>
  <si>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</si>
  <si>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</si>
  <si>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</si>
  <si>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</si>
  <si>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</si>
  <si>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</si>
  <si>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</si>
  <si>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</si>
  <si>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</si>
  <si>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</si>
  <si>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</si>
  <si>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</si>
  <si>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</si>
  <si>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</si>
  <si>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</si>
  <si>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</si>
  <si>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</si>
  <si>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</si>
  <si>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</si>
  <si>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</si>
  <si>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</si>
  <si>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</si>
  <si>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</si>
  <si>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</si>
  <si>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</si>
  <si>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</si>
  <si>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</si>
  <si>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</si>
  <si>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</si>
  <si>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</si>
  <si>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</si>
  <si>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</si>
  <si>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</si>
  <si>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</si>
  <si>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</si>
  <si>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</si>
  <si>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</si>
  <si>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</si>
  <si>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</si>
  <si>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</si>
  <si>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</si>
  <si>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</si>
  <si>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</si>
  <si>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</si>
  <si>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</si>
  <si>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</si>
  <si>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</si>
  <si>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</si>
  <si>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</si>
  <si>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</si>
  <si>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</si>
  <si>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</si>
  <si>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</si>
  <si>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</si>
  <si>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</si>
  <si>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</si>
  <si>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</si>
  <si>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</si>
  <si>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</si>
  <si>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</si>
  <si>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</si>
  <si>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</si>
  <si>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</si>
  <si>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</si>
  <si>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</si>
  <si>
    <t xml:space="preserve">Under Review</t>
  </si>
  <si>
    <t xml:space="preserve">Waiting for account to get activated again</t>
  </si>
  <si>
    <t xml:space="preserve">Shift to PT if I find same and similar on portal  - ABN signed - Another L0650 was dispensed back on 04/25/2022 - Supplier SONOSPINE ARIZONA LLC - DND L0650 M3 Equipment is the same or similar to equipment already being used</t>
  </si>
  <si>
    <t xml:space="preserve">chat with ins to confirm covarage - ABN signed - charges per ins contract - PR non covered</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</si>
  <si>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</si>
  <si>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</si>
  <si>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</si>
  <si>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 xml:space="preserve">no access</t>
  </si>
  <si>
    <t xml:space="preserve">START A CHAT AND ASK FOR A PIQ REVIEW OR STATUS</t>
  </si>
  <si>
    <t xml:space="preserve">secondary - check cob on noridian, if nothing there, check with April - 1A95CU0TY97</t>
  </si>
  <si>
    <t xml:space="preserve">Send pending msm to Bri</t>
  </si>
  <si>
    <t xml:space="preserve">Waiting for Bri's reply - Juan sent MR to me </t>
  </si>
  <si>
    <t xml:space="preserve">Statuses currently in use: Denied, Finalized, PAID, Pending, Received, Rejected, Under Review.</t>
  </si>
  <si>
    <t xml:space="preserve">540 days</t>
  </si>
  <si>
    <t xml:space="preserve">84 claims with a date of service in 2026-04 April,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</si>
  <si>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</si>
  <si>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</si>
  <si>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0</t>
  </si>
  <si>
    <t xml:space="preserve">    2 - Due in 6-30 days: 1</t>
  </si>
  <si>
    <t xml:space="preserve">    3 - Due in 31+ days: 24</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</si>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</sst>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579</v>
      </c>
    </row>
    <row r="4" spans="1:1" x14ac:dyDescent="0.25">
      <c r="A4" s="9"/>
    </row>
    <row r="5" spans="1:1" x14ac:dyDescent="0.25">
      <c r="A5" s="10" t="s">
        <v>2</v>
      </c>
    </row>
    <row r="6" spans="1:1" ht="45" x14ac:dyDescent="0.25">
      <c r="A6" s="9" t="s">
        <v>580</v>
      </c>
    </row>
    <row r="7" spans="1:1" x14ac:dyDescent="0.25">
      <c r="A7" s="9" t="s">
        <v>581</v>
      </c>
    </row>
    <row r="8" spans="1:1" x14ac:dyDescent="0.25">
      <c r="A8" s="9" t="s">
        <v>582</v>
      </c>
    </row>
    <row r="9" spans="1:1" x14ac:dyDescent="0.25">
      <c r="A9" s="9" t="s">
        <v>583</v>
      </c>
    </row>
    <row r="10" spans="1:1" x14ac:dyDescent="0.25">
      <c r="A10" s="9" t="s">
        <v>584</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577</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585</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71</v>
      </c>
      <c r="C2" s="3">
        <v>46157</v>
      </c>
      <c r="D2" s="4">
        <v>554943318</v>
      </c>
      <c r="E2" s="5" t="s">
        <v>72</v>
      </c>
      <c r="F2" s="6">
        <v>46113</v>
      </c>
      <c r="G2" s="5" t="s">
        <v>73</v>
      </c>
      <c r="H2" s="5" t="s">
        <v>73</v>
      </c>
      <c r="I2" s="5" t="s">
        <v>74</v>
      </c>
      <c r="J2" s="5" t="s">
        <v>75</v>
      </c>
      <c r="K2" s="3">
        <v>46265</v>
      </c>
      <c r="L2" s="12">
        <f ca="1">IF($O2="","",$O2-TODAY())</f>
        <v>195</v>
      </c>
      <c r="M2" s="12">
        <f ca="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row>
    <row r="3" spans="1:40" x14ac:dyDescent="0.25">
      <c r="A3" s="2" t="s">
        <v>86</v>
      </c>
      <c r="B3" s="2" t="s">
        <v>87</v>
      </c>
      <c r="C3" s="3"/>
      <c r="D3" s="4">
        <v>556872696</v>
      </c>
      <c r="E3" s="5" t="s">
        <v>88</v>
      </c>
      <c r="F3" s="6">
        <v>46133</v>
      </c>
      <c r="G3" s="5" t="s">
        <v>89</v>
      </c>
      <c r="H3" s="5" t="s">
        <v>90</v>
      </c>
      <c r="I3" s="5" t="s">
        <v>89</v>
      </c>
      <c r="J3" s="5" t="s">
        <v>91</v>
      </c>
      <c r="K3" s="3"/>
      <c r="L3" s="12">
        <f ca="1">IF($O3="","",$O3-TODAY())</f>
        <v>215</v>
      </c>
      <c r="M3" s="12" t="str">
        <f ca="1">IF($C3="","",$C3+365-TODAY())</f>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row>
    <row r="4" spans="1:40" x14ac:dyDescent="0.25">
      <c r="A4" s="2" t="s">
        <v>70</v>
      </c>
      <c r="B4" s="2" t="s">
        <v>95</v>
      </c>
      <c r="C4" s="3">
        <v>46162</v>
      </c>
      <c r="D4" s="4">
        <v>566720408</v>
      </c>
      <c r="E4" s="5" t="s">
        <v>96</v>
      </c>
      <c r="F4" s="6">
        <v>46113</v>
      </c>
      <c r="G4" s="5" t="s">
        <v>97</v>
      </c>
      <c r="H4" s="5" t="s">
        <v>97</v>
      </c>
      <c r="I4" s="5" t="s">
        <v>73</v>
      </c>
      <c r="J4" s="5" t="s">
        <v>75</v>
      </c>
      <c r="K4" s="3">
        <v>46231</v>
      </c>
      <c r="L4" s="12">
        <f ca="1">IF($O4="","",$O4-TODAY())</f>
        <v>-80</v>
      </c>
      <c r="M4" s="12">
        <f ca="1">IF($F4="","",$F4+90-TODAY())</f>
        <v>-80</v>
      </c>
      <c r="N4" s="12">
        <f ca="1">IF($C4="","",$C4+365-TODAY())</f>
        <v>244</v>
      </c>
      <c r="O4" s="6">
        <v>46203</v>
      </c>
      <c r="P4" s="5" t="s">
        <v>98</v>
      </c>
      <c r="Q4" s="5" t="s">
        <v>99</v>
      </c>
      <c r="R4" s="5" t="s">
        <v>98</v>
      </c>
      <c r="S4" s="5" t="s">
        <v>129</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row>
    <row r="5" spans="1:40" x14ac:dyDescent="0.25">
      <c r="A5" s="2" t="s">
        <v>70</v>
      </c>
      <c r="B5" s="2" t="s">
        <v>104</v>
      </c>
      <c r="C5" s="3">
        <v>46262</v>
      </c>
      <c r="D5" s="4">
        <v>556413148</v>
      </c>
      <c r="E5" s="5" t="s">
        <v>105</v>
      </c>
      <c r="F5" s="6">
        <v>46127</v>
      </c>
      <c r="G5" s="5" t="s">
        <v>106</v>
      </c>
      <c r="H5" s="5" t="s">
        <v>106</v>
      </c>
      <c r="I5" s="5" t="s">
        <v>74</v>
      </c>
      <c r="J5" s="5" t="s">
        <v>107</v>
      </c>
      <c r="K5" s="3">
        <v>46257</v>
      </c>
      <c r="L5" s="12">
        <f ca="1">IF($O5="","",$O5-TODAY())</f>
        <v>-66</v>
      </c>
      <c r="M5" s="12">
        <f ca="1">IF($C5="","",$C5+365-TODAY())</f>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row>
    <row r="6" spans="1:40" x14ac:dyDescent="0.25">
      <c r="A6" s="2" t="s">
        <v>70</v>
      </c>
      <c r="B6" s="2" t="s">
        <v>522</v>
      </c>
      <c r="C6" s="3">
        <v>46157</v>
      </c>
      <c r="D6" s="4">
        <v>556564886</v>
      </c>
      <c r="E6" s="5" t="s">
        <v>113</v>
      </c>
      <c r="F6" s="6">
        <v>46132</v>
      </c>
      <c r="G6" s="5" t="s">
        <v>97</v>
      </c>
      <c r="H6" s="5" t="s">
        <v>97</v>
      </c>
      <c r="I6" s="5" t="s">
        <v>74</v>
      </c>
      <c r="J6" s="5" t="s">
        <v>75</v>
      </c>
      <c r="K6" s="3">
        <v>46276</v>
      </c>
      <c r="L6" s="12">
        <f ca="1">IF($O6="","",$O6-TODAY())</f>
        <v>-61</v>
      </c>
      <c r="M6" s="12">
        <f ca="1">IF($F6="","",$F6+90-TODAY())</f>
        <v>-61</v>
      </c>
      <c r="N6" s="12">
        <f ca="1">IF($C6="","",$C6+365-TODAY())</f>
        <v>239</v>
      </c>
      <c r="O6" s="6">
        <v>46222</v>
      </c>
      <c r="P6" s="5" t="s">
        <v>98</v>
      </c>
      <c r="Q6" s="5" t="s">
        <v>99</v>
      </c>
      <c r="R6" s="5" t="s">
        <v>98</v>
      </c>
      <c r="S6" s="5" t="s">
        <v>129</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row>
    <row r="7" spans="1:40" x14ac:dyDescent="0.25">
      <c r="A7" s="2" t="s">
        <v>70</v>
      </c>
      <c r="B7" s="2" t="s">
        <v>116</v>
      </c>
      <c r="C7" s="3">
        <v>46167</v>
      </c>
      <c r="D7" s="4">
        <v>556918462</v>
      </c>
      <c r="E7" s="5" t="s">
        <v>117</v>
      </c>
      <c r="F7" s="6">
        <v>46134</v>
      </c>
      <c r="G7" s="5" t="s">
        <v>106</v>
      </c>
      <c r="H7" s="5" t="s">
        <v>106</v>
      </c>
      <c r="I7" s="5" t="s">
        <v>74</v>
      </c>
      <c r="J7" s="5" t="s">
        <v>75</v>
      </c>
      <c r="K7" s="3">
        <v>46265</v>
      </c>
      <c r="L7" s="12">
        <f ca="1">IF($O7="","",$O7-TODAY())</f>
        <v>-59</v>
      </c>
      <c r="M7" s="12">
        <f ca="1">IF($C7="","",$C7+365-TODAY())</f>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row>
    <row r="8" spans="1:40" x14ac:dyDescent="0.25">
      <c r="A8" s="2" t="s">
        <v>122</v>
      </c>
      <c r="B8" s="2" t="s">
        <v>123</v>
      </c>
      <c r="C8" s="3">
        <v>46157</v>
      </c>
      <c r="D8" s="4">
        <v>557054917</v>
      </c>
      <c r="E8" s="5" t="s">
        <v>124</v>
      </c>
      <c r="F8" s="6">
        <v>46135</v>
      </c>
      <c r="G8" s="5" t="s">
        <v>125</v>
      </c>
      <c r="H8" s="5" t="s">
        <v>126</v>
      </c>
      <c r="I8" s="5" t="s">
        <v>125</v>
      </c>
      <c r="J8" s="5" t="s">
        <v>127</v>
      </c>
      <c r="K8" s="3">
        <v>46265</v>
      </c>
      <c r="L8" s="12">
        <f ca="1">IF($O8="","",$O8-TODAY())</f>
        <v>-58</v>
      </c>
      <c r="M8" s="12">
        <f ca="1">IF($F8="","",$F8+90-TODAY())</f>
        <v>-58</v>
      </c>
      <c r="N8" s="12">
        <f ca="1">IF($C8="","",$C8+540-TODAY())</f>
        <v>414</v>
      </c>
      <c r="O8" s="6">
        <v>46225</v>
      </c>
      <c r="P8" s="5" t="s">
        <v>98</v>
      </c>
      <c r="Q8" s="5" t="s">
        <v>128</v>
      </c>
      <c r="R8" s="5" t="s">
        <v>98</v>
      </c>
      <c r="S8" s="5" t="s">
        <v>129</v>
      </c>
      <c r="T8" s="5" t="s">
        <v>578</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row>
    <row r="9" spans="1:40" x14ac:dyDescent="0.25">
      <c r="A9" s="2" t="s">
        <v>70</v>
      </c>
      <c r="B9" s="2" t="s">
        <v>133</v>
      </c>
      <c r="C9" s="3">
        <v>46167</v>
      </c>
      <c r="D9" s="4">
        <v>557132196</v>
      </c>
      <c r="E9" s="5" t="s">
        <v>134</v>
      </c>
      <c r="F9" s="6">
        <v>46136</v>
      </c>
      <c r="G9" s="5" t="s">
        <v>106</v>
      </c>
      <c r="H9" s="5" t="s">
        <v>106</v>
      </c>
      <c r="I9" s="5" t="s">
        <v>74</v>
      </c>
      <c r="J9" s="5" t="s">
        <v>75</v>
      </c>
      <c r="K9" s="3">
        <v>46265</v>
      </c>
      <c r="L9" s="12">
        <f ca="1">IF($O9="","",$O9-TODAY())</f>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row>
    <row r="10" spans="1:40" x14ac:dyDescent="0.25">
      <c r="A10" s="2" t="s">
        <v>70</v>
      </c>
      <c r="B10" s="2" t="s">
        <v>137</v>
      </c>
      <c r="C10" s="3">
        <v>46161</v>
      </c>
      <c r="D10" s="4">
        <v>555379100</v>
      </c>
      <c r="E10" s="5" t="s">
        <v>138</v>
      </c>
      <c r="F10" s="6">
        <v>46120</v>
      </c>
      <c r="G10" s="5" t="s">
        <v>139</v>
      </c>
      <c r="H10" s="5" t="s">
        <v>139</v>
      </c>
      <c r="I10" s="5" t="s">
        <v>74</v>
      </c>
      <c r="J10" s="5" t="s">
        <v>91</v>
      </c>
      <c r="K10" s="3">
        <v>46257</v>
      </c>
      <c r="L10" s="12">
        <f ca="1">IF($O10="","",$O10-TODAY())</f>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row>
    <row r="11" spans="1:40" x14ac:dyDescent="0.25">
      <c r="A11" s="2" t="s">
        <v>565</v>
      </c>
      <c r="B11" s="2" t="s">
        <v>566</v>
      </c>
      <c r="C11" s="3"/>
      <c r="D11" s="4">
        <v>556047036</v>
      </c>
      <c r="E11" s="5" t="s">
        <v>144</v>
      </c>
      <c r="F11" s="6">
        <v>46127</v>
      </c>
      <c r="G11" s="5" t="s">
        <v>145</v>
      </c>
      <c r="H11" s="5" t="s">
        <v>145</v>
      </c>
      <c r="I11" s="5" t="s">
        <v>74</v>
      </c>
      <c r="J11" s="5" t="s">
        <v>127</v>
      </c>
      <c r="K11" s="3"/>
      <c r="L11" s="12" t="str">
        <f ca="1">IF($O11="","",$O11-TODAY())</f>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row>
    <row r="12" spans="1:40" x14ac:dyDescent="0.25">
      <c r="A12" s="2" t="s">
        <v>565</v>
      </c>
      <c r="B12" s="2" t="s">
        <v>566</v>
      </c>
      <c r="C12" s="3"/>
      <c r="D12" s="4">
        <v>557578390</v>
      </c>
      <c r="E12" s="5" t="s">
        <v>148</v>
      </c>
      <c r="F12" s="6">
        <v>46141</v>
      </c>
      <c r="G12" s="5" t="s">
        <v>145</v>
      </c>
      <c r="H12" s="5" t="s">
        <v>145</v>
      </c>
      <c r="I12" s="5" t="s">
        <v>74</v>
      </c>
      <c r="J12" s="5" t="s">
        <v>149</v>
      </c>
      <c r="K12" s="3"/>
      <c r="L12" s="12" t="str">
        <f ca="1">IF($O12="","",$O12-TODAY())</f>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row>
    <row r="16" spans="1:40" x14ac:dyDescent="0.25"/>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row>
    <row r="3" spans="1:40"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row>
    <row r="4" spans="1:40"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row>
    <row r="5" spans="1:40"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row>
    <row r="6" spans="1:40"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row>
    <row r="7" spans="1:40"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row>
    <row r="8" spans="1:40" x14ac:dyDescent="0.25">
      <c r="A8" s="2" t="s">
        <v>565</v>
      </c>
      <c r="B8" s="2" t="s">
        <v>567</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row>
    <row r="9" spans="1:40"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row>
    <row r="10" spans="1:40"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row>
    <row r="11" spans="1:40"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row>
    <row r="12" spans="1:40"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row>
    <row r="13" spans="1:40"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row>
    <row r="14" spans="1:40"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row>
    <row r="15" spans="1:40"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row>
    <row r="16" spans="1:40"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row>
    <row r="17" spans="1:40" x14ac:dyDescent="0.25">
      <c r="A17" s="2"/>
      <c r="B17" s="2"/>
      <c r="C17" s="3">
        <v>46141</v>
      </c>
      <c r="D17" s="4">
        <v>556801807</v>
      </c>
      <c r="E17" s="5" t="s">
        <v>113</v>
      </c>
      <c r="F17" s="6">
        <v>46125</v>
      </c>
      <c r="G17" s="5" t="s">
        <v>97</v>
      </c>
      <c r="H17" s="5" t="s">
        <v>97</v>
      </c>
      <c r="I17" s="5" t="s">
        <v>74</v>
      </c>
      <c r="J17" s="5" t="s">
        <v>189</v>
      </c>
      <c r="K17" s="3"/>
      <c r="L17" s="12">
        <f ca="1">IF($O17="","",$O17-TODAY())</f>
        <v>-68</v>
      </c>
      <c r="M17" s="12">
        <f ca="1">IF($F17="","",$F17+90-TODAY())</f>
        <v>-68</v>
      </c>
      <c r="N17" s="12">
        <f ca="1">IF($C17="","",$C17+365-TODAY())</f>
        <v>223</v>
      </c>
      <c r="O17" s="6">
        <v>46215</v>
      </c>
      <c r="P17" s="5" t="s">
        <v>98</v>
      </c>
      <c r="Q17" s="5" t="s">
        <v>99</v>
      </c>
      <c r="R17" s="5" t="s">
        <v>98</v>
      </c>
      <c r="S17" s="5" t="s">
        <v>129</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row>
    <row r="18" spans="1:40"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row>
    <row r="19" spans="1:40"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row>
    <row r="20" spans="1:40"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row>
    <row r="21" spans="1:40"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row>
    <row r="22" spans="1:40"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row>
    <row r="23" spans="1:40"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row>
    <row r="24" spans="1:40" x14ac:dyDescent="0.25">
      <c r="A24" s="2" t="s">
        <v>565</v>
      </c>
      <c r="B24" s="2" t="s">
        <v>568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row>
    <row r="25" spans="1:40"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row>
    <row r="26" spans="1:40"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row>
    <row r="27" spans="1:40"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row>
    <row r="28" spans="1:40"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row>
    <row r="29" spans="1:40" x14ac:dyDescent="0.25">
      <c r="A29" s="2"/>
      <c r="B29" s="2"/>
      <c r="C29" s="3">
        <v>46162</v>
      </c>
      <c r="D29" s="4">
        <v>562340666</v>
      </c>
      <c r="E29" s="5" t="s">
        <v>96</v>
      </c>
      <c r="F29" s="6">
        <v>46142</v>
      </c>
      <c r="G29" s="5" t="s">
        <v>97</v>
      </c>
      <c r="H29" s="5" t="s">
        <v>97</v>
      </c>
      <c r="I29" s="5" t="s">
        <v>162</v>
      </c>
      <c r="J29" s="5" t="s">
        <v>183</v>
      </c>
      <c r="K29" s="3"/>
      <c r="L29" s="12">
        <f ca="1">IF($O29="","",$O29-TODAY())</f>
        <v>-51</v>
      </c>
      <c r="M29" s="12">
        <f ca="1">IF($F29="","",$F29+90-TODAY())</f>
        <v>-51</v>
      </c>
      <c r="N29" s="12">
        <f ca="1">IF($C29="","",$C29+365-TODAY())</f>
        <v>244</v>
      </c>
      <c r="O29" s="6">
        <v>46232</v>
      </c>
      <c r="P29" s="5" t="s">
        <v>98</v>
      </c>
      <c r="Q29" s="5" t="s">
        <v>99</v>
      </c>
      <c r="R29" s="5" t="s">
        <v>98</v>
      </c>
      <c r="S29" s="5" t="s">
        <v>129</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row>
    <row r="30" spans="1:40"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row>
    <row r="31" spans="1:40" x14ac:dyDescent="0.25">
      <c r="A31" s="2" t="s">
        <v>565</v>
      </c>
      <c r="B31" s="2" t="s">
        <v>566</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row>
    <row r="32" spans="1:40" x14ac:dyDescent="0.25">
      <c r="A32" s="2" t="s">
        <v>565</v>
      </c>
      <c r="B32" s="2" t="s">
        <v>566</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row>
    <row r="3" spans="1:40"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row>
    <row r="4" spans="1:40" x14ac:dyDescent="0.25">
      <c r="A4" s="2" t="s">
        <v>565</v>
      </c>
      <c r="B4" s="2" t="s">
        <v>569</v>
      </c>
      <c r="C4" s="3">
        <v>46165</v>
      </c>
      <c r="D4" s="4">
        <v>558554119</v>
      </c>
      <c r="E4" s="5" t="s">
        <v>317</v>
      </c>
      <c r="F4" s="6">
        <v>46118</v>
      </c>
      <c r="G4" s="5" t="s">
        <v>126</v>
      </c>
      <c r="H4" s="5" t="s">
        <v>126</v>
      </c>
      <c r="I4" s="5" t="s">
        <v>74</v>
      </c>
      <c r="J4" s="5" t="s">
        <v>318</v>
      </c>
      <c r="K4" s="3"/>
      <c r="L4" s="12">
        <f ca="1">IF($O4="","",$O4-TODAY())</f>
        <v>-75</v>
      </c>
      <c r="M4" s="12">
        <f ca="1">IF($F4="","",$F4+90-TODAY())</f>
        <v>-75</v>
      </c>
      <c r="N4" s="12">
        <f ca="1">IF($C4="","",$C4+540-TODAY())</f>
        <v>422</v>
      </c>
      <c r="O4" s="6">
        <v>46208</v>
      </c>
      <c r="P4" s="5" t="s">
        <v>98</v>
      </c>
      <c r="Q4" s="5" t="s">
        <v>128</v>
      </c>
      <c r="R4" s="5" t="s">
        <v>98</v>
      </c>
      <c r="S4" s="5" t="s">
        <v>129</v>
      </c>
      <c r="T4" s="5" t="s">
        <v>578</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row>
    <row r="5" spans="1:40" x14ac:dyDescent="0.25">
      <c r="A5" s="2" t="s">
        <v>565</v>
      </c>
      <c r="B5" s="2" t="s">
        <v>570</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row>
    <row r="6" spans="1:40"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IF($F6="","",$F6+90-TODAY())</f>
        <v>-61</v>
      </c>
      <c r="N6" s="12">
        <f ca="1">IF($C6="","",$C6+365-TODAY())</f>
        <v>244</v>
      </c>
      <c r="O6" s="6">
        <v>46222</v>
      </c>
      <c r="P6" s="5" t="s">
        <v>98</v>
      </c>
      <c r="Q6" s="5" t="s">
        <v>99</v>
      </c>
      <c r="R6" s="5" t="s">
        <v>98</v>
      </c>
      <c r="S6" s="5" t="s">
        <v>129</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row>
    <row r="7" spans="1:40"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row>
    <row r="3" spans="1:40"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row>
    <row r="4" spans="1:40"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row>
    <row r="5" spans="1:40"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row>
    <row r="6" spans="1:40"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row>
    <row r="7" spans="1:40"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row>
    <row r="8" spans="1:40"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row>
    <row r="9" spans="1:40"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IF($F9="","",$F9+90-TODAY())</f>
        <v>-68</v>
      </c>
      <c r="N9" s="12">
        <f ca="1">IF($C9="","",$C9+365-TODAY())</f>
        <v>223</v>
      </c>
      <c r="O9" s="6">
        <v>46215</v>
      </c>
      <c r="P9" s="5" t="s">
        <v>98</v>
      </c>
      <c r="Q9" s="5" t="s">
        <v>99</v>
      </c>
      <c r="R9" s="5" t="s">
        <v>98</v>
      </c>
      <c r="S9" s="5" t="s">
        <v>129</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row>
    <row r="10" spans="1:40"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row>
    <row r="11" spans="1:40"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row>
    <row r="12" spans="1:40"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row>
    <row r="13" spans="1:40"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row>
    <row r="14" spans="1:40"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row>
    <row r="15" spans="1:40"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row>
    <row r="16" spans="1:40"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row>
    <row r="17" spans="1:40" x14ac:dyDescent="0.25">
      <c r="A17" s="2" t="s">
        <v>565</v>
      </c>
      <c r="B17" s="2" t="s">
        <v>571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row>
    <row r="18" spans="1:40" x14ac:dyDescent="0.25">
      <c r="A18" s="2" t="s">
        <v>565</v>
      </c>
      <c r="B18" s="2" t="s">
        <v>572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row>
    <row r="3" spans="1:40"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row>
    <row r="4" spans="1:40"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row>
    <row r="5" spans="1:40"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row>
    <row r="6" spans="1:40"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row>
    <row r="7" spans="1:40"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row>
    <row r="8" spans="1:40"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row>
    <row r="9" spans="1:40"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row>
    <row r="10" spans="1:40"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row>
    <row r="11" spans="1:40"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row>
    <row r="12" spans="1:40"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row>
    <row r="13" spans="1:40" x14ac:dyDescent="0.25">
      <c r="A13" s="2" t="s">
        <v>70</v>
      </c>
      <c r="B13" s="2" t="s">
        <v>554</v>
      </c>
      <c r="C13" s="3">
        <v>46164</v>
      </c>
      <c r="D13" s="4">
        <v>558637485</v>
      </c>
      <c r="E13" s="5" t="s">
        <v>491</v>
      </c>
      <c r="F13" s="6">
        <v>46119</v>
      </c>
      <c r="G13" s="5" t="s">
        <v>97</v>
      </c>
      <c r="H13" s="5" t="s">
        <v>97</v>
      </c>
      <c r="I13" s="5" t="s">
        <v>74</v>
      </c>
      <c r="J13" s="5" t="s">
        <v>472</v>
      </c>
      <c r="K13" s="3">
        <v>46283</v>
      </c>
      <c r="L13" s="12">
        <f ca="1">IF($O13="","",$O13-TODAY())</f>
        <v>-74</v>
      </c>
      <c r="M13" s="12">
        <f ca="1">IF($F13="","",$F13+90-TODAY())</f>
        <v>-74</v>
      </c>
      <c r="N13" s="12">
        <f ca="1">IF($C13="","",$C13+365-TODAY())</f>
        <v>246</v>
      </c>
      <c r="O13" s="6">
        <v>46209</v>
      </c>
      <c r="P13" s="5" t="s">
        <v>98</v>
      </c>
      <c r="Q13" s="5" t="s">
        <v>99</v>
      </c>
      <c r="R13" s="5" t="s">
        <v>98</v>
      </c>
      <c r="S13" s="5" t="s">
        <v>129</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row>
    <row r="14" spans="1:40"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row>
    <row r="15" spans="1:40"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row>
    <row r="16" spans="1:40" x14ac:dyDescent="0.25">
      <c r="A16" s="2" t="s">
        <v>565</v>
      </c>
      <c r="B16" s="2" t="s">
        <v>573</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row>
    <row r="17" spans="1:40" x14ac:dyDescent="0.25">
      <c r="A17" s="2" t="s">
        <v>565</v>
      </c>
      <c r="B17" s="2" t="s">
        <v>574</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row>
    <row r="18" spans="1:40"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row>
    <row r="19" spans="1:40" x14ac:dyDescent="0.25">
      <c r="A19" s="2" t="s">
        <v>565</v>
      </c>
      <c r="B19" s="2" t="s">
        <v>575</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row>
    <row r="20" spans="1:40" x14ac:dyDescent="0.25">
      <c r="A20" s="2" t="s">
        <v>565</v>
      </c>
      <c r="B20" s="2" t="s">
        <v>576</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