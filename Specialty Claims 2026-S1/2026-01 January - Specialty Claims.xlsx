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'BH'!$A$1:$AO$17</definedName>
    <definedName name="_xlnm._FilterDatabase" localSheetId="1" hidden="1">'DME'!$A$1:$AO$8</definedName>
    <definedName name="_xlnm._FilterDatabase" localSheetId="2" hidden="1">'GAE'!$A$1:$AO$12</definedName>
    <definedName name="_xlnm._FilterDatabase" localSheetId="3" hidden="1">'ORTHO'!$A$1:$AO$10</definedName>
    <definedName name="_xlnm._FilterDatabase" localSheetId="4" hidden="1">'US'!$A$1:$AO$8</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5"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0" fontId="2" fillId="0" borderId="1" applyAlignment="1" pivotButton="0" quotePrefix="0" xfId="0">
      <alignment vertical="top" wrapText="1"/>
    </xf>
    <xf numFmtId="4" fontId="2" fillId="0" borderId="1" applyAlignment="1" pivotButton="0" quotePrefix="0" xfId="0">
      <alignment vertical="top"/>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O1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inlineStr">
        <is>
          <t>Finalized</t>
        </is>
      </c>
      <c r="B2" s="3" t="n"/>
      <c r="C2" s="4" t="n">
        <v>46071</v>
      </c>
      <c r="D2" s="5" t="n">
        <v>545752977</v>
      </c>
      <c r="E2" s="6" t="inlineStr">
        <is>
          <t>HF512527332</t>
        </is>
      </c>
      <c r="F2" s="7" t="n">
        <v>46031</v>
      </c>
      <c r="G2" s="6" t="inlineStr">
        <is>
          <t>Blue Cross Blue Shield of Arizona (BCBS AZ)</t>
        </is>
      </c>
      <c r="H2" s="6" t="inlineStr">
        <is>
          <t>Medicare Part B Arizona *</t>
        </is>
      </c>
      <c r="I2" s="6" t="inlineStr">
        <is>
          <t>Blue Cross Blue Shield of Arizona (BCBS AZ)</t>
        </is>
      </c>
      <c r="J2" s="8" t="inlineStr">
        <is>
          <t>99492 x1; 99494 x2</t>
        </is>
      </c>
      <c r="K2" s="4" t="n"/>
      <c r="L2" s="5">
        <f>IF($O2="","",$O2-TODAY())</f>
        <v/>
      </c>
      <c r="M2" s="5">
        <f>IF($C2="","",$C2+365-TODAY())</f>
        <v/>
      </c>
      <c r="N2" s="5">
        <f>IF($C2="","",$C2+120-TODAY())</f>
        <v/>
      </c>
      <c r="O2" s="7" t="n">
        <v>46396</v>
      </c>
      <c r="P2" s="6" t="inlineStr">
        <is>
          <t>365 days</t>
        </is>
      </c>
      <c r="Q2" s="6" t="inlineStr">
        <is>
          <t>MEDICARE</t>
        </is>
      </c>
      <c r="R2" s="6" t="inlineStr">
        <is>
          <t>365 days</t>
        </is>
      </c>
      <c r="S2" s="6" t="inlineStr">
        <is>
          <t>Processed date</t>
        </is>
      </c>
      <c r="T2" s="6" t="inlineStr">
        <is>
          <t>120 days</t>
        </is>
      </c>
      <c r="U2" s="6" t="inlineStr">
        <is>
          <t>Processed date</t>
        </is>
      </c>
      <c r="V2" s="6" t="n"/>
      <c r="W2" s="6" t="n"/>
      <c r="X2" s="6" t="n"/>
      <c r="Y2" s="6" t="inlineStr">
        <is>
          <t>1, 2</t>
        </is>
      </c>
      <c r="Z2" s="9" t="n">
        <v>1822.52</v>
      </c>
      <c r="AA2" s="9" t="n">
        <v>1569.38</v>
      </c>
      <c r="AB2" s="9" t="n">
        <v>197.72</v>
      </c>
      <c r="AC2" s="7" t="n">
        <v>46071</v>
      </c>
      <c r="AD2" s="9" t="n">
        <v>55.42</v>
      </c>
      <c r="AE2" s="5" t="n">
        <v>211</v>
      </c>
      <c r="AF2" s="6" t="inlineStr">
        <is>
          <t>F4320</t>
        </is>
      </c>
      <c r="AG2" s="6" t="n"/>
      <c r="AH2" s="6" t="n"/>
      <c r="AI2" s="6" t="n"/>
      <c r="AJ2" s="5" t="n">
        <v>550866078</v>
      </c>
      <c r="AK2" s="6" t="inlineStr">
        <is>
          <t>LEATHEM, JARRETT</t>
        </is>
      </c>
      <c r="AL2" s="6" t="inlineStr">
        <is>
          <t>ASAP Peoria</t>
        </is>
      </c>
      <c r="AM2" s="7" t="n">
        <v>46057</v>
      </c>
      <c r="AN2" s="6" t="inlineStr">
        <is>
          <t>BH</t>
        </is>
      </c>
      <c r="AO2" s="6" t="inlineStr">
        <is>
          <t>259, 260</t>
        </is>
      </c>
    </row>
    <row r="3">
      <c r="A3" s="2" t="inlineStr">
        <is>
          <t>Finalized</t>
        </is>
      </c>
      <c r="B3" s="3" t="n"/>
      <c r="C3" s="4" t="n">
        <v>46071</v>
      </c>
      <c r="D3" s="5" t="n">
        <v>547309790</v>
      </c>
      <c r="E3" s="6" t="inlineStr">
        <is>
          <t>HF529978681</t>
        </is>
      </c>
      <c r="F3" s="7" t="n">
        <v>46043</v>
      </c>
      <c r="G3" s="6" t="inlineStr">
        <is>
          <t>Banner University Family Care / ACC (AHCCS Complete Care)</t>
        </is>
      </c>
      <c r="H3" s="6" t="inlineStr">
        <is>
          <t>Medicare Part B Arizona *</t>
        </is>
      </c>
      <c r="I3" s="6" t="inlineStr">
        <is>
          <t>Banner University Family Care / ACC (AHCCS Complete Care)</t>
        </is>
      </c>
      <c r="J3" s="8" t="inlineStr">
        <is>
          <t>99493 x1</t>
        </is>
      </c>
      <c r="K3" s="4" t="n"/>
      <c r="L3" s="5">
        <f>IF($O3="","",$O3-TODAY())</f>
        <v/>
      </c>
      <c r="M3" s="5">
        <f>IF($C3="","",$C3+365-TODAY())</f>
        <v/>
      </c>
      <c r="N3" s="5">
        <f>IF($C3="","",$C3+120-TODAY())</f>
        <v/>
      </c>
      <c r="O3" s="7" t="n">
        <v>46408</v>
      </c>
      <c r="P3" s="6" t="inlineStr">
        <is>
          <t>365 days</t>
        </is>
      </c>
      <c r="Q3" s="6" t="inlineStr">
        <is>
          <t>MEDICARE</t>
        </is>
      </c>
      <c r="R3" s="6" t="inlineStr">
        <is>
          <t>365 days</t>
        </is>
      </c>
      <c r="S3" s="6" t="inlineStr">
        <is>
          <t>Processed date</t>
        </is>
      </c>
      <c r="T3" s="6" t="inlineStr">
        <is>
          <t>120 days</t>
        </is>
      </c>
      <c r="U3" s="6" t="inlineStr">
        <is>
          <t>Processed date</t>
        </is>
      </c>
      <c r="V3" s="6" t="n"/>
      <c r="W3" s="6" t="n"/>
      <c r="X3" s="6" t="n"/>
      <c r="Y3" s="6" t="inlineStr">
        <is>
          <t>1</t>
        </is>
      </c>
      <c r="Z3" s="9" t="n">
        <v>976.64</v>
      </c>
      <c r="AA3" s="9" t="n">
        <v>846.88</v>
      </c>
      <c r="AB3" s="9" t="n">
        <v>101.35</v>
      </c>
      <c r="AC3" s="7" t="n">
        <v>46071</v>
      </c>
      <c r="AD3" s="9" t="n">
        <v>28.41</v>
      </c>
      <c r="AE3" s="5" t="n">
        <v>199</v>
      </c>
      <c r="AF3" s="6" t="inlineStr">
        <is>
          <t>F4322</t>
        </is>
      </c>
      <c r="AG3" s="6" t="n"/>
      <c r="AH3" s="6" t="n"/>
      <c r="AI3" s="6" t="n"/>
      <c r="AJ3" s="5" t="n">
        <v>550866344</v>
      </c>
      <c r="AK3" s="6" t="inlineStr">
        <is>
          <t>TURLEY, TODD</t>
        </is>
      </c>
      <c r="AL3" s="6" t="inlineStr">
        <is>
          <t>ASAP - DEER VALLEY</t>
        </is>
      </c>
      <c r="AM3" s="7" t="n">
        <v>46056</v>
      </c>
      <c r="AN3" s="6" t="inlineStr">
        <is>
          <t>BH</t>
        </is>
      </c>
      <c r="AO3" s="6" t="inlineStr">
        <is>
          <t>168</t>
        </is>
      </c>
    </row>
    <row r="4">
      <c r="A4" s="2" t="n"/>
      <c r="B4" s="3" t="n"/>
      <c r="C4" s="4" t="n">
        <v>46129</v>
      </c>
      <c r="D4" s="5" t="n">
        <v>555619522</v>
      </c>
      <c r="E4" s="6" t="inlineStr">
        <is>
          <t>HF436968693</t>
        </is>
      </c>
      <c r="F4" s="7" t="n">
        <v>46044</v>
      </c>
      <c r="G4" s="6" t="inlineStr">
        <is>
          <t>Medicare Part B Arizona *</t>
        </is>
      </c>
      <c r="H4" s="6" t="inlineStr">
        <is>
          <t>Medicare Part B Arizona *</t>
        </is>
      </c>
      <c r="I4" s="6" t="inlineStr">
        <is>
          <t>Mercy Care Plan (AHCCCS) - Complete Care &amp; Long Term Care (LTC)</t>
        </is>
      </c>
      <c r="J4" s="8" t="inlineStr">
        <is>
          <t>99494 x1; 99492 x1</t>
        </is>
      </c>
      <c r="K4" s="4" t="n"/>
      <c r="L4" s="5">
        <f>IF($O4="","",$O4-TODAY())</f>
        <v/>
      </c>
      <c r="M4" s="5">
        <f>IF($C4="","",$C4+365-TODAY())</f>
        <v/>
      </c>
      <c r="N4" s="5">
        <f>IF($C4="","",$C4+120-TODAY())</f>
        <v/>
      </c>
      <c r="O4" s="7" t="n">
        <v>46409</v>
      </c>
      <c r="P4" s="6" t="inlineStr">
        <is>
          <t>365 days</t>
        </is>
      </c>
      <c r="Q4" s="6" t="inlineStr">
        <is>
          <t>MEDICARE</t>
        </is>
      </c>
      <c r="R4" s="6" t="inlineStr">
        <is>
          <t>365 days</t>
        </is>
      </c>
      <c r="S4" s="6" t="inlineStr">
        <is>
          <t>Processed date</t>
        </is>
      </c>
      <c r="T4" s="6" t="inlineStr">
        <is>
          <t>120 days</t>
        </is>
      </c>
      <c r="U4" s="6" t="inlineStr">
        <is>
          <t>Processed date</t>
        </is>
      </c>
      <c r="V4" s="6" t="n"/>
      <c r="W4" s="6" t="n"/>
      <c r="X4" s="6" t="n"/>
      <c r="Y4" s="6" t="inlineStr">
        <is>
          <t>1</t>
        </is>
      </c>
      <c r="Z4" s="9" t="n">
        <v>1426.25</v>
      </c>
      <c r="AA4" s="9" t="n">
        <v>0</v>
      </c>
      <c r="AB4" s="9" t="n">
        <v>0</v>
      </c>
      <c r="AC4" s="7" t="n">
        <v>46129</v>
      </c>
      <c r="AD4" s="9" t="n">
        <v>1426.25</v>
      </c>
      <c r="AE4" s="5" t="n">
        <v>198</v>
      </c>
      <c r="AF4" s="6" t="inlineStr">
        <is>
          <t>F4320</t>
        </is>
      </c>
      <c r="AG4" s="6" t="n"/>
      <c r="AH4" s="6" t="n"/>
      <c r="AI4" s="6" t="n"/>
      <c r="AJ4" s="5" t="n"/>
      <c r="AK4" s="6" t="inlineStr">
        <is>
          <t>MEARS, CHAD</t>
        </is>
      </c>
      <c r="AL4" s="6" t="inlineStr">
        <is>
          <t>ASAP - DEER VALLEY</t>
        </is>
      </c>
      <c r="AM4" s="7" t="n">
        <v>46056</v>
      </c>
      <c r="AN4" s="6" t="inlineStr">
        <is>
          <t>BH</t>
        </is>
      </c>
      <c r="AO4" s="6" t="inlineStr">
        <is>
          <t>652, 653</t>
        </is>
      </c>
    </row>
    <row r="5">
      <c r="A5" s="2" t="inlineStr">
        <is>
          <t>Finalized</t>
        </is>
      </c>
      <c r="B5" s="3" t="n"/>
      <c r="C5" s="4" t="n">
        <v>46072</v>
      </c>
      <c r="D5" s="5" t="n">
        <v>547756234</v>
      </c>
      <c r="E5" s="6" t="inlineStr">
        <is>
          <t>HF411566237</t>
        </is>
      </c>
      <c r="F5" s="7" t="n">
        <v>46050</v>
      </c>
      <c r="G5" s="6" t="inlineStr">
        <is>
          <t>Blue Cross Blue Shield of Arizona</t>
        </is>
      </c>
      <c r="H5" s="6" t="inlineStr">
        <is>
          <t>Medicare Part B Arizona *</t>
        </is>
      </c>
      <c r="I5" s="6" t="inlineStr">
        <is>
          <t>Blue Cross Blue Shield of Arizona</t>
        </is>
      </c>
      <c r="J5" s="8" t="inlineStr">
        <is>
          <t>99493 x1</t>
        </is>
      </c>
      <c r="K5" s="4" t="n"/>
      <c r="L5" s="5">
        <f>IF($O5="","",$O5-TODAY())</f>
        <v/>
      </c>
      <c r="M5" s="5">
        <f>IF($C5="","",$C5+365-TODAY())</f>
        <v/>
      </c>
      <c r="N5" s="5">
        <f>IF($C5="","",$C5+120-TODAY())</f>
        <v/>
      </c>
      <c r="O5" s="7" t="n">
        <v>46415</v>
      </c>
      <c r="P5" s="6" t="inlineStr">
        <is>
          <t>365 days</t>
        </is>
      </c>
      <c r="Q5" s="6" t="inlineStr">
        <is>
          <t>MEDICARE</t>
        </is>
      </c>
      <c r="R5" s="6" t="inlineStr">
        <is>
          <t>365 days</t>
        </is>
      </c>
      <c r="S5" s="6" t="inlineStr">
        <is>
          <t>Processed date</t>
        </is>
      </c>
      <c r="T5" s="6" t="inlineStr">
        <is>
          <t>120 days</t>
        </is>
      </c>
      <c r="U5" s="6" t="inlineStr">
        <is>
          <t>Processed date</t>
        </is>
      </c>
      <c r="V5" s="6" t="n"/>
      <c r="W5" s="6" t="n"/>
      <c r="X5" s="6" t="n"/>
      <c r="Y5" s="6" t="inlineStr">
        <is>
          <t>1</t>
        </is>
      </c>
      <c r="Z5" s="9" t="n">
        <v>976.64</v>
      </c>
      <c r="AA5" s="9" t="n">
        <v>844.25</v>
      </c>
      <c r="AB5" s="9" t="n">
        <v>103.98</v>
      </c>
      <c r="AC5" s="7" t="n">
        <v>46072</v>
      </c>
      <c r="AD5" s="9" t="n">
        <v>28.41</v>
      </c>
      <c r="AE5" s="5" t="n">
        <v>192</v>
      </c>
      <c r="AF5" s="6" t="inlineStr">
        <is>
          <t>F411</t>
        </is>
      </c>
      <c r="AG5" s="6" t="n"/>
      <c r="AH5" s="6" t="n"/>
      <c r="AI5" s="6" t="n"/>
      <c r="AJ5" s="5" t="n">
        <v>550865889</v>
      </c>
      <c r="AK5" s="6" t="inlineStr">
        <is>
          <t>BURGHER, ABRAM</t>
        </is>
      </c>
      <c r="AL5" s="6" t="inlineStr">
        <is>
          <t>ASAP Peoria</t>
        </is>
      </c>
      <c r="AM5" s="7" t="n">
        <v>46057</v>
      </c>
      <c r="AN5" s="6" t="inlineStr">
        <is>
          <t>BH</t>
        </is>
      </c>
      <c r="AO5" s="6" t="inlineStr">
        <is>
          <t>98</t>
        </is>
      </c>
    </row>
    <row r="6">
      <c r="A6" s="2" t="n"/>
      <c r="B6" s="3" t="n"/>
      <c r="C6" s="4" t="n">
        <v>46142</v>
      </c>
      <c r="D6" s="5" t="n">
        <v>545332485</v>
      </c>
      <c r="E6" s="6" t="inlineStr">
        <is>
          <t>HF532613047</t>
        </is>
      </c>
      <c r="F6" s="7" t="n">
        <v>46028</v>
      </c>
      <c r="G6" s="6" t="inlineStr">
        <is>
          <t>United Healthcare</t>
        </is>
      </c>
      <c r="H6" s="6" t="inlineStr">
        <is>
          <t>United Healthcare</t>
        </is>
      </c>
      <c r="I6" s="6" t="inlineStr">
        <is>
          <t>No Payer</t>
        </is>
      </c>
      <c r="J6" s="8" t="inlineStr">
        <is>
          <t>99494 x1</t>
        </is>
      </c>
      <c r="K6" s="4" t="n"/>
      <c r="L6" s="5">
        <f>IF($O6="","",$O6-TODAY())</f>
        <v/>
      </c>
      <c r="M6" s="5">
        <f>IF($C6="","",$C6+180-TODAY())</f>
        <v/>
      </c>
      <c r="N6" s="5">
        <f>IF($C6="","",$C6+365-TODAY())</f>
        <v/>
      </c>
      <c r="O6" s="7" t="n">
        <v>46118</v>
      </c>
      <c r="P6" s="6" t="inlineStr">
        <is>
          <t>90 days</t>
        </is>
      </c>
      <c r="Q6" s="6" t="inlineStr">
        <is>
          <t>UHC COMMERCIAL</t>
        </is>
      </c>
      <c r="R6" s="6" t="inlineStr">
        <is>
          <t>180 days</t>
        </is>
      </c>
      <c r="S6" s="6" t="inlineStr">
        <is>
          <t>Processed date</t>
        </is>
      </c>
      <c r="T6" s="6" t="inlineStr">
        <is>
          <t>365 days</t>
        </is>
      </c>
      <c r="U6" s="6" t="inlineStr">
        <is>
          <t>Processed date</t>
        </is>
      </c>
      <c r="V6" s="6" t="n"/>
      <c r="W6" s="6" t="n"/>
      <c r="X6" s="6" t="n"/>
      <c r="Y6" s="6" t="inlineStr">
        <is>
          <t>1</t>
        </is>
      </c>
      <c r="Z6" s="9" t="n">
        <v>396.27</v>
      </c>
      <c r="AA6" s="9" t="n">
        <v>0</v>
      </c>
      <c r="AB6" s="9" t="n">
        <v>0</v>
      </c>
      <c r="AC6" s="7" t="n">
        <v>46142</v>
      </c>
      <c r="AD6" s="9" t="n">
        <v>396.27</v>
      </c>
      <c r="AE6" s="5" t="n">
        <v>214</v>
      </c>
      <c r="AF6" s="6" t="inlineStr">
        <is>
          <t>F4320</t>
        </is>
      </c>
      <c r="AG6" s="6" t="n"/>
      <c r="AH6" s="6" t="n"/>
      <c r="AI6" s="6" t="n"/>
      <c r="AJ6" s="5" t="n"/>
      <c r="AK6" s="6" t="inlineStr">
        <is>
          <t>MEARS, CHAD</t>
        </is>
      </c>
      <c r="AL6" s="6" t="inlineStr">
        <is>
          <t>ASAP Peoria</t>
        </is>
      </c>
      <c r="AM6" s="7" t="n">
        <v>46057</v>
      </c>
      <c r="AN6" s="6" t="inlineStr">
        <is>
          <t>BH</t>
        </is>
      </c>
      <c r="AO6" s="6" t="inlineStr">
        <is>
          <t>627</t>
        </is>
      </c>
    </row>
    <row r="7">
      <c r="A7" s="2" t="n"/>
      <c r="B7" s="3" t="n"/>
      <c r="C7" s="4" t="n">
        <v>46063</v>
      </c>
      <c r="D7" s="5" t="n">
        <v>545484752</v>
      </c>
      <c r="E7" s="6" t="inlineStr">
        <is>
          <t>HF331360774</t>
        </is>
      </c>
      <c r="F7" s="7" t="n">
        <v>46029</v>
      </c>
      <c r="G7" s="6" t="inlineStr">
        <is>
          <t>Blue Cross Blue Shield of Arizona (BCBS AZ)</t>
        </is>
      </c>
      <c r="H7" s="6" t="inlineStr">
        <is>
          <t>Blue Cross Blue Shield of Arizona (BCBS AZ)</t>
        </is>
      </c>
      <c r="I7" s="6" t="inlineStr">
        <is>
          <t>No Payer</t>
        </is>
      </c>
      <c r="J7" s="8" t="inlineStr">
        <is>
          <t>99494 x1; 99492 x1</t>
        </is>
      </c>
      <c r="K7" s="4" t="n"/>
      <c r="L7" s="5">
        <f>IF($O7="","",$O7-TODAY())</f>
        <v/>
      </c>
      <c r="M7" s="5">
        <f>IF($C7="","",$C7+365-TODAY())</f>
        <v/>
      </c>
      <c r="N7" s="5">
        <f>IF($C7="","",$C7+365-TODAY())</f>
        <v/>
      </c>
      <c r="O7" s="7" t="n">
        <v>46119</v>
      </c>
      <c r="P7" s="6" t="inlineStr">
        <is>
          <t>90 days</t>
        </is>
      </c>
      <c r="Q7" s="6" t="inlineStr">
        <is>
          <t>BCBS</t>
        </is>
      </c>
      <c r="R7" s="6" t="inlineStr">
        <is>
          <t>365 days</t>
        </is>
      </c>
      <c r="S7" s="6" t="inlineStr">
        <is>
          <t>Processed date</t>
        </is>
      </c>
      <c r="T7" s="6" t="inlineStr">
        <is>
          <t>365 days</t>
        </is>
      </c>
      <c r="U7" s="6" t="inlineStr">
        <is>
          <t>Processed date</t>
        </is>
      </c>
      <c r="V7" s="6" t="n"/>
      <c r="W7" s="6" t="n"/>
      <c r="X7" s="6" t="n"/>
      <c r="Y7" s="6" t="inlineStr">
        <is>
          <t>1</t>
        </is>
      </c>
      <c r="Z7" s="9" t="n">
        <v>1426.25</v>
      </c>
      <c r="AA7" s="9" t="n">
        <v>0</v>
      </c>
      <c r="AB7" s="9" t="n">
        <v>0</v>
      </c>
      <c r="AC7" s="7" t="n">
        <v>46063</v>
      </c>
      <c r="AD7" s="9" t="n">
        <v>1426.25</v>
      </c>
      <c r="AE7" s="5" t="n">
        <v>213</v>
      </c>
      <c r="AF7" s="6" t="inlineStr">
        <is>
          <t>F4320</t>
        </is>
      </c>
      <c r="AG7" s="6" t="n"/>
      <c r="AH7" s="6" t="n"/>
      <c r="AI7" s="6" t="n"/>
      <c r="AJ7" s="5" t="n"/>
      <c r="AK7" s="6" t="inlineStr">
        <is>
          <t>SARKAR, AWNIK</t>
        </is>
      </c>
      <c r="AL7" s="6" t="inlineStr">
        <is>
          <t>ASAP Peoria</t>
        </is>
      </c>
      <c r="AM7" s="7" t="n">
        <v>46057</v>
      </c>
      <c r="AN7" s="6" t="inlineStr">
        <is>
          <t>BH</t>
        </is>
      </c>
      <c r="AO7" s="6" t="inlineStr">
        <is>
          <t>119, 126</t>
        </is>
      </c>
    </row>
    <row r="8">
      <c r="A8" s="2" t="n"/>
      <c r="B8" s="3" t="n"/>
      <c r="C8" s="4" t="n">
        <v>46141</v>
      </c>
      <c r="D8" s="5" t="n">
        <v>545748574</v>
      </c>
      <c r="E8" s="6" t="inlineStr">
        <is>
          <t>HF537684538</t>
        </is>
      </c>
      <c r="F8" s="7" t="n">
        <v>46031</v>
      </c>
      <c r="G8" s="6" t="inlineStr">
        <is>
          <t>United Healthcare</t>
        </is>
      </c>
      <c r="H8" s="6" t="inlineStr">
        <is>
          <t>United Healthcare</t>
        </is>
      </c>
      <c r="I8" s="6" t="inlineStr">
        <is>
          <t>No Payer</t>
        </is>
      </c>
      <c r="J8" s="8" t="inlineStr">
        <is>
          <t>99494 x1; 99492 x1</t>
        </is>
      </c>
      <c r="K8" s="4" t="n"/>
      <c r="L8" s="5">
        <f>IF($O8="","",$O8-TODAY())</f>
        <v/>
      </c>
      <c r="M8" s="5">
        <f>IF($C8="","",$C8+180-TODAY())</f>
        <v/>
      </c>
      <c r="N8" s="5">
        <f>IF($C8="","",$C8+365-TODAY())</f>
        <v/>
      </c>
      <c r="O8" s="7" t="n">
        <v>46121</v>
      </c>
      <c r="P8" s="6" t="inlineStr">
        <is>
          <t>90 days</t>
        </is>
      </c>
      <c r="Q8" s="6" t="inlineStr">
        <is>
          <t>UHC COMMERCIAL</t>
        </is>
      </c>
      <c r="R8" s="6" t="inlineStr">
        <is>
          <t>180 days</t>
        </is>
      </c>
      <c r="S8" s="6" t="inlineStr">
        <is>
          <t>Processed date</t>
        </is>
      </c>
      <c r="T8" s="6" t="inlineStr">
        <is>
          <t>365 days</t>
        </is>
      </c>
      <c r="U8" s="6" t="inlineStr">
        <is>
          <t>Processed date</t>
        </is>
      </c>
      <c r="V8" s="6" t="n"/>
      <c r="W8" s="6" t="n"/>
      <c r="X8" s="6" t="n"/>
      <c r="Y8" s="6" t="inlineStr">
        <is>
          <t>1</t>
        </is>
      </c>
      <c r="Z8" s="9" t="n">
        <v>1426.25</v>
      </c>
      <c r="AA8" s="9" t="n">
        <v>0</v>
      </c>
      <c r="AB8" s="9" t="n">
        <v>0</v>
      </c>
      <c r="AC8" s="7" t="n">
        <v>46141</v>
      </c>
      <c r="AD8" s="9" t="n">
        <v>1426.25</v>
      </c>
      <c r="AE8" s="5" t="n">
        <v>211</v>
      </c>
      <c r="AF8" s="6" t="inlineStr">
        <is>
          <t>F4320</t>
        </is>
      </c>
      <c r="AG8" s="6" t="n"/>
      <c r="AH8" s="6" t="n"/>
      <c r="AI8" s="6" t="n"/>
      <c r="AJ8" s="5" t="n"/>
      <c r="AK8" s="6" t="inlineStr">
        <is>
          <t>TURLEY, TODD</t>
        </is>
      </c>
      <c r="AL8" s="6" t="inlineStr">
        <is>
          <t>ASAP Peoria</t>
        </is>
      </c>
      <c r="AM8" s="7" t="n">
        <v>46057</v>
      </c>
      <c r="AN8" s="6" t="inlineStr">
        <is>
          <t>BH</t>
        </is>
      </c>
      <c r="AO8" s="6" t="inlineStr">
        <is>
          <t>51, 52</t>
        </is>
      </c>
    </row>
    <row r="9">
      <c r="A9" s="2" t="n"/>
      <c r="B9" s="3" t="n"/>
      <c r="C9" s="4" t="n">
        <v>46133</v>
      </c>
      <c r="D9" s="5" t="n">
        <v>556348109</v>
      </c>
      <c r="E9" s="6" t="inlineStr">
        <is>
          <t>HF434792716</t>
        </is>
      </c>
      <c r="F9" s="7" t="n">
        <v>46036</v>
      </c>
      <c r="G9" s="6" t="inlineStr">
        <is>
          <t>Optum Care Medical Network of Arizona, Utah, &amp; Washington (LifePrint)</t>
        </is>
      </c>
      <c r="H9" s="6" t="inlineStr">
        <is>
          <t>Optum Care Medical Network of Arizona, Utah, &amp; Washington (LifePrint)</t>
        </is>
      </c>
      <c r="I9" s="6" t="inlineStr">
        <is>
          <t>No Payer</t>
        </is>
      </c>
      <c r="J9" s="8" t="inlineStr">
        <is>
          <t>99493 x1</t>
        </is>
      </c>
      <c r="K9" s="4" t="n"/>
      <c r="L9" s="5">
        <f>IF($O9="","",$O9-TODAY())</f>
        <v/>
      </c>
      <c r="M9" s="5">
        <f>IF($C9="","",$C9+365-TODAY())</f>
        <v/>
      </c>
      <c r="N9" s="5">
        <f>IF($C9="","",$C9+365-TODAY())</f>
        <v/>
      </c>
      <c r="O9" s="7" t="n">
        <v>46126</v>
      </c>
      <c r="P9" s="6" t="inlineStr">
        <is>
          <t>90 days</t>
        </is>
      </c>
      <c r="Q9" s="6" t="inlineStr">
        <is>
          <t>OPTUM</t>
        </is>
      </c>
      <c r="R9" s="6" t="inlineStr">
        <is>
          <t>365 days</t>
        </is>
      </c>
      <c r="S9" s="6" t="inlineStr">
        <is>
          <t>Processed date</t>
        </is>
      </c>
      <c r="T9" s="6" t="inlineStr">
        <is>
          <t>365 days</t>
        </is>
      </c>
      <c r="U9" s="6" t="inlineStr">
        <is>
          <t>Processed date</t>
        </is>
      </c>
      <c r="V9" s="6" t="n"/>
      <c r="W9" s="6" t="n"/>
      <c r="X9" s="6" t="n"/>
      <c r="Y9" s="6" t="inlineStr">
        <is>
          <t>1</t>
        </is>
      </c>
      <c r="Z9" s="9" t="n">
        <v>976.64</v>
      </c>
      <c r="AA9" s="9" t="n">
        <v>0</v>
      </c>
      <c r="AB9" s="9" t="n">
        <v>0</v>
      </c>
      <c r="AC9" s="7" t="n">
        <v>46133</v>
      </c>
      <c r="AD9" s="9" t="n">
        <v>976.64</v>
      </c>
      <c r="AE9" s="5" t="n">
        <v>206</v>
      </c>
      <c r="AF9" s="6" t="inlineStr">
        <is>
          <t>F1190</t>
        </is>
      </c>
      <c r="AG9" s="6" t="n"/>
      <c r="AH9" s="6" t="n"/>
      <c r="AI9" s="6" t="n"/>
      <c r="AJ9" s="5" t="n"/>
      <c r="AK9" s="6" t="inlineStr">
        <is>
          <t>LEATHEM, JARRETT</t>
        </is>
      </c>
      <c r="AL9" s="6" t="inlineStr">
        <is>
          <t>ASAP - Gilbert</t>
        </is>
      </c>
      <c r="AM9" s="7" t="n">
        <v>46057</v>
      </c>
      <c r="AN9" s="6" t="inlineStr">
        <is>
          <t>BH</t>
        </is>
      </c>
      <c r="AO9" s="6" t="inlineStr">
        <is>
          <t>715</t>
        </is>
      </c>
    </row>
    <row r="10">
      <c r="A10" s="2" t="n"/>
      <c r="B10" s="3" t="n"/>
      <c r="C10" s="4" t="n">
        <v>46064</v>
      </c>
      <c r="D10" s="5" t="n">
        <v>548015539</v>
      </c>
      <c r="E10" s="6" t="inlineStr">
        <is>
          <t>HF537685966</t>
        </is>
      </c>
      <c r="F10" s="7" t="n">
        <v>46043</v>
      </c>
      <c r="G10" s="6" t="inlineStr">
        <is>
          <t>Blue Cross Blue Shield of Arizona (BCBS AZ)</t>
        </is>
      </c>
      <c r="H10" s="6" t="inlineStr">
        <is>
          <t>Blue Cross Blue Shield of Arizona (BCBS AZ)</t>
        </is>
      </c>
      <c r="I10" s="6" t="inlineStr">
        <is>
          <t>Medicare Part B Arizona *</t>
        </is>
      </c>
      <c r="J10" s="8" t="inlineStr">
        <is>
          <t>99494 x1; 99492 x1</t>
        </is>
      </c>
      <c r="K10" s="4" t="n"/>
      <c r="L10" s="5">
        <f>IF($O10="","",$O10-TODAY())</f>
        <v/>
      </c>
      <c r="M10" s="5">
        <f>IF($C10="","",$C10+365-TODAY())</f>
        <v/>
      </c>
      <c r="N10" s="5">
        <f>IF($C10="","",$C10+365-TODAY())</f>
        <v/>
      </c>
      <c r="O10" s="7" t="n">
        <v>46133</v>
      </c>
      <c r="P10" s="6" t="inlineStr">
        <is>
          <t>90 days</t>
        </is>
      </c>
      <c r="Q10" s="6" t="inlineStr">
        <is>
          <t>BCBS</t>
        </is>
      </c>
      <c r="R10" s="6" t="inlineStr">
        <is>
          <t>365 days</t>
        </is>
      </c>
      <c r="S10" s="6" t="inlineStr">
        <is>
          <t>Processed date</t>
        </is>
      </c>
      <c r="T10" s="6" t="inlineStr">
        <is>
          <t>365 days</t>
        </is>
      </c>
      <c r="U10" s="6" t="inlineStr">
        <is>
          <t>Processed date</t>
        </is>
      </c>
      <c r="V10" s="6" t="n"/>
      <c r="W10" s="6" t="n"/>
      <c r="X10" s="6" t="n"/>
      <c r="Y10" s="6" t="inlineStr">
        <is>
          <t>1</t>
        </is>
      </c>
      <c r="Z10" s="9" t="n">
        <v>1426.25</v>
      </c>
      <c r="AA10" s="9" t="n">
        <v>0</v>
      </c>
      <c r="AB10" s="9" t="n">
        <v>0</v>
      </c>
      <c r="AC10" s="7" t="n">
        <v>46064</v>
      </c>
      <c r="AD10" s="9" t="n">
        <v>1426.25</v>
      </c>
      <c r="AE10" s="5" t="n">
        <v>199</v>
      </c>
      <c r="AF10" s="6" t="inlineStr">
        <is>
          <t>F330</t>
        </is>
      </c>
      <c r="AG10" s="6" t="n"/>
      <c r="AH10" s="6" t="n"/>
      <c r="AI10" s="6" t="n"/>
      <c r="AJ10" s="5" t="n"/>
      <c r="AK10" s="6" t="inlineStr">
        <is>
          <t>LEATHEM, JARRETT</t>
        </is>
      </c>
      <c r="AL10" s="6" t="inlineStr">
        <is>
          <t>ASAP - Gilbert</t>
        </is>
      </c>
      <c r="AM10" s="7" t="n">
        <v>46057</v>
      </c>
      <c r="AN10" s="6" t="inlineStr">
        <is>
          <t>BH</t>
        </is>
      </c>
      <c r="AO10" s="6" t="inlineStr">
        <is>
          <t>358, 359</t>
        </is>
      </c>
    </row>
    <row r="11">
      <c r="A11" s="2" t="inlineStr">
        <is>
          <t>Finalized</t>
        </is>
      </c>
      <c r="B11" s="3" t="n"/>
      <c r="C11" s="4" t="n">
        <v>46094</v>
      </c>
      <c r="D11" s="5" t="n">
        <v>547442681</v>
      </c>
      <c r="E11" s="6" t="inlineStr">
        <is>
          <t>HF359780591</t>
        </is>
      </c>
      <c r="F11" s="7" t="n">
        <v>46044</v>
      </c>
      <c r="G11" s="6" t="inlineStr">
        <is>
          <t>TRIADA GAP BENEFITS</t>
        </is>
      </c>
      <c r="H11" s="6" t="inlineStr">
        <is>
          <t>Blue Cross Blue Shield of Arizona (BCBS AZ)</t>
        </is>
      </c>
      <c r="I11" s="6" t="inlineStr">
        <is>
          <t>TRIADA GAP BENEFITS</t>
        </is>
      </c>
      <c r="J11" s="8" t="inlineStr">
        <is>
          <t>99493 x1</t>
        </is>
      </c>
      <c r="K11" s="4" t="n"/>
      <c r="L11" s="5">
        <f>IF($O11="","",$O11-TODAY())</f>
        <v/>
      </c>
      <c r="M11" s="5">
        <f>IF($C11="","",$C11+365-TODAY())</f>
        <v/>
      </c>
      <c r="N11" s="5">
        <f>IF($C11="","",$C11+365-TODAY())</f>
        <v/>
      </c>
      <c r="O11" s="7" t="n">
        <v>46134</v>
      </c>
      <c r="P11" s="6" t="inlineStr">
        <is>
          <t>90 days</t>
        </is>
      </c>
      <c r="Q11" s="6" t="inlineStr">
        <is>
          <t>BCBS</t>
        </is>
      </c>
      <c r="R11" s="6" t="inlineStr">
        <is>
          <t>365 days</t>
        </is>
      </c>
      <c r="S11" s="6" t="inlineStr">
        <is>
          <t>Processed date</t>
        </is>
      </c>
      <c r="T11" s="6" t="inlineStr">
        <is>
          <t>365 days</t>
        </is>
      </c>
      <c r="U11" s="6" t="inlineStr">
        <is>
          <t>Processed date</t>
        </is>
      </c>
      <c r="V11" s="6" t="n"/>
      <c r="W11" s="6" t="n"/>
      <c r="X11" s="6" t="n"/>
      <c r="Y11" s="6" t="inlineStr">
        <is>
          <t>1</t>
        </is>
      </c>
      <c r="Z11" s="9" t="n">
        <v>976.64</v>
      </c>
      <c r="AA11" s="9" t="n">
        <v>840.66</v>
      </c>
      <c r="AB11" s="9" t="n">
        <v>0</v>
      </c>
      <c r="AC11" s="7" t="n">
        <v>46094</v>
      </c>
      <c r="AD11" s="9" t="n">
        <v>135.98</v>
      </c>
      <c r="AE11" s="5" t="n">
        <v>198</v>
      </c>
      <c r="AF11" s="6" t="inlineStr">
        <is>
          <t>F411</t>
        </is>
      </c>
      <c r="AG11" s="6" t="n"/>
      <c r="AH11" s="6" t="n"/>
      <c r="AI11" s="6" t="n"/>
      <c r="AJ11" s="5" t="n">
        <v>556556161</v>
      </c>
      <c r="AK11" s="6" t="inlineStr">
        <is>
          <t>LEATHEM, JARRETT</t>
        </is>
      </c>
      <c r="AL11" s="6" t="inlineStr">
        <is>
          <t>ASAP - DEER VALLEY</t>
        </is>
      </c>
      <c r="AM11" s="7" t="n">
        <v>46056</v>
      </c>
      <c r="AN11" s="6" t="inlineStr">
        <is>
          <t>BH</t>
        </is>
      </c>
      <c r="AO11" s="6" t="inlineStr">
        <is>
          <t>158</t>
        </is>
      </c>
    </row>
    <row r="12">
      <c r="A12" s="2" t="n"/>
      <c r="B12" s="3" t="n"/>
      <c r="C12" s="4" t="n">
        <v>46128</v>
      </c>
      <c r="D12" s="5" t="n">
        <v>555599776</v>
      </c>
      <c r="E12" s="6" t="inlineStr">
        <is>
          <t>HF475536429</t>
        </is>
      </c>
      <c r="F12" s="7" t="n">
        <v>46049</v>
      </c>
      <c r="G12" s="6" t="inlineStr">
        <is>
          <t>Blue Cross Blue Shield of Arizona (BCBS AZ)</t>
        </is>
      </c>
      <c r="H12" s="6" t="inlineStr">
        <is>
          <t>Blue Cross Blue Shield of Arizona (BCBS AZ)</t>
        </is>
      </c>
      <c r="I12" s="6" t="inlineStr">
        <is>
          <t>No Payer</t>
        </is>
      </c>
      <c r="J12" s="8" t="inlineStr">
        <is>
          <t>99492 x1; 99494 x1</t>
        </is>
      </c>
      <c r="K12" s="4" t="n"/>
      <c r="L12" s="5">
        <f>IF($O12="","",$O12-TODAY())</f>
        <v/>
      </c>
      <c r="M12" s="5">
        <f>IF($C12="","",$C12+365-TODAY())</f>
        <v/>
      </c>
      <c r="N12" s="5">
        <f>IF($C12="","",$C12+365-TODAY())</f>
        <v/>
      </c>
      <c r="O12" s="7" t="n">
        <v>46139</v>
      </c>
      <c r="P12" s="6" t="inlineStr">
        <is>
          <t>90 days</t>
        </is>
      </c>
      <c r="Q12" s="6" t="inlineStr">
        <is>
          <t>BCBS</t>
        </is>
      </c>
      <c r="R12" s="6" t="inlineStr">
        <is>
          <t>365 days</t>
        </is>
      </c>
      <c r="S12" s="6" t="inlineStr">
        <is>
          <t>Processed date</t>
        </is>
      </c>
      <c r="T12" s="6" t="inlineStr">
        <is>
          <t>365 days</t>
        </is>
      </c>
      <c r="U12" s="6" t="inlineStr">
        <is>
          <t>Processed date</t>
        </is>
      </c>
      <c r="V12" s="6" t="n"/>
      <c r="W12" s="6" t="n"/>
      <c r="X12" s="6" t="n"/>
      <c r="Y12" s="6" t="inlineStr">
        <is>
          <t>1</t>
        </is>
      </c>
      <c r="Z12" s="9" t="n">
        <v>1426.25</v>
      </c>
      <c r="AA12" s="9" t="n">
        <v>0</v>
      </c>
      <c r="AB12" s="9" t="n">
        <v>0</v>
      </c>
      <c r="AC12" s="7" t="n">
        <v>46128</v>
      </c>
      <c r="AD12" s="9" t="n">
        <v>1426.25</v>
      </c>
      <c r="AE12" s="5" t="n">
        <v>193</v>
      </c>
      <c r="AF12" s="6" t="inlineStr">
        <is>
          <t>F4320</t>
        </is>
      </c>
      <c r="AG12" s="6" t="n"/>
      <c r="AH12" s="6" t="n"/>
      <c r="AI12" s="6" t="n"/>
      <c r="AJ12" s="5" t="n"/>
      <c r="AK12" s="6" t="inlineStr">
        <is>
          <t>O'NEIL, ROY</t>
        </is>
      </c>
      <c r="AL12" s="6" t="inlineStr">
        <is>
          <t>ASAP Peoria</t>
        </is>
      </c>
      <c r="AM12" s="7" t="n">
        <v>46057</v>
      </c>
      <c r="AN12" s="6" t="inlineStr">
        <is>
          <t>BH</t>
        </is>
      </c>
      <c r="AO12" s="6" t="inlineStr">
        <is>
          <t>713, 714</t>
        </is>
      </c>
    </row>
    <row r="13">
      <c r="A13" s="2" t="n"/>
      <c r="B13" s="3" t="n"/>
      <c r="C13" s="4" t="n">
        <v>46133</v>
      </c>
      <c r="D13" s="5" t="n">
        <v>556349314</v>
      </c>
      <c r="E13" s="6" t="inlineStr">
        <is>
          <t>HF431164004</t>
        </is>
      </c>
      <c r="F13" s="7" t="n">
        <v>46049</v>
      </c>
      <c r="G13" s="6" t="inlineStr">
        <is>
          <t>Optum Care Medical Network of Arizona, Utah, &amp; Washington (LifePrint)</t>
        </is>
      </c>
      <c r="H13" s="6" t="inlineStr">
        <is>
          <t>Optum Care Medical Network of Arizona, Utah, &amp; Washington (LifePrint)</t>
        </is>
      </c>
      <c r="I13" s="6" t="inlineStr">
        <is>
          <t>No Payer</t>
        </is>
      </c>
      <c r="J13" s="8" t="inlineStr">
        <is>
          <t>99493 x1</t>
        </is>
      </c>
      <c r="K13" s="4" t="n"/>
      <c r="L13" s="5">
        <f>IF($O13="","",$O13-TODAY())</f>
        <v/>
      </c>
      <c r="M13" s="5">
        <f>IF($C13="","",$C13+365-TODAY())</f>
        <v/>
      </c>
      <c r="N13" s="5">
        <f>IF($C13="","",$C13+365-TODAY())</f>
        <v/>
      </c>
      <c r="O13" s="7" t="n">
        <v>46139</v>
      </c>
      <c r="P13" s="6" t="inlineStr">
        <is>
          <t>90 days</t>
        </is>
      </c>
      <c r="Q13" s="6" t="inlineStr">
        <is>
          <t>OPTUM</t>
        </is>
      </c>
      <c r="R13" s="6" t="inlineStr">
        <is>
          <t>365 days</t>
        </is>
      </c>
      <c r="S13" s="6" t="inlineStr">
        <is>
          <t>Processed date</t>
        </is>
      </c>
      <c r="T13" s="6" t="inlineStr">
        <is>
          <t>365 days</t>
        </is>
      </c>
      <c r="U13" s="6" t="inlineStr">
        <is>
          <t>Processed date</t>
        </is>
      </c>
      <c r="V13" s="6" t="n"/>
      <c r="W13" s="6" t="n"/>
      <c r="X13" s="6" t="n"/>
      <c r="Y13" s="6" t="inlineStr">
        <is>
          <t>1</t>
        </is>
      </c>
      <c r="Z13" s="9" t="n">
        <v>976.64</v>
      </c>
      <c r="AA13" s="9" t="n">
        <v>0</v>
      </c>
      <c r="AB13" s="9" t="n">
        <v>0</v>
      </c>
      <c r="AC13" s="7" t="n">
        <v>46133</v>
      </c>
      <c r="AD13" s="9" t="n">
        <v>976.64</v>
      </c>
      <c r="AE13" s="5" t="n">
        <v>193</v>
      </c>
      <c r="AF13" s="6" t="inlineStr">
        <is>
          <t>F331</t>
        </is>
      </c>
      <c r="AG13" s="6" t="inlineStr">
        <is>
          <t>F411</t>
        </is>
      </c>
      <c r="AH13" s="6" t="n"/>
      <c r="AI13" s="6" t="n"/>
      <c r="AJ13" s="5" t="n"/>
      <c r="AK13" s="6" t="inlineStr">
        <is>
          <t>O'NEIL, ROY</t>
        </is>
      </c>
      <c r="AL13" s="6" t="inlineStr">
        <is>
          <t>ASAP - Goodyear</t>
        </is>
      </c>
      <c r="AM13" s="7" t="n">
        <v>46056</v>
      </c>
      <c r="AN13" s="6" t="inlineStr">
        <is>
          <t>BH</t>
        </is>
      </c>
      <c r="AO13" s="6" t="inlineStr">
        <is>
          <t>471</t>
        </is>
      </c>
    </row>
    <row r="14">
      <c r="A14" s="2" t="n"/>
      <c r="B14" s="3" t="n"/>
      <c r="C14" s="4" t="n">
        <v>46066</v>
      </c>
      <c r="D14" s="5" t="n">
        <v>547976909</v>
      </c>
      <c r="E14" s="6" t="inlineStr">
        <is>
          <t>HF535417942</t>
        </is>
      </c>
      <c r="F14" s="7" t="n">
        <v>46051</v>
      </c>
      <c r="G14" s="6" t="inlineStr">
        <is>
          <t>Blue Cross Blue Shield of Arizona (BCBS AZ)</t>
        </is>
      </c>
      <c r="H14" s="6" t="inlineStr">
        <is>
          <t>Blue Cross Blue Shield of Arizona (BCBS AZ)</t>
        </is>
      </c>
      <c r="I14" s="6" t="inlineStr">
        <is>
          <t>LIEN 05</t>
        </is>
      </c>
      <c r="J14" s="8" t="inlineStr">
        <is>
          <t>99493 x1</t>
        </is>
      </c>
      <c r="K14" s="4" t="n"/>
      <c r="L14" s="5">
        <f>IF($O14="","",$O14-TODAY())</f>
        <v/>
      </c>
      <c r="M14" s="5">
        <f>IF($C14="","",$C14+365-TODAY())</f>
        <v/>
      </c>
      <c r="N14" s="5">
        <f>IF($C14="","",$C14+365-TODAY())</f>
        <v/>
      </c>
      <c r="O14" s="7" t="n">
        <v>46141</v>
      </c>
      <c r="P14" s="6" t="inlineStr">
        <is>
          <t>90 days</t>
        </is>
      </c>
      <c r="Q14" s="6" t="inlineStr">
        <is>
          <t>BCBS</t>
        </is>
      </c>
      <c r="R14" s="6" t="inlineStr">
        <is>
          <t>365 days</t>
        </is>
      </c>
      <c r="S14" s="6" t="inlineStr">
        <is>
          <t>Processed date</t>
        </is>
      </c>
      <c r="T14" s="6" t="inlineStr">
        <is>
          <t>365 days</t>
        </is>
      </c>
      <c r="U14" s="6" t="inlineStr">
        <is>
          <t>Processed date</t>
        </is>
      </c>
      <c r="V14" s="6" t="n"/>
      <c r="W14" s="6" t="n"/>
      <c r="X14" s="6" t="n"/>
      <c r="Y14" s="6" t="inlineStr">
        <is>
          <t>1</t>
        </is>
      </c>
      <c r="Z14" s="9" t="n">
        <v>976.64</v>
      </c>
      <c r="AA14" s="9" t="n">
        <v>0</v>
      </c>
      <c r="AB14" s="9" t="n">
        <v>0</v>
      </c>
      <c r="AC14" s="7" t="n">
        <v>46066</v>
      </c>
      <c r="AD14" s="9" t="n">
        <v>976.64</v>
      </c>
      <c r="AE14" s="5" t="n">
        <v>191</v>
      </c>
      <c r="AF14" s="6" t="inlineStr">
        <is>
          <t>F4323</t>
        </is>
      </c>
      <c r="AG14" s="6" t="n"/>
      <c r="AH14" s="6" t="n"/>
      <c r="AI14" s="6" t="n"/>
      <c r="AJ14" s="5" t="n"/>
      <c r="AK14" s="6" t="inlineStr">
        <is>
          <t>TURLEY, TODD</t>
        </is>
      </c>
      <c r="AL14" s="6" t="inlineStr">
        <is>
          <t>ASAP - DEER VALLEY</t>
        </is>
      </c>
      <c r="AM14" s="7" t="n">
        <v>46056</v>
      </c>
      <c r="AN14" s="6" t="inlineStr">
        <is>
          <t>BH</t>
        </is>
      </c>
      <c r="AO14" s="6" t="inlineStr">
        <is>
          <t>666</t>
        </is>
      </c>
    </row>
    <row r="15">
      <c r="A15" s="2" t="n"/>
      <c r="B15" s="3" t="n"/>
      <c r="C15" s="4" t="n">
        <v>46098</v>
      </c>
      <c r="D15" s="5" t="n">
        <v>557090486</v>
      </c>
      <c r="E15" s="6" t="inlineStr">
        <is>
          <t>HF342585384</t>
        </is>
      </c>
      <c r="F15" s="7" t="n">
        <v>46036</v>
      </c>
      <c r="G15" s="6" t="inlineStr">
        <is>
          <t>TRIWEST VA CCN CLAIMS</t>
        </is>
      </c>
      <c r="H15" s="6" t="inlineStr">
        <is>
          <t>TRIWEST VA CCN CLAIMS</t>
        </is>
      </c>
      <c r="I15" s="6" t="inlineStr">
        <is>
          <t>No Payer</t>
        </is>
      </c>
      <c r="J15" s="8" t="inlineStr">
        <is>
          <t>99494 x2; 99493 x1</t>
        </is>
      </c>
      <c r="K15" s="4" t="n"/>
      <c r="L15" s="5">
        <f>IF($O15="","",$O15-TODAY())</f>
        <v/>
      </c>
      <c r="M15" s="5">
        <f>IF($C15="","",$C15+365-TODAY())</f>
        <v/>
      </c>
      <c r="N15" s="5">
        <f>IF($C15="","",$C15+90-TODAY())</f>
        <v/>
      </c>
      <c r="O15" s="7" t="n">
        <v>46156</v>
      </c>
      <c r="P15" s="6" t="inlineStr">
        <is>
          <t>120 days</t>
        </is>
      </c>
      <c r="Q15" s="6" t="inlineStr">
        <is>
          <t>TRIWEST</t>
        </is>
      </c>
      <c r="R15" s="6" t="inlineStr">
        <is>
          <t>365 days</t>
        </is>
      </c>
      <c r="S15" s="6" t="inlineStr">
        <is>
          <t>Processed date</t>
        </is>
      </c>
      <c r="T15" s="6" t="inlineStr">
        <is>
          <t>90 days</t>
        </is>
      </c>
      <c r="U15" s="6" t="inlineStr">
        <is>
          <t>Processed date</t>
        </is>
      </c>
      <c r="V15" s="6" t="n"/>
      <c r="W15" s="6" t="n"/>
      <c r="X15" s="6" t="n"/>
      <c r="Y15" s="6" t="inlineStr">
        <is>
          <t>2, 1</t>
        </is>
      </c>
      <c r="Z15" s="9" t="n">
        <v>1769.18</v>
      </c>
      <c r="AA15" s="9" t="n">
        <v>0</v>
      </c>
      <c r="AB15" s="9" t="n">
        <v>0</v>
      </c>
      <c r="AC15" s="7" t="n">
        <v>46098</v>
      </c>
      <c r="AD15" s="9" t="n">
        <v>1769.18</v>
      </c>
      <c r="AE15" s="5" t="n">
        <v>206</v>
      </c>
      <c r="AF15" s="6" t="inlineStr">
        <is>
          <t>F332</t>
        </is>
      </c>
      <c r="AG15" s="6" t="n"/>
      <c r="AH15" s="6" t="n"/>
      <c r="AI15" s="6" t="n"/>
      <c r="AJ15" s="5" t="n"/>
      <c r="AK15" s="6" t="inlineStr">
        <is>
          <t>TURLEY, TODD</t>
        </is>
      </c>
      <c r="AL15" s="6" t="inlineStr">
        <is>
          <t>ASAP - DEER VALLEY</t>
        </is>
      </c>
      <c r="AM15" s="7" t="n">
        <v>46056</v>
      </c>
      <c r="AN15" s="6" t="inlineStr">
        <is>
          <t>BH</t>
        </is>
      </c>
      <c r="AO15" s="6" t="inlineStr">
        <is>
          <t>638, 639</t>
        </is>
      </c>
    </row>
    <row r="16">
      <c r="A16" s="2" t="n"/>
      <c r="B16" s="3" t="n"/>
      <c r="C16" s="4" t="n">
        <v>46070</v>
      </c>
      <c r="D16" s="5" t="n">
        <v>565238310</v>
      </c>
      <c r="E16" s="6" t="inlineStr">
        <is>
          <t>HF524312806</t>
        </is>
      </c>
      <c r="F16" s="7" t="n">
        <v>46045</v>
      </c>
      <c r="G16" s="6" t="inlineStr">
        <is>
          <t>Medica Health Plan Solutions (Mayo Plan - CHI Health)</t>
        </is>
      </c>
      <c r="H16" s="6" t="inlineStr">
        <is>
          <t>Medica Health Plan Solutions (Mayo Plan - CHI Health)</t>
        </is>
      </c>
      <c r="I16" s="6" t="inlineStr">
        <is>
          <t>No Payer</t>
        </is>
      </c>
      <c r="J16" s="8" t="inlineStr">
        <is>
          <t>99492 x1; 99494 x1</t>
        </is>
      </c>
      <c r="K16" s="4" t="n"/>
      <c r="L16" s="5">
        <f>IF($O16="","",$O16-TODAY())</f>
        <v/>
      </c>
      <c r="M16" s="5">
        <f>IF($C16="","",$C16+365-TODAY())</f>
        <v/>
      </c>
      <c r="N16" s="5">
        <f>IF($C16="","",$C16+365-TODAY())</f>
        <v/>
      </c>
      <c r="O16" s="7" t="n">
        <v>46225</v>
      </c>
      <c r="P16" s="6" t="inlineStr">
        <is>
          <t>180 days</t>
        </is>
      </c>
      <c r="Q16" s="6" t="inlineStr">
        <is>
          <t>MEDICA</t>
        </is>
      </c>
      <c r="R16" s="6" t="inlineStr">
        <is>
          <t>365 days</t>
        </is>
      </c>
      <c r="S16" s="6" t="inlineStr">
        <is>
          <t>Processed date</t>
        </is>
      </c>
      <c r="T16" s="6" t="inlineStr">
        <is>
          <t>365 days</t>
        </is>
      </c>
      <c r="U16" s="6" t="inlineStr">
        <is>
          <t>Processed date</t>
        </is>
      </c>
      <c r="V16" s="6" t="n"/>
      <c r="W16" s="6" t="n"/>
      <c r="X16" s="6" t="n"/>
      <c r="Y16" s="6" t="inlineStr">
        <is>
          <t>1</t>
        </is>
      </c>
      <c r="Z16" s="9" t="n">
        <v>1426.25</v>
      </c>
      <c r="AA16" s="9" t="n">
        <v>0</v>
      </c>
      <c r="AB16" s="9" t="n">
        <v>0</v>
      </c>
      <c r="AC16" s="7" t="n">
        <v>46070</v>
      </c>
      <c r="AD16" s="9" t="n">
        <v>1426.25</v>
      </c>
      <c r="AE16" s="5" t="n">
        <v>197</v>
      </c>
      <c r="AF16" s="6" t="inlineStr">
        <is>
          <t>F411</t>
        </is>
      </c>
      <c r="AG16" s="6" t="n"/>
      <c r="AH16" s="6" t="n"/>
      <c r="AI16" s="6" t="n"/>
      <c r="AJ16" s="5" t="n"/>
      <c r="AK16" s="6" t="inlineStr">
        <is>
          <t>MEARS, CHAD</t>
        </is>
      </c>
      <c r="AL16" s="6" t="inlineStr">
        <is>
          <t>ASAP - Gilbert</t>
        </is>
      </c>
      <c r="AM16" s="7" t="n">
        <v>46057</v>
      </c>
      <c r="AN16" s="6" t="inlineStr">
        <is>
          <t>BH</t>
        </is>
      </c>
      <c r="AO16" s="6" t="inlineStr">
        <is>
          <t>540, 541</t>
        </is>
      </c>
    </row>
    <row r="17">
      <c r="A17" s="2" t="n"/>
      <c r="B17" s="3" t="n"/>
      <c r="C17" s="4" t="n">
        <v>46198</v>
      </c>
      <c r="D17" s="5" t="n">
        <v>566830437</v>
      </c>
      <c r="E17" s="6" t="inlineStr">
        <is>
          <t>HF453012792</t>
        </is>
      </c>
      <c r="F17" s="7" t="n">
        <v>46050</v>
      </c>
      <c r="G17" s="6" t="inlineStr">
        <is>
          <t>Health Choice Arizona</t>
        </is>
      </c>
      <c r="H17" s="6" t="inlineStr">
        <is>
          <t>Health Choice Arizona</t>
        </is>
      </c>
      <c r="I17" s="6" t="inlineStr">
        <is>
          <t>No Payer</t>
        </is>
      </c>
      <c r="J17" s="8" t="inlineStr">
        <is>
          <t>99494 x1; 99493 x1</t>
        </is>
      </c>
      <c r="K17" s="4" t="n"/>
      <c r="L17" s="5">
        <f>IF($O17="","",$O17-TODAY())</f>
        <v/>
      </c>
      <c r="M17" s="5">
        <f>IF($F17="","",$F17+365-TODAY())</f>
        <v/>
      </c>
      <c r="N17" s="5">
        <f>IF($F17="","",$F17+365-TODAY())</f>
        <v/>
      </c>
      <c r="O17" s="7" t="n">
        <v>46230</v>
      </c>
      <c r="P17" s="6" t="inlineStr">
        <is>
          <t>180 days</t>
        </is>
      </c>
      <c r="Q17" s="6" t="inlineStr">
        <is>
          <t>HEALTH CHOICE MEDICAID</t>
        </is>
      </c>
      <c r="R17" s="6" t="inlineStr">
        <is>
          <t>365 days</t>
        </is>
      </c>
      <c r="S17" s="6" t="inlineStr">
        <is>
          <t>Date of service</t>
        </is>
      </c>
      <c r="T17" s="6" t="inlineStr">
        <is>
          <t>365 days</t>
        </is>
      </c>
      <c r="U17" s="6" t="inlineStr">
        <is>
          <t>Date of service</t>
        </is>
      </c>
      <c r="V17" s="6" t="n"/>
      <c r="W17" s="6" t="n"/>
      <c r="X17" s="6" t="n"/>
      <c r="Y17" s="6" t="inlineStr">
        <is>
          <t>1</t>
        </is>
      </c>
      <c r="Z17" s="9" t="n">
        <v>1372.91</v>
      </c>
      <c r="AA17" s="9" t="n">
        <v>0</v>
      </c>
      <c r="AB17" s="9" t="n">
        <v>0</v>
      </c>
      <c r="AC17" s="7" t="n">
        <v>46198</v>
      </c>
      <c r="AD17" s="9" t="n">
        <v>1372.91</v>
      </c>
      <c r="AE17" s="5" t="n">
        <v>192</v>
      </c>
      <c r="AF17" s="6" t="inlineStr">
        <is>
          <t>F411</t>
        </is>
      </c>
      <c r="AG17" s="6" t="n"/>
      <c r="AH17" s="6" t="n"/>
      <c r="AI17" s="6" t="n"/>
      <c r="AJ17" s="5" t="n"/>
      <c r="AK17" s="6" t="inlineStr">
        <is>
          <t>LEATHEM, JARRETT</t>
        </is>
      </c>
      <c r="AL17" s="6" t="inlineStr">
        <is>
          <t>ASAP - Gilbert</t>
        </is>
      </c>
      <c r="AM17" s="7" t="n">
        <v>46188</v>
      </c>
      <c r="AN17" s="6" t="inlineStr">
        <is>
          <t>BH</t>
        </is>
      </c>
      <c r="AO17" s="6" t="inlineStr">
        <is>
          <t>939, 940</t>
        </is>
      </c>
    </row>
  </sheetData>
  <autoFilter ref="A1:AO17"/>
  <conditionalFormatting sqref="L2:L17">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7">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7">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7">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O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n"/>
      <c r="B2" s="3" t="n"/>
      <c r="C2" s="4" t="n">
        <v>46148</v>
      </c>
      <c r="D2" s="5" t="n">
        <v>546188740</v>
      </c>
      <c r="E2" s="6" t="inlineStr">
        <is>
          <t>HF355458320</t>
        </is>
      </c>
      <c r="F2" s="7" t="n">
        <v>46031</v>
      </c>
      <c r="G2" s="6" t="inlineStr">
        <is>
          <t>DME Region D</t>
        </is>
      </c>
      <c r="H2" s="6" t="inlineStr">
        <is>
          <t>DME Region D</t>
        </is>
      </c>
      <c r="I2" s="6" t="inlineStr">
        <is>
          <t>CIGNA MEDICARE SUPPLEMENT INSURANCE</t>
        </is>
      </c>
      <c r="J2" s="8" t="inlineStr">
        <is>
          <t>A6010+A1 x10</t>
        </is>
      </c>
      <c r="K2" s="4" t="n"/>
      <c r="L2" s="5">
        <f>IF($O2="","",$O2-TODAY())</f>
        <v/>
      </c>
      <c r="M2" s="5">
        <f>IF($C2="","",$C2+365-TODAY())</f>
        <v/>
      </c>
      <c r="N2" s="5">
        <f>IF($C2="","",$C2+120-TODAY())</f>
        <v/>
      </c>
      <c r="O2" s="7" t="n">
        <v>46396</v>
      </c>
      <c r="P2" s="6" t="inlineStr">
        <is>
          <t>365 days</t>
        </is>
      </c>
      <c r="Q2" s="6" t="inlineStr">
        <is>
          <t>MEDICARE</t>
        </is>
      </c>
      <c r="R2" s="6" t="inlineStr">
        <is>
          <t>365 days</t>
        </is>
      </c>
      <c r="S2" s="6" t="inlineStr">
        <is>
          <t>Processed date</t>
        </is>
      </c>
      <c r="T2" s="6" t="inlineStr">
        <is>
          <t>120 days</t>
        </is>
      </c>
      <c r="U2" s="6" t="inlineStr">
        <is>
          <t>Processed date</t>
        </is>
      </c>
      <c r="V2" s="6" t="inlineStr">
        <is>
          <t>A1</t>
        </is>
      </c>
      <c r="W2" s="6" t="n"/>
      <c r="X2" s="6" t="n"/>
      <c r="Y2" s="6" t="inlineStr">
        <is>
          <t>10</t>
        </is>
      </c>
      <c r="Z2" s="9" t="n">
        <v>2958.2</v>
      </c>
      <c r="AA2" s="9" t="n">
        <v>0</v>
      </c>
      <c r="AB2" s="9" t="n">
        <v>0</v>
      </c>
      <c r="AC2" s="7" t="n">
        <v>46148</v>
      </c>
      <c r="AD2" s="9" t="n">
        <v>2958.2</v>
      </c>
      <c r="AE2" s="5" t="n">
        <v>211</v>
      </c>
      <c r="AF2" s="6" t="inlineStr">
        <is>
          <t>G894</t>
        </is>
      </c>
      <c r="AG2" s="6" t="inlineStr">
        <is>
          <t>M5416</t>
        </is>
      </c>
      <c r="AH2" s="6" t="n"/>
      <c r="AI2" s="6" t="n"/>
      <c r="AJ2" s="5" t="n"/>
      <c r="AK2" s="6" t="inlineStr">
        <is>
          <t>Advanced Spine and Pain LLC DME PEO</t>
        </is>
      </c>
      <c r="AL2" s="6" t="inlineStr">
        <is>
          <t>Advanced Spine and Pain LLC DME - Peoria</t>
        </is>
      </c>
      <c r="AM2" s="7" t="n">
        <v>46036</v>
      </c>
      <c r="AN2" s="6" t="inlineStr">
        <is>
          <t>DME</t>
        </is>
      </c>
      <c r="AO2" s="6" t="inlineStr">
        <is>
          <t>32</t>
        </is>
      </c>
    </row>
    <row r="3">
      <c r="A3" s="2" t="n"/>
      <c r="B3" s="3" t="n"/>
      <c r="C3" s="4" t="n">
        <v>46160</v>
      </c>
      <c r="D3" s="5" t="n">
        <v>557650217</v>
      </c>
      <c r="E3" s="6" t="inlineStr">
        <is>
          <t>HF495505953</t>
        </is>
      </c>
      <c r="F3" s="7" t="n">
        <v>46031</v>
      </c>
      <c r="G3" s="6" t="inlineStr">
        <is>
          <t>DME Region D</t>
        </is>
      </c>
      <c r="H3" s="6" t="inlineStr">
        <is>
          <t>DME Region D</t>
        </is>
      </c>
      <c r="I3" s="6" t="inlineStr">
        <is>
          <t>Tricare for Life (All Regions)</t>
        </is>
      </c>
      <c r="J3" s="8" t="inlineStr">
        <is>
          <t>L0648+KX x1</t>
        </is>
      </c>
      <c r="K3" s="4" t="n"/>
      <c r="L3" s="5">
        <f>IF($O3="","",$O3-TODAY())</f>
        <v/>
      </c>
      <c r="M3" s="5">
        <f>IF($C3="","",$C3+365-TODAY())</f>
        <v/>
      </c>
      <c r="N3" s="5">
        <f>IF($C3="","",$C3+120-TODAY())</f>
        <v/>
      </c>
      <c r="O3" s="7" t="n">
        <v>46396</v>
      </c>
      <c r="P3" s="6" t="inlineStr">
        <is>
          <t>365 days</t>
        </is>
      </c>
      <c r="Q3" s="6" t="inlineStr">
        <is>
          <t>MEDICARE</t>
        </is>
      </c>
      <c r="R3" s="6" t="inlineStr">
        <is>
          <t>365 days</t>
        </is>
      </c>
      <c r="S3" s="6" t="inlineStr">
        <is>
          <t>Processed date</t>
        </is>
      </c>
      <c r="T3" s="6" t="inlineStr">
        <is>
          <t>120 days</t>
        </is>
      </c>
      <c r="U3" s="6" t="inlineStr">
        <is>
          <t>Processed date</t>
        </is>
      </c>
      <c r="V3" s="6" t="inlineStr">
        <is>
          <t>KX</t>
        </is>
      </c>
      <c r="W3" s="6" t="n"/>
      <c r="X3" s="6" t="n"/>
      <c r="Y3" s="6" t="inlineStr">
        <is>
          <t>1</t>
        </is>
      </c>
      <c r="Z3" s="9" t="n">
        <v>5492.55</v>
      </c>
      <c r="AA3" s="9" t="n">
        <v>0</v>
      </c>
      <c r="AB3" s="9" t="n">
        <v>135.05</v>
      </c>
      <c r="AC3" s="7" t="n">
        <v>46160</v>
      </c>
      <c r="AD3" s="9" t="n">
        <v>5357.5</v>
      </c>
      <c r="AE3" s="5" t="n">
        <v>211</v>
      </c>
      <c r="AF3" s="6" t="inlineStr">
        <is>
          <t>M48062</t>
        </is>
      </c>
      <c r="AG3" s="6" t="n"/>
      <c r="AH3" s="6" t="n"/>
      <c r="AI3" s="6" t="n"/>
      <c r="AJ3" s="5" t="n"/>
      <c r="AK3" s="6" t="inlineStr">
        <is>
          <t>Advanced Spine and Pain LLC DME SUR</t>
        </is>
      </c>
      <c r="AL3" s="6" t="inlineStr">
        <is>
          <t>Advanced Spine and Pain LLC DME - Surprise Reems</t>
        </is>
      </c>
      <c r="AM3" s="7" t="n">
        <v>46036</v>
      </c>
      <c r="AN3" s="6" t="inlineStr">
        <is>
          <t>DME</t>
        </is>
      </c>
      <c r="AO3" s="6" t="inlineStr">
        <is>
          <t>431</t>
        </is>
      </c>
    </row>
    <row r="4">
      <c r="A4" s="2" t="n"/>
      <c r="B4" s="3" t="n"/>
      <c r="C4" s="4" t="n">
        <v>46086</v>
      </c>
      <c r="D4" s="5" t="n">
        <v>546883608</v>
      </c>
      <c r="E4" s="6" t="inlineStr">
        <is>
          <t>HF506234182</t>
        </is>
      </c>
      <c r="F4" s="7" t="n">
        <v>46041</v>
      </c>
      <c r="G4" s="6" t="inlineStr">
        <is>
          <t>DME Region D</t>
        </is>
      </c>
      <c r="H4" s="6" t="inlineStr">
        <is>
          <t>DME Region D</t>
        </is>
      </c>
      <c r="I4" s="6" t="inlineStr">
        <is>
          <t>AARP United Healthcare</t>
        </is>
      </c>
      <c r="J4" s="8" t="inlineStr">
        <is>
          <t>A6010+A1 x10</t>
        </is>
      </c>
      <c r="K4" s="4" t="n"/>
      <c r="L4" s="5">
        <f>IF($O4="","",$O4-TODAY())</f>
        <v/>
      </c>
      <c r="M4" s="5">
        <f>IF($C4="","",$C4+365-TODAY())</f>
        <v/>
      </c>
      <c r="N4" s="5">
        <f>IF($C4="","",$C4+120-TODAY())</f>
        <v/>
      </c>
      <c r="O4" s="7" t="n">
        <v>46406</v>
      </c>
      <c r="P4" s="6" t="inlineStr">
        <is>
          <t>365 days</t>
        </is>
      </c>
      <c r="Q4" s="6" t="inlineStr">
        <is>
          <t>MEDICARE</t>
        </is>
      </c>
      <c r="R4" s="6" t="inlineStr">
        <is>
          <t>365 days</t>
        </is>
      </c>
      <c r="S4" s="6" t="inlineStr">
        <is>
          <t>Processed date</t>
        </is>
      </c>
      <c r="T4" s="6" t="inlineStr">
        <is>
          <t>120 days</t>
        </is>
      </c>
      <c r="U4" s="6" t="inlineStr">
        <is>
          <t>Processed date</t>
        </is>
      </c>
      <c r="V4" s="6" t="inlineStr">
        <is>
          <t>A1</t>
        </is>
      </c>
      <c r="W4" s="6" t="n"/>
      <c r="X4" s="6" t="n"/>
      <c r="Y4" s="6" t="inlineStr">
        <is>
          <t>10</t>
        </is>
      </c>
      <c r="Z4" s="9" t="n">
        <v>2958.2</v>
      </c>
      <c r="AA4" s="9" t="n">
        <v>0</v>
      </c>
      <c r="AB4" s="9" t="n">
        <v>31.68</v>
      </c>
      <c r="AC4" s="7" t="n">
        <v>46086</v>
      </c>
      <c r="AD4" s="9" t="n">
        <v>2926.52</v>
      </c>
      <c r="AE4" s="5" t="n">
        <v>201</v>
      </c>
      <c r="AF4" s="6" t="inlineStr">
        <is>
          <t>G894</t>
        </is>
      </c>
      <c r="AG4" s="6" t="inlineStr">
        <is>
          <t>M5416</t>
        </is>
      </c>
      <c r="AH4" s="6" t="n"/>
      <c r="AI4" s="6" t="n"/>
      <c r="AJ4" s="5" t="n"/>
      <c r="AK4" s="6" t="inlineStr">
        <is>
          <t>Advanced Spine and Pain LLC DME SUR</t>
        </is>
      </c>
      <c r="AL4" s="6" t="inlineStr">
        <is>
          <t>Advanced Spine and Pain LLC DME - Surprise Reems</t>
        </is>
      </c>
      <c r="AM4" s="7" t="n">
        <v>46043</v>
      </c>
      <c r="AN4" s="6" t="inlineStr">
        <is>
          <t>DME</t>
        </is>
      </c>
      <c r="AO4" s="6" t="inlineStr">
        <is>
          <t>703</t>
        </is>
      </c>
    </row>
    <row r="5">
      <c r="A5" s="2" t="n"/>
      <c r="B5" s="3" t="n"/>
      <c r="C5" s="4" t="n">
        <v>46071</v>
      </c>
      <c r="D5" s="5" t="n">
        <v>546884583</v>
      </c>
      <c r="E5" s="6" t="inlineStr">
        <is>
          <t>HF453265315</t>
        </is>
      </c>
      <c r="F5" s="7" t="n">
        <v>46041</v>
      </c>
      <c r="G5" s="6" t="inlineStr">
        <is>
          <t>DME Region D</t>
        </is>
      </c>
      <c r="H5" s="6" t="inlineStr">
        <is>
          <t>DME Region D</t>
        </is>
      </c>
      <c r="I5" s="6" t="inlineStr">
        <is>
          <t>Blue Cross Blue Shield of Arizona (BCBS AZ)</t>
        </is>
      </c>
      <c r="J5" s="8" t="inlineStr">
        <is>
          <t>A6010+A1 x10</t>
        </is>
      </c>
      <c r="K5" s="4" t="n"/>
      <c r="L5" s="5">
        <f>IF($O5="","",$O5-TODAY())</f>
        <v/>
      </c>
      <c r="M5" s="5">
        <f>IF($C5="","",$C5+365-TODAY())</f>
        <v/>
      </c>
      <c r="N5" s="5">
        <f>IF($C5="","",$C5+120-TODAY())</f>
        <v/>
      </c>
      <c r="O5" s="7" t="n">
        <v>46406</v>
      </c>
      <c r="P5" s="6" t="inlineStr">
        <is>
          <t>365 days</t>
        </is>
      </c>
      <c r="Q5" s="6" t="inlineStr">
        <is>
          <t>MEDICARE</t>
        </is>
      </c>
      <c r="R5" s="6" t="inlineStr">
        <is>
          <t>365 days</t>
        </is>
      </c>
      <c r="S5" s="6" t="inlineStr">
        <is>
          <t>Processed date</t>
        </is>
      </c>
      <c r="T5" s="6" t="inlineStr">
        <is>
          <t>120 days</t>
        </is>
      </c>
      <c r="U5" s="6" t="inlineStr">
        <is>
          <t>Processed date</t>
        </is>
      </c>
      <c r="V5" s="6" t="inlineStr">
        <is>
          <t>A1</t>
        </is>
      </c>
      <c r="W5" s="6" t="n"/>
      <c r="X5" s="6" t="n"/>
      <c r="Y5" s="6" t="inlineStr">
        <is>
          <t>10</t>
        </is>
      </c>
      <c r="Z5" s="9" t="n">
        <v>2958.2</v>
      </c>
      <c r="AA5" s="9" t="n">
        <v>0</v>
      </c>
      <c r="AB5" s="9" t="n">
        <v>80.84</v>
      </c>
      <c r="AC5" s="7" t="n">
        <v>46071</v>
      </c>
      <c r="AD5" s="9" t="n">
        <v>2877.36</v>
      </c>
      <c r="AE5" s="5" t="n">
        <v>201</v>
      </c>
      <c r="AF5" s="6" t="inlineStr">
        <is>
          <t>G894</t>
        </is>
      </c>
      <c r="AG5" s="6" t="inlineStr">
        <is>
          <t>M5451</t>
        </is>
      </c>
      <c r="AH5" s="6" t="n"/>
      <c r="AI5" s="6" t="n"/>
      <c r="AJ5" s="5" t="n"/>
      <c r="AK5" s="6" t="inlineStr">
        <is>
          <t>Advanced Spine and Pain LLC DME SUR</t>
        </is>
      </c>
      <c r="AL5" s="6" t="inlineStr">
        <is>
          <t>Advanced Spine and Pain LLC DME - Surprise Reems</t>
        </is>
      </c>
      <c r="AM5" s="7" t="n">
        <v>46043</v>
      </c>
      <c r="AN5" s="6" t="inlineStr">
        <is>
          <t>DME</t>
        </is>
      </c>
      <c r="AO5" s="6" t="inlineStr">
        <is>
          <t>33</t>
        </is>
      </c>
    </row>
    <row r="6">
      <c r="A6" s="2" t="n"/>
      <c r="B6" s="3" t="n"/>
      <c r="C6" s="4" t="n">
        <v>46196</v>
      </c>
      <c r="D6" s="5" t="n">
        <v>561884409</v>
      </c>
      <c r="E6" s="6" t="inlineStr">
        <is>
          <t>HF411712712</t>
        </is>
      </c>
      <c r="F6" s="7" t="n">
        <v>46051</v>
      </c>
      <c r="G6" s="6" t="inlineStr">
        <is>
          <t>DME Region D</t>
        </is>
      </c>
      <c r="H6" s="6" t="inlineStr">
        <is>
          <t>DME Region D</t>
        </is>
      </c>
      <c r="I6" s="6" t="inlineStr">
        <is>
          <t>Bankers Life Colonial Penn Life</t>
        </is>
      </c>
      <c r="J6" s="8" t="inlineStr">
        <is>
          <t>A6010+A1 x20</t>
        </is>
      </c>
      <c r="K6" s="4" t="n"/>
      <c r="L6" s="5">
        <f>IF($O6="","",$O6-TODAY())</f>
        <v/>
      </c>
      <c r="M6" s="5">
        <f>IF($C6="","",$C6+365-TODAY())</f>
        <v/>
      </c>
      <c r="N6" s="5">
        <f>IF($C6="","",$C6+120-TODAY())</f>
        <v/>
      </c>
      <c r="O6" s="7" t="n">
        <v>46416</v>
      </c>
      <c r="P6" s="6" t="inlineStr">
        <is>
          <t>365 days</t>
        </is>
      </c>
      <c r="Q6" s="6" t="inlineStr">
        <is>
          <t>MEDICARE</t>
        </is>
      </c>
      <c r="R6" s="6" t="inlineStr">
        <is>
          <t>365 days</t>
        </is>
      </c>
      <c r="S6" s="6" t="inlineStr">
        <is>
          <t>Processed date</t>
        </is>
      </c>
      <c r="T6" s="6" t="inlineStr">
        <is>
          <t>120 days</t>
        </is>
      </c>
      <c r="U6" s="6" t="inlineStr">
        <is>
          <t>Processed date</t>
        </is>
      </c>
      <c r="V6" s="6" t="inlineStr">
        <is>
          <t>A1</t>
        </is>
      </c>
      <c r="W6" s="6" t="n"/>
      <c r="X6" s="6" t="n"/>
      <c r="Y6" s="6" t="inlineStr">
        <is>
          <t>20</t>
        </is>
      </c>
      <c r="Z6" s="9" t="n">
        <v>5857</v>
      </c>
      <c r="AA6" s="9" t="n">
        <v>0</v>
      </c>
      <c r="AB6" s="9" t="n">
        <v>0</v>
      </c>
      <c r="AC6" s="7" t="n">
        <v>46196</v>
      </c>
      <c r="AD6" s="9" t="n">
        <v>5857</v>
      </c>
      <c r="AE6" s="5" t="n">
        <v>191</v>
      </c>
      <c r="AF6" s="6" t="inlineStr">
        <is>
          <t>G894</t>
        </is>
      </c>
      <c r="AG6" s="6" t="inlineStr">
        <is>
          <t>M48062</t>
        </is>
      </c>
      <c r="AH6" s="6" t="inlineStr">
        <is>
          <t>M47816</t>
        </is>
      </c>
      <c r="AI6" s="6" t="n"/>
      <c r="AJ6" s="5" t="n"/>
      <c r="AK6" s="6" t="inlineStr">
        <is>
          <t>Advanced Spine and Pain LLC DME PEO</t>
        </is>
      </c>
      <c r="AL6" s="6" t="inlineStr">
        <is>
          <t>Advanced Spine and Pain LLC DME - Peoria</t>
        </is>
      </c>
      <c r="AM6" s="7" t="n">
        <v>46183</v>
      </c>
      <c r="AN6" s="6" t="inlineStr">
        <is>
          <t>DME</t>
        </is>
      </c>
      <c r="AO6" s="6" t="inlineStr">
        <is>
          <t>904</t>
        </is>
      </c>
    </row>
    <row r="7">
      <c r="A7" s="2" t="inlineStr">
        <is>
          <t>Finalized</t>
        </is>
      </c>
      <c r="B7" s="3" t="n"/>
      <c r="C7" s="4" t="n">
        <v>46089</v>
      </c>
      <c r="D7" s="5" t="n">
        <v>546184427</v>
      </c>
      <c r="E7" s="6" t="inlineStr">
        <is>
          <t>HF503610126</t>
        </is>
      </c>
      <c r="F7" s="7" t="n">
        <v>46027</v>
      </c>
      <c r="G7" s="6" t="inlineStr">
        <is>
          <t>Tricare for Life (All Regions)</t>
        </is>
      </c>
      <c r="H7" s="6" t="inlineStr">
        <is>
          <t>Humana</t>
        </is>
      </c>
      <c r="I7" s="6" t="inlineStr">
        <is>
          <t>Tricare for Life (All Regions)</t>
        </is>
      </c>
      <c r="J7" s="8" t="inlineStr">
        <is>
          <t>A6023+A2 x20</t>
        </is>
      </c>
      <c r="K7" s="4" t="n"/>
      <c r="L7" s="5">
        <f>IF($O7="","",$O7-TODAY())</f>
        <v/>
      </c>
      <c r="M7" s="5">
        <f>IF($F7="","",$F7+90-TODAY())</f>
        <v/>
      </c>
      <c r="N7" s="5">
        <f>IF($C7="","",$C7+60-TODAY())</f>
        <v/>
      </c>
      <c r="O7" s="7" t="n">
        <v>46117</v>
      </c>
      <c r="P7" s="6" t="inlineStr">
        <is>
          <t>90 days</t>
        </is>
      </c>
      <c r="Q7" s="6" t="inlineStr">
        <is>
          <t>HUMANA COMMERCIAL</t>
        </is>
      </c>
      <c r="R7" s="6" t="inlineStr">
        <is>
          <t>90 days</t>
        </is>
      </c>
      <c r="S7" s="6" t="inlineStr">
        <is>
          <t>Date of service</t>
        </is>
      </c>
      <c r="T7" s="6" t="inlineStr">
        <is>
          <t>60 days</t>
        </is>
      </c>
      <c r="U7" s="6" t="inlineStr">
        <is>
          <t>Processed date</t>
        </is>
      </c>
      <c r="V7" s="6" t="inlineStr">
        <is>
          <t>A2</t>
        </is>
      </c>
      <c r="W7" s="6" t="n"/>
      <c r="X7" s="6" t="n"/>
      <c r="Y7" s="6" t="inlineStr">
        <is>
          <t>20</t>
        </is>
      </c>
      <c r="Z7" s="9" t="n">
        <v>36353.8</v>
      </c>
      <c r="AA7" s="9" t="n">
        <v>33154.53</v>
      </c>
      <c r="AB7" s="9" t="n">
        <v>2833.13</v>
      </c>
      <c r="AC7" s="7" t="n">
        <v>46089</v>
      </c>
      <c r="AD7" s="9" t="n">
        <v>366.14</v>
      </c>
      <c r="AE7" s="5" t="n">
        <v>215</v>
      </c>
      <c r="AF7" s="6" t="inlineStr">
        <is>
          <t>G894</t>
        </is>
      </c>
      <c r="AG7" s="6" t="inlineStr">
        <is>
          <t>G90513</t>
        </is>
      </c>
      <c r="AH7" s="6" t="inlineStr">
        <is>
          <t>M961</t>
        </is>
      </c>
      <c r="AI7" s="6" t="n"/>
      <c r="AJ7" s="5" t="n">
        <v>557644876</v>
      </c>
      <c r="AK7" s="6" t="inlineStr">
        <is>
          <t>MCMURDIE, TODD</t>
        </is>
      </c>
      <c r="AL7" s="6" t="inlineStr">
        <is>
          <t>ASAP - Surprise - Reems</t>
        </is>
      </c>
      <c r="AM7" s="7" t="n">
        <v>46036</v>
      </c>
      <c r="AN7" s="6" t="inlineStr">
        <is>
          <t>DME</t>
        </is>
      </c>
      <c r="AO7" s="6" t="inlineStr">
        <is>
          <t>76</t>
        </is>
      </c>
    </row>
    <row r="8">
      <c r="A8" s="2" t="inlineStr">
        <is>
          <t>Denied</t>
        </is>
      </c>
      <c r="B8" s="3" t="n"/>
      <c r="C8" s="4" t="n">
        <v>46156</v>
      </c>
      <c r="D8" s="5" t="n">
        <v>557162806</v>
      </c>
      <c r="E8" s="6" t="inlineStr">
        <is>
          <t>HF518924824</t>
        </is>
      </c>
      <c r="F8" s="7" t="n">
        <v>46041</v>
      </c>
      <c r="G8" s="6" t="inlineStr">
        <is>
          <t>Mercy Care Plan (AHCCCS) - Complete Care &amp; Long Term Care (LTC)</t>
        </is>
      </c>
      <c r="H8" s="6" t="inlineStr">
        <is>
          <t>Allwell - All States (Centene)</t>
        </is>
      </c>
      <c r="I8" s="6" t="inlineStr">
        <is>
          <t>Mercy Care Plan (AHCCCS) - Complete Care &amp; Long Term Care (LTC)</t>
        </is>
      </c>
      <c r="J8" s="8" t="inlineStr">
        <is>
          <t>A6023+A2 x10</t>
        </is>
      </c>
      <c r="K8" s="4" t="n"/>
      <c r="L8" s="5">
        <f>IF($O8="","",$O8-TODAY())</f>
        <v/>
      </c>
      <c r="M8" s="5">
        <f>IF($C8="","",$C8+90-TODAY())</f>
        <v/>
      </c>
      <c r="N8" s="5">
        <f>IF($C8="","",$C8+90-TODAY())</f>
        <v/>
      </c>
      <c r="O8" s="7" t="n">
        <v>46136</v>
      </c>
      <c r="P8" s="6" t="inlineStr">
        <is>
          <t>95 days</t>
        </is>
      </c>
      <c r="Q8" s="6" t="inlineStr">
        <is>
          <t>WELLCARE BY ALLWELL</t>
        </is>
      </c>
      <c r="R8" s="6" t="inlineStr">
        <is>
          <t>90 days</t>
        </is>
      </c>
      <c r="S8" s="6" t="inlineStr">
        <is>
          <t>Processed date</t>
        </is>
      </c>
      <c r="T8" s="6" t="inlineStr">
        <is>
          <t>90 days</t>
        </is>
      </c>
      <c r="U8" s="6" t="inlineStr">
        <is>
          <t>Processed date</t>
        </is>
      </c>
      <c r="V8" s="6" t="inlineStr">
        <is>
          <t>A2</t>
        </is>
      </c>
      <c r="W8" s="6" t="n"/>
      <c r="X8" s="6" t="n"/>
      <c r="Y8" s="6" t="inlineStr">
        <is>
          <t>10</t>
        </is>
      </c>
      <c r="Z8" s="9" t="n">
        <v>18176.9</v>
      </c>
      <c r="AA8" s="9" t="n">
        <v>16142.75</v>
      </c>
      <c r="AB8" s="9" t="n">
        <v>1627.48</v>
      </c>
      <c r="AC8" s="7" t="n">
        <v>46156</v>
      </c>
      <c r="AD8" s="9" t="n">
        <v>406.67</v>
      </c>
      <c r="AE8" s="5" t="n">
        <v>201</v>
      </c>
      <c r="AF8" s="6" t="inlineStr">
        <is>
          <t>G894</t>
        </is>
      </c>
      <c r="AG8" s="6" t="inlineStr">
        <is>
          <t>M961</t>
        </is>
      </c>
      <c r="AH8" s="6" t="inlineStr">
        <is>
          <t>M5416</t>
        </is>
      </c>
      <c r="AI8" s="6" t="n"/>
      <c r="AJ8" s="5" t="n">
        <v>551367817</v>
      </c>
      <c r="AK8" s="6" t="inlineStr">
        <is>
          <t>KALLGREN, MARK</t>
        </is>
      </c>
      <c r="AL8" s="6" t="inlineStr">
        <is>
          <t>ASAP - Mesa</t>
        </is>
      </c>
      <c r="AM8" s="7" t="n">
        <v>46063</v>
      </c>
      <c r="AN8" s="6" t="inlineStr">
        <is>
          <t>DME</t>
        </is>
      </c>
      <c r="AO8" s="6" t="inlineStr">
        <is>
          <t>1</t>
        </is>
      </c>
    </row>
  </sheetData>
  <autoFilter ref="A1:AO8"/>
  <conditionalFormatting sqref="L2:L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8">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8">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8">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O12"/>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inlineStr">
        <is>
          <t>Finalized</t>
        </is>
      </c>
      <c r="B2" s="3" t="n"/>
      <c r="C2" s="4" t="n">
        <v>46135</v>
      </c>
      <c r="D2" s="5" t="n">
        <v>548880209</v>
      </c>
      <c r="E2" s="6" t="inlineStr">
        <is>
          <t>HF411545637</t>
        </is>
      </c>
      <c r="F2" s="7" t="n">
        <v>46034</v>
      </c>
      <c r="G2" s="6" t="inlineStr">
        <is>
          <t>Blue Cross Blue Shield of Arizona (BCBS AZ)</t>
        </is>
      </c>
      <c r="H2" s="6" t="inlineStr">
        <is>
          <t>Medicare Part B Arizona *</t>
        </is>
      </c>
      <c r="I2" s="6" t="inlineStr">
        <is>
          <t>Blue Cross Blue Shield of Arizona (BCBS AZ)</t>
        </is>
      </c>
      <c r="J2" s="8" t="inlineStr">
        <is>
          <t>36246+59+RT x1; 76937+26 x1; 37242 x1; 75710+26+XU+RT x1; 36248+59 x1; 36245+59 x1; 75774+26+XU x3</t>
        </is>
      </c>
      <c r="K2" s="4" t="n"/>
      <c r="L2" s="5">
        <f>IF($O2="","",$O2-TODAY())</f>
        <v/>
      </c>
      <c r="M2" s="5">
        <f>IF($C2="","",$C2+365-TODAY())</f>
        <v/>
      </c>
      <c r="N2" s="5">
        <f>IF($C2="","",$C2+120-TODAY())</f>
        <v/>
      </c>
      <c r="O2" s="7" t="n">
        <v>46399</v>
      </c>
      <c r="P2" s="6" t="inlineStr">
        <is>
          <t>365 days</t>
        </is>
      </c>
      <c r="Q2" s="6" t="inlineStr">
        <is>
          <t>MEDICARE</t>
        </is>
      </c>
      <c r="R2" s="6" t="inlineStr">
        <is>
          <t>365 days</t>
        </is>
      </c>
      <c r="S2" s="6" t="inlineStr">
        <is>
          <t>Processed date</t>
        </is>
      </c>
      <c r="T2" s="6" t="inlineStr">
        <is>
          <t>120 days</t>
        </is>
      </c>
      <c r="U2" s="6" t="inlineStr">
        <is>
          <t>Processed date</t>
        </is>
      </c>
      <c r="V2" s="6" t="inlineStr">
        <is>
          <t>59, 26</t>
        </is>
      </c>
      <c r="W2" s="6" t="inlineStr">
        <is>
          <t>RT, XU</t>
        </is>
      </c>
      <c r="X2" s="6" t="inlineStr">
        <is>
          <t>RT</t>
        </is>
      </c>
      <c r="Y2" s="6" t="inlineStr">
        <is>
          <t>1, 3</t>
        </is>
      </c>
      <c r="Z2" s="9" t="n">
        <v>67599.91</v>
      </c>
      <c r="AA2" s="9" t="n">
        <v>66731.28999999999</v>
      </c>
      <c r="AB2" s="9" t="n">
        <v>867.75</v>
      </c>
      <c r="AC2" s="7" t="n">
        <v>46135</v>
      </c>
      <c r="AD2" s="9" t="n">
        <v>0.87</v>
      </c>
      <c r="AE2" s="5" t="n">
        <v>208</v>
      </c>
      <c r="AF2" s="6" t="inlineStr">
        <is>
          <t>M25561</t>
        </is>
      </c>
      <c r="AG2" s="6" t="inlineStr">
        <is>
          <t>I798</t>
        </is>
      </c>
      <c r="AH2" s="6" t="n"/>
      <c r="AI2" s="6" t="n"/>
      <c r="AJ2" s="5" t="n">
        <v>566386933</v>
      </c>
      <c r="AK2" s="6" t="inlineStr">
        <is>
          <t>HUNTER, DREW</t>
        </is>
      </c>
      <c r="AL2" s="6" t="inlineStr">
        <is>
          <t>Premier Endoscopy Center, LLC</t>
        </is>
      </c>
      <c r="AM2" s="7" t="n">
        <v>46062</v>
      </c>
      <c r="AN2" s="6" t="inlineStr">
        <is>
          <t>GAE</t>
        </is>
      </c>
      <c r="AO2" s="6" t="inlineStr">
        <is>
          <t>34, 35, 36, 37, 38, 39, 40</t>
        </is>
      </c>
    </row>
    <row r="3">
      <c r="A3" s="2" t="inlineStr">
        <is>
          <t>Finalized</t>
        </is>
      </c>
      <c r="B3" s="3" t="n"/>
      <c r="C3" s="4" t="n">
        <v>46147</v>
      </c>
      <c r="D3" s="5" t="n">
        <v>548873847</v>
      </c>
      <c r="E3" s="6" t="inlineStr">
        <is>
          <t>HF329340284</t>
        </is>
      </c>
      <c r="F3" s="7" t="n">
        <v>46041</v>
      </c>
      <c r="G3" s="6" t="inlineStr">
        <is>
          <t>Aetna Senior Supplemental (AESSI) - Secondary Only 62118</t>
        </is>
      </c>
      <c r="H3" s="6" t="inlineStr">
        <is>
          <t>Medicare Part B Arizona *</t>
        </is>
      </c>
      <c r="I3" s="6" t="inlineStr">
        <is>
          <t>Aetna Senior Supplemental (AESSI) - Secondary Only 62118</t>
        </is>
      </c>
      <c r="J3" s="8" t="inlineStr">
        <is>
          <t>37242 x1</t>
        </is>
      </c>
      <c r="K3" s="4" t="n"/>
      <c r="L3" s="5">
        <f>IF($O3="","",$O3-TODAY())</f>
        <v/>
      </c>
      <c r="M3" s="5">
        <f>IF($C3="","",$C3+365-TODAY())</f>
        <v/>
      </c>
      <c r="N3" s="5">
        <f>IF($C3="","",$C3+120-TODAY())</f>
        <v/>
      </c>
      <c r="O3" s="7" t="n">
        <v>46406</v>
      </c>
      <c r="P3" s="6" t="inlineStr">
        <is>
          <t>365 days</t>
        </is>
      </c>
      <c r="Q3" s="6" t="inlineStr">
        <is>
          <t>MEDICARE</t>
        </is>
      </c>
      <c r="R3" s="6" t="inlineStr">
        <is>
          <t>365 days</t>
        </is>
      </c>
      <c r="S3" s="6" t="inlineStr">
        <is>
          <t>Processed date</t>
        </is>
      </c>
      <c r="T3" s="6" t="inlineStr">
        <is>
          <t>120 days</t>
        </is>
      </c>
      <c r="U3" s="6" t="inlineStr">
        <is>
          <t>Processed date</t>
        </is>
      </c>
      <c r="V3" s="6" t="n"/>
      <c r="W3" s="6" t="n"/>
      <c r="X3" s="6" t="n"/>
      <c r="Y3" s="6" t="inlineStr">
        <is>
          <t>1</t>
        </is>
      </c>
      <c r="Z3" s="9" t="n">
        <v>49162.82</v>
      </c>
      <c r="AA3" s="9" t="n">
        <v>48759.59</v>
      </c>
      <c r="AB3" s="9" t="n">
        <v>233.16</v>
      </c>
      <c r="AC3" s="7" t="n">
        <v>46147</v>
      </c>
      <c r="AD3" s="9" t="n">
        <v>170.07</v>
      </c>
      <c r="AE3" s="5" t="n">
        <v>201</v>
      </c>
      <c r="AF3" s="6" t="inlineStr">
        <is>
          <t>M1711</t>
        </is>
      </c>
      <c r="AG3" s="6" t="inlineStr">
        <is>
          <t>I798</t>
        </is>
      </c>
      <c r="AH3" s="6" t="inlineStr">
        <is>
          <t>M25561</t>
        </is>
      </c>
      <c r="AI3" s="6" t="n"/>
      <c r="AJ3" s="5" t="n">
        <v>565292656</v>
      </c>
      <c r="AK3" s="6" t="inlineStr">
        <is>
          <t>HUNTER, DREW</t>
        </is>
      </c>
      <c r="AL3" s="6" t="inlineStr">
        <is>
          <t>ASAP Surgery Centers North Valley LLC</t>
        </is>
      </c>
      <c r="AM3" s="7" t="n">
        <v>46062</v>
      </c>
      <c r="AN3" s="6" t="inlineStr">
        <is>
          <t>GAE</t>
        </is>
      </c>
      <c r="AO3" s="6" t="inlineStr">
        <is>
          <t>229</t>
        </is>
      </c>
    </row>
    <row r="4">
      <c r="A4" s="2" t="inlineStr">
        <is>
          <t>Denied</t>
        </is>
      </c>
      <c r="B4" s="3" t="n"/>
      <c r="C4" s="4" t="n">
        <v>46135</v>
      </c>
      <c r="D4" s="5" t="n">
        <v>548883662</v>
      </c>
      <c r="E4" s="6" t="inlineStr">
        <is>
          <t>HF333259521</t>
        </is>
      </c>
      <c r="F4" s="7" t="n">
        <v>46041</v>
      </c>
      <c r="G4" s="6" t="inlineStr">
        <is>
          <t>Unicare Life and Health Insurance (Anthem)</t>
        </is>
      </c>
      <c r="H4" s="6" t="inlineStr">
        <is>
          <t>Medicare Part B Arizona *</t>
        </is>
      </c>
      <c r="I4" s="6" t="inlineStr">
        <is>
          <t>Unicare Life and Health Insurance (Anthem)</t>
        </is>
      </c>
      <c r="J4" s="8" t="inlineStr">
        <is>
          <t>37242 x1; 75774+26+XU x3; 75710+26+XU+RT x1; 36246+59+RT x1; 36245+59 x1; 76937+26 x1; 36248+59 x1</t>
        </is>
      </c>
      <c r="K4" s="4" t="n"/>
      <c r="L4" s="5">
        <f>IF($O4="","",$O4-TODAY())</f>
        <v/>
      </c>
      <c r="M4" s="5">
        <f>IF($C4="","",$C4+365-TODAY())</f>
        <v/>
      </c>
      <c r="N4" s="5">
        <f>IF($C4="","",$C4+120-TODAY())</f>
        <v/>
      </c>
      <c r="O4" s="7" t="n">
        <v>46406</v>
      </c>
      <c r="P4" s="6" t="inlineStr">
        <is>
          <t>365 days</t>
        </is>
      </c>
      <c r="Q4" s="6" t="inlineStr">
        <is>
          <t>MEDICARE</t>
        </is>
      </c>
      <c r="R4" s="6" t="inlineStr">
        <is>
          <t>365 days</t>
        </is>
      </c>
      <c r="S4" s="6" t="inlineStr">
        <is>
          <t>Processed date</t>
        </is>
      </c>
      <c r="T4" s="6" t="inlineStr">
        <is>
          <t>120 days</t>
        </is>
      </c>
      <c r="U4" s="6" t="inlineStr">
        <is>
          <t>Processed date</t>
        </is>
      </c>
      <c r="V4" s="6" t="inlineStr">
        <is>
          <t>26, 59</t>
        </is>
      </c>
      <c r="W4" s="6" t="inlineStr">
        <is>
          <t>XU, RT</t>
        </is>
      </c>
      <c r="X4" s="6" t="inlineStr">
        <is>
          <t>RT</t>
        </is>
      </c>
      <c r="Y4" s="6" t="inlineStr">
        <is>
          <t>1, 3</t>
        </is>
      </c>
      <c r="Z4" s="9" t="n">
        <v>67599.91</v>
      </c>
      <c r="AA4" s="9" t="n">
        <v>66731.28999999999</v>
      </c>
      <c r="AB4" s="9" t="n">
        <v>867.75</v>
      </c>
      <c r="AC4" s="7" t="n">
        <v>46135</v>
      </c>
      <c r="AD4" s="9" t="n">
        <v>0.87</v>
      </c>
      <c r="AE4" s="5" t="n">
        <v>201</v>
      </c>
      <c r="AF4" s="6" t="inlineStr">
        <is>
          <t>M1711</t>
        </is>
      </c>
      <c r="AG4" s="6" t="inlineStr">
        <is>
          <t>I798</t>
        </is>
      </c>
      <c r="AH4" s="6" t="inlineStr">
        <is>
          <t>M25561</t>
        </is>
      </c>
      <c r="AI4" s="6" t="n"/>
      <c r="AJ4" s="5" t="n">
        <v>551561155</v>
      </c>
      <c r="AK4" s="6" t="inlineStr">
        <is>
          <t>HUNTER, DREW</t>
        </is>
      </c>
      <c r="AL4" s="6" t="inlineStr">
        <is>
          <t>ASAP Surgery Centers North Valley LLC</t>
        </is>
      </c>
      <c r="AM4" s="7" t="n">
        <v>46062</v>
      </c>
      <c r="AN4" s="6" t="inlineStr">
        <is>
          <t>GAE</t>
        </is>
      </c>
      <c r="AO4" s="6" t="inlineStr">
        <is>
          <t>53, 54, 55, 56, 57, 58, 59</t>
        </is>
      </c>
    </row>
    <row r="5">
      <c r="A5" s="2" t="inlineStr">
        <is>
          <t>Finalized</t>
        </is>
      </c>
      <c r="B5" s="3" t="n"/>
      <c r="C5" s="4" t="n">
        <v>46120</v>
      </c>
      <c r="D5" s="5" t="n">
        <v>548916508</v>
      </c>
      <c r="E5" s="6" t="inlineStr">
        <is>
          <t>HF455471322</t>
        </is>
      </c>
      <c r="F5" s="7" t="n">
        <v>46041</v>
      </c>
      <c r="G5" s="6" t="inlineStr">
        <is>
          <t>COMBINED INSURANCE CO OF AMERICA</t>
        </is>
      </c>
      <c r="H5" s="6" t="inlineStr">
        <is>
          <t>Medicare Part B Arizona *</t>
        </is>
      </c>
      <c r="I5" s="6" t="inlineStr">
        <is>
          <t>COMBINED INSURANCE CO OF AMERICA</t>
        </is>
      </c>
      <c r="J5" s="8" t="inlineStr">
        <is>
          <t>75710+26+XU+RT x1; 75774+26+XU x3; 36246+59+RT x1; 36248+59 x1; 36245+59 x1; 76937+26 x1; 37242 x1</t>
        </is>
      </c>
      <c r="K5" s="4" t="n"/>
      <c r="L5" s="5">
        <f>IF($O5="","",$O5-TODAY())</f>
        <v/>
      </c>
      <c r="M5" s="5">
        <f>IF($C5="","",$C5+365-TODAY())</f>
        <v/>
      </c>
      <c r="N5" s="5">
        <f>IF($C5="","",$C5+120-TODAY())</f>
        <v/>
      </c>
      <c r="O5" s="7" t="n">
        <v>46406</v>
      </c>
      <c r="P5" s="6" t="inlineStr">
        <is>
          <t>365 days</t>
        </is>
      </c>
      <c r="Q5" s="6" t="inlineStr">
        <is>
          <t>MEDICARE</t>
        </is>
      </c>
      <c r="R5" s="6" t="inlineStr">
        <is>
          <t>365 days</t>
        </is>
      </c>
      <c r="S5" s="6" t="inlineStr">
        <is>
          <t>Processed date</t>
        </is>
      </c>
      <c r="T5" s="6" t="inlineStr">
        <is>
          <t>120 days</t>
        </is>
      </c>
      <c r="U5" s="6" t="inlineStr">
        <is>
          <t>Processed date</t>
        </is>
      </c>
      <c r="V5" s="6" t="inlineStr">
        <is>
          <t>26, 59</t>
        </is>
      </c>
      <c r="W5" s="6" t="inlineStr">
        <is>
          <t>XU, RT</t>
        </is>
      </c>
      <c r="X5" s="6" t="inlineStr">
        <is>
          <t>RT</t>
        </is>
      </c>
      <c r="Y5" s="6" t="inlineStr">
        <is>
          <t>1, 3</t>
        </is>
      </c>
      <c r="Z5" s="9" t="n">
        <v>67599.91</v>
      </c>
      <c r="AA5" s="9" t="n">
        <v>66555.62</v>
      </c>
      <c r="AB5" s="9" t="n">
        <v>867.75</v>
      </c>
      <c r="AC5" s="7" t="n">
        <v>46120</v>
      </c>
      <c r="AD5" s="9" t="n">
        <v>176.54</v>
      </c>
      <c r="AE5" s="5" t="n">
        <v>201</v>
      </c>
      <c r="AF5" s="6" t="inlineStr">
        <is>
          <t>M1711</t>
        </is>
      </c>
      <c r="AG5" s="6" t="inlineStr">
        <is>
          <t>I798</t>
        </is>
      </c>
      <c r="AH5" s="6" t="inlineStr">
        <is>
          <t>M25561</t>
        </is>
      </c>
      <c r="AI5" s="6" t="n"/>
      <c r="AJ5" s="5" t="n">
        <v>565292638</v>
      </c>
      <c r="AK5" s="6" t="inlineStr">
        <is>
          <t>HUNTER, DREW</t>
        </is>
      </c>
      <c r="AL5" s="6" t="inlineStr">
        <is>
          <t>ASAP Surgery Centers North Valley LLC</t>
        </is>
      </c>
      <c r="AM5" s="7" t="n">
        <v>46062</v>
      </c>
      <c r="AN5" s="6" t="inlineStr">
        <is>
          <t>GAE</t>
        </is>
      </c>
      <c r="AO5" s="6" t="inlineStr">
        <is>
          <t>180, 181, 182, 183, 194, 195, 196</t>
        </is>
      </c>
    </row>
    <row r="6">
      <c r="A6" s="2" t="inlineStr">
        <is>
          <t>Finalized</t>
        </is>
      </c>
      <c r="B6" s="3" t="n"/>
      <c r="C6" s="4" t="n">
        <v>46120</v>
      </c>
      <c r="D6" s="5" t="n">
        <v>548917446</v>
      </c>
      <c r="E6" s="6" t="inlineStr">
        <is>
          <t>HF532831698</t>
        </is>
      </c>
      <c r="F6" s="7" t="n">
        <v>46048</v>
      </c>
      <c r="G6" s="6" t="inlineStr">
        <is>
          <t>Bankers Life Colonial Penn Life</t>
        </is>
      </c>
      <c r="H6" s="6" t="inlineStr">
        <is>
          <t>Medicare Part B Arizona *</t>
        </is>
      </c>
      <c r="I6" s="6" t="inlineStr">
        <is>
          <t>Bankers Life Colonial Penn Life</t>
        </is>
      </c>
      <c r="J6" s="8" t="inlineStr">
        <is>
          <t>36248+59 x3; 36245+59 x1; 75774+26+XU x5; 75710+26+XU+RT x1; 76937+26 x1; 36246+59+RT x1</t>
        </is>
      </c>
      <c r="K6" s="4" t="n"/>
      <c r="L6" s="5">
        <f>IF($O6="","",$O6-TODAY())</f>
        <v/>
      </c>
      <c r="M6" s="5">
        <f>IF($C6="","",$C6+365-TODAY())</f>
        <v/>
      </c>
      <c r="N6" s="5">
        <f>IF($C6="","",$C6+120-TODAY())</f>
        <v/>
      </c>
      <c r="O6" s="7" t="n">
        <v>46413</v>
      </c>
      <c r="P6" s="6" t="inlineStr">
        <is>
          <t>365 days</t>
        </is>
      </c>
      <c r="Q6" s="6" t="inlineStr">
        <is>
          <t>MEDICARE</t>
        </is>
      </c>
      <c r="R6" s="6" t="inlineStr">
        <is>
          <t>365 days</t>
        </is>
      </c>
      <c r="S6" s="6" t="inlineStr">
        <is>
          <t>Processed date</t>
        </is>
      </c>
      <c r="T6" s="6" t="inlineStr">
        <is>
          <t>120 days</t>
        </is>
      </c>
      <c r="U6" s="6" t="inlineStr">
        <is>
          <t>Processed date</t>
        </is>
      </c>
      <c r="V6" s="6" t="inlineStr">
        <is>
          <t>59, 26</t>
        </is>
      </c>
      <c r="W6" s="6" t="inlineStr">
        <is>
          <t>XU, RT</t>
        </is>
      </c>
      <c r="X6" s="6" t="inlineStr">
        <is>
          <t>RT</t>
        </is>
      </c>
      <c r="Y6" s="6" t="inlineStr">
        <is>
          <t>3, 1, 5</t>
        </is>
      </c>
      <c r="Z6" s="9" t="n">
        <v>21394.87</v>
      </c>
      <c r="AA6" s="9" t="n">
        <v>20631.18</v>
      </c>
      <c r="AB6" s="9" t="n">
        <v>506.12</v>
      </c>
      <c r="AC6" s="7" t="n">
        <v>46120</v>
      </c>
      <c r="AD6" s="9" t="n">
        <v>257.57</v>
      </c>
      <c r="AE6" s="5" t="n">
        <v>194</v>
      </c>
      <c r="AF6" s="6" t="inlineStr">
        <is>
          <t>M1711</t>
        </is>
      </c>
      <c r="AG6" s="6" t="inlineStr">
        <is>
          <t>I798</t>
        </is>
      </c>
      <c r="AH6" s="6" t="inlineStr">
        <is>
          <t>M25561</t>
        </is>
      </c>
      <c r="AI6" s="6" t="n"/>
      <c r="AJ6" s="5" t="n">
        <v>565292666</v>
      </c>
      <c r="AK6" s="6" t="inlineStr">
        <is>
          <t>HUNTER, DREW</t>
        </is>
      </c>
      <c r="AL6" s="6" t="inlineStr">
        <is>
          <t>ASAP Surgery Centers North Valley LLC</t>
        </is>
      </c>
      <c r="AM6" s="7" t="n">
        <v>46062</v>
      </c>
      <c r="AN6" s="6" t="inlineStr">
        <is>
          <t>GAE</t>
        </is>
      </c>
      <c r="AO6" s="6" t="inlineStr">
        <is>
          <t>197, 198, 199, 230, 231, 232</t>
        </is>
      </c>
    </row>
    <row r="7">
      <c r="A7" s="2" t="inlineStr">
        <is>
          <t>Denied</t>
        </is>
      </c>
      <c r="B7" s="3" t="n"/>
      <c r="C7" s="4" t="n">
        <v>46099</v>
      </c>
      <c r="D7" s="5" t="n">
        <v>552345092</v>
      </c>
      <c r="E7" s="6" t="inlineStr">
        <is>
          <t>HF543360308</t>
        </is>
      </c>
      <c r="F7" s="7" t="n">
        <v>46048</v>
      </c>
      <c r="G7" s="6" t="inlineStr">
        <is>
          <t>AARP United Healthcare</t>
        </is>
      </c>
      <c r="H7" s="6" t="inlineStr">
        <is>
          <t>Medicare Part B Arizona *</t>
        </is>
      </c>
      <c r="I7" s="6" t="inlineStr">
        <is>
          <t>AARP United Healthcare</t>
        </is>
      </c>
      <c r="J7" s="8" t="inlineStr">
        <is>
          <t>37242+53 x1; 76937+26 x1; 36140 x1</t>
        </is>
      </c>
      <c r="K7" s="4" t="n"/>
      <c r="L7" s="5">
        <f>IF($O7="","",$O7-TODAY())</f>
        <v/>
      </c>
      <c r="M7" s="5">
        <f>IF($C7="","",$C7+365-TODAY())</f>
        <v/>
      </c>
      <c r="N7" s="5">
        <f>IF($C7="","",$C7+120-TODAY())</f>
        <v/>
      </c>
      <c r="O7" s="7" t="n">
        <v>46413</v>
      </c>
      <c r="P7" s="6" t="inlineStr">
        <is>
          <t>365 days</t>
        </is>
      </c>
      <c r="Q7" s="6" t="inlineStr">
        <is>
          <t>MEDICARE</t>
        </is>
      </c>
      <c r="R7" s="6" t="inlineStr">
        <is>
          <t>365 days</t>
        </is>
      </c>
      <c r="S7" s="6" t="inlineStr">
        <is>
          <t>Processed date</t>
        </is>
      </c>
      <c r="T7" s="6" t="inlineStr">
        <is>
          <t>120 days</t>
        </is>
      </c>
      <c r="U7" s="6" t="inlineStr">
        <is>
          <t>Processed date</t>
        </is>
      </c>
      <c r="V7" s="6" t="inlineStr">
        <is>
          <t>53, 26</t>
        </is>
      </c>
      <c r="W7" s="6" t="n"/>
      <c r="X7" s="6" t="n"/>
      <c r="Y7" s="6" t="inlineStr">
        <is>
          <t>1</t>
        </is>
      </c>
      <c r="Z7" s="9" t="n">
        <v>52944.64</v>
      </c>
      <c r="AA7" s="9" t="n">
        <v>3692.6</v>
      </c>
      <c r="AB7" s="9" t="n">
        <v>89.13</v>
      </c>
      <c r="AC7" s="7" t="n">
        <v>46099</v>
      </c>
      <c r="AD7" s="9" t="n">
        <v>49162.91</v>
      </c>
      <c r="AE7" s="5" t="n">
        <v>194</v>
      </c>
      <c r="AF7" s="6" t="inlineStr">
        <is>
          <t>M1711</t>
        </is>
      </c>
      <c r="AG7" s="6" t="inlineStr">
        <is>
          <t>I798</t>
        </is>
      </c>
      <c r="AH7" s="6" t="inlineStr">
        <is>
          <t>M25561</t>
        </is>
      </c>
      <c r="AI7" s="6" t="inlineStr">
        <is>
          <t>I70209</t>
        </is>
      </c>
      <c r="AJ7" s="5" t="n">
        <v>551630154</v>
      </c>
      <c r="AK7" s="6" t="inlineStr">
        <is>
          <t>HUNTER, DREW</t>
        </is>
      </c>
      <c r="AL7" s="6" t="inlineStr">
        <is>
          <t>ASAP Surgery Centers North Valley LLC</t>
        </is>
      </c>
      <c r="AM7" s="7" t="n">
        <v>46063</v>
      </c>
      <c r="AN7" s="6" t="inlineStr">
        <is>
          <t>GAE</t>
        </is>
      </c>
      <c r="AO7" s="6" t="inlineStr">
        <is>
          <t>11, 12, 13</t>
        </is>
      </c>
    </row>
    <row r="8">
      <c r="A8" s="2" t="n"/>
      <c r="B8" s="3" t="n"/>
      <c r="C8" s="4" t="n">
        <v>46121</v>
      </c>
      <c r="D8" s="5" t="n">
        <v>548877808</v>
      </c>
      <c r="E8" s="6" t="inlineStr">
        <is>
          <t>HF540310616</t>
        </is>
      </c>
      <c r="F8" s="7" t="n">
        <v>46027</v>
      </c>
      <c r="G8" s="6" t="inlineStr">
        <is>
          <t>Humana Gold Plus HMO</t>
        </is>
      </c>
      <c r="H8" s="6" t="inlineStr">
        <is>
          <t>Humana Gold Plus HMO</t>
        </is>
      </c>
      <c r="I8" s="6" t="inlineStr">
        <is>
          <t>No Payer</t>
        </is>
      </c>
      <c r="J8" s="8" t="inlineStr">
        <is>
          <t>36246+59+RT x1; 36245+59 x1; 37242 x1; 36248+59 x3</t>
        </is>
      </c>
      <c r="K8" s="4" t="n"/>
      <c r="L8" s="5">
        <f>IF($O8="","",$O8-TODAY())</f>
        <v/>
      </c>
      <c r="M8" s="5">
        <f>IF($F8="","",$F8+90-TODAY())</f>
        <v/>
      </c>
      <c r="N8" s="5">
        <f>IF($C8="","",$C8+60-TODAY())</f>
        <v/>
      </c>
      <c r="O8" s="7" t="n">
        <v>46117</v>
      </c>
      <c r="P8" s="6" t="inlineStr">
        <is>
          <t>90 days</t>
        </is>
      </c>
      <c r="Q8" s="6" t="inlineStr">
        <is>
          <t>HUMANA MA</t>
        </is>
      </c>
      <c r="R8" s="6" t="inlineStr">
        <is>
          <t>90 days</t>
        </is>
      </c>
      <c r="S8" s="6" t="inlineStr">
        <is>
          <t>Date of service</t>
        </is>
      </c>
      <c r="T8" s="6" t="inlineStr">
        <is>
          <t>60 days</t>
        </is>
      </c>
      <c r="U8" s="6" t="inlineStr">
        <is>
          <t>Processed date</t>
        </is>
      </c>
      <c r="V8" s="6" t="inlineStr">
        <is>
          <t>59</t>
        </is>
      </c>
      <c r="W8" s="6" t="inlineStr">
        <is>
          <t>RT</t>
        </is>
      </c>
      <c r="X8" s="6" t="n"/>
      <c r="Y8" s="6" t="inlineStr">
        <is>
          <t>1, 3</t>
        </is>
      </c>
      <c r="Z8" s="9" t="n">
        <v>65892.82000000001</v>
      </c>
      <c r="AA8" s="9" t="n">
        <v>0</v>
      </c>
      <c r="AB8" s="9" t="n">
        <v>0</v>
      </c>
      <c r="AC8" s="7" t="n">
        <v>46121</v>
      </c>
      <c r="AD8" s="9" t="n">
        <v>65892.82000000001</v>
      </c>
      <c r="AE8" s="5" t="n">
        <v>215</v>
      </c>
      <c r="AF8" s="6" t="inlineStr">
        <is>
          <t>M1711</t>
        </is>
      </c>
      <c r="AG8" s="6" t="inlineStr">
        <is>
          <t>I798</t>
        </is>
      </c>
      <c r="AH8" s="6" t="inlineStr">
        <is>
          <t>M25561</t>
        </is>
      </c>
      <c r="AI8" s="6" t="n"/>
      <c r="AJ8" s="5" t="n"/>
      <c r="AK8" s="6" t="inlineStr">
        <is>
          <t>HUNTER, DREW</t>
        </is>
      </c>
      <c r="AL8" s="6" t="inlineStr">
        <is>
          <t>ASAP Surgery Centers North Valley LLC</t>
        </is>
      </c>
      <c r="AM8" s="7" t="n">
        <v>46062</v>
      </c>
      <c r="AN8" s="6" t="inlineStr">
        <is>
          <t>GAE</t>
        </is>
      </c>
      <c r="AO8" s="6" t="inlineStr">
        <is>
          <t>667, 668, 669, 670</t>
        </is>
      </c>
    </row>
    <row r="9">
      <c r="A9" s="2" t="n"/>
      <c r="B9" s="3" t="n"/>
      <c r="C9" s="4" t="n">
        <v>46142</v>
      </c>
      <c r="D9" s="5" t="n">
        <v>554116779</v>
      </c>
      <c r="E9" s="6" t="inlineStr">
        <is>
          <t>HF479029623</t>
        </is>
      </c>
      <c r="F9" s="7" t="n">
        <v>46027</v>
      </c>
      <c r="G9" s="6" t="inlineStr">
        <is>
          <t>Humana Gold Plus HMO</t>
        </is>
      </c>
      <c r="H9" s="6" t="inlineStr">
        <is>
          <t>Humana Gold Plus HMO</t>
        </is>
      </c>
      <c r="I9" s="6" t="inlineStr">
        <is>
          <t>No Payer</t>
        </is>
      </c>
      <c r="J9" s="8" t="inlineStr">
        <is>
          <t>36248+59 x2; 37242 x1; 36246+59+RT x1; 36245+59 x1</t>
        </is>
      </c>
      <c r="K9" s="4" t="n"/>
      <c r="L9" s="5">
        <f>IF($O9="","",$O9-TODAY())</f>
        <v/>
      </c>
      <c r="M9" s="5">
        <f>IF($F9="","",$F9+90-TODAY())</f>
        <v/>
      </c>
      <c r="N9" s="5">
        <f>IF($C9="","",$C9+60-TODAY())</f>
        <v/>
      </c>
      <c r="O9" s="7" t="n">
        <v>46117</v>
      </c>
      <c r="P9" s="6" t="inlineStr">
        <is>
          <t>90 days</t>
        </is>
      </c>
      <c r="Q9" s="6" t="inlineStr">
        <is>
          <t>HUMANA MA</t>
        </is>
      </c>
      <c r="R9" s="6" t="inlineStr">
        <is>
          <t>90 days</t>
        </is>
      </c>
      <c r="S9" s="6" t="inlineStr">
        <is>
          <t>Date of service</t>
        </is>
      </c>
      <c r="T9" s="6" t="inlineStr">
        <is>
          <t>60 days</t>
        </is>
      </c>
      <c r="U9" s="6" t="inlineStr">
        <is>
          <t>Processed date</t>
        </is>
      </c>
      <c r="V9" s="6" t="inlineStr">
        <is>
          <t>59</t>
        </is>
      </c>
      <c r="W9" s="6" t="inlineStr">
        <is>
          <t>RT</t>
        </is>
      </c>
      <c r="X9" s="6" t="n"/>
      <c r="Y9" s="6" t="inlineStr">
        <is>
          <t>2, 1</t>
        </is>
      </c>
      <c r="Z9" s="9" t="n">
        <v>65085.23</v>
      </c>
      <c r="AA9" s="9" t="n">
        <v>0</v>
      </c>
      <c r="AB9" s="9" t="n">
        <v>0</v>
      </c>
      <c r="AC9" s="7" t="n">
        <v>46142</v>
      </c>
      <c r="AD9" s="9" t="n">
        <v>65085.23</v>
      </c>
      <c r="AE9" s="5" t="n">
        <v>215</v>
      </c>
      <c r="AF9" s="6" t="inlineStr">
        <is>
          <t>M1711</t>
        </is>
      </c>
      <c r="AG9" s="6" t="inlineStr">
        <is>
          <t>I798</t>
        </is>
      </c>
      <c r="AH9" s="6" t="inlineStr">
        <is>
          <t>M25561</t>
        </is>
      </c>
      <c r="AI9" s="6" t="n"/>
      <c r="AJ9" s="5" t="n"/>
      <c r="AK9" s="6" t="inlineStr">
        <is>
          <t>HUNTER, DREW</t>
        </is>
      </c>
      <c r="AL9" s="6" t="inlineStr">
        <is>
          <t>ASAP Surgery Centers North Valley LLC</t>
        </is>
      </c>
      <c r="AM9" s="7" t="n">
        <v>46062</v>
      </c>
      <c r="AN9" s="6" t="inlineStr">
        <is>
          <t>GAE</t>
        </is>
      </c>
      <c r="AO9" s="6" t="inlineStr">
        <is>
          <t>614, 615, 647, 648</t>
        </is>
      </c>
    </row>
    <row r="10">
      <c r="A10" s="2" t="n"/>
      <c r="B10" s="3" t="n"/>
      <c r="C10" s="4" t="n">
        <v>46111</v>
      </c>
      <c r="D10" s="5" t="n">
        <v>552170540</v>
      </c>
      <c r="E10" s="6" t="inlineStr">
        <is>
          <t>HF505789977</t>
        </is>
      </c>
      <c r="F10" s="7" t="n">
        <v>46048</v>
      </c>
      <c r="G10" s="6" t="inlineStr">
        <is>
          <t>Humana Gold Plus HMO</t>
        </is>
      </c>
      <c r="H10" s="6" t="inlineStr">
        <is>
          <t>Humana Gold Plus HMO</t>
        </is>
      </c>
      <c r="I10" s="6" t="inlineStr">
        <is>
          <t>No Payer</t>
        </is>
      </c>
      <c r="J10" s="8" t="inlineStr">
        <is>
          <t>37242 x1; 36245+59 x1; 36248+59 x1; 36246+59+RT x1</t>
        </is>
      </c>
      <c r="K10" s="4" t="n"/>
      <c r="L10" s="5">
        <f>IF($O10="","",$O10-TODAY())</f>
        <v/>
      </c>
      <c r="M10" s="5">
        <f>IF($F10="","",$F10+90-TODAY())</f>
        <v/>
      </c>
      <c r="N10" s="5">
        <f>IF($C10="","",$C10+60-TODAY())</f>
        <v/>
      </c>
      <c r="O10" s="7" t="n">
        <v>46138</v>
      </c>
      <c r="P10" s="6" t="inlineStr">
        <is>
          <t>90 days</t>
        </is>
      </c>
      <c r="Q10" s="6" t="inlineStr">
        <is>
          <t>HUMANA MA</t>
        </is>
      </c>
      <c r="R10" s="6" t="inlineStr">
        <is>
          <t>90 days</t>
        </is>
      </c>
      <c r="S10" s="6" t="inlineStr">
        <is>
          <t>Date of service</t>
        </is>
      </c>
      <c r="T10" s="6" t="inlineStr">
        <is>
          <t>60 days</t>
        </is>
      </c>
      <c r="U10" s="6" t="inlineStr">
        <is>
          <t>Processed date</t>
        </is>
      </c>
      <c r="V10" s="6" t="inlineStr">
        <is>
          <t>59</t>
        </is>
      </c>
      <c r="W10" s="6" t="inlineStr">
        <is>
          <t>RT</t>
        </is>
      </c>
      <c r="X10" s="6" t="n"/>
      <c r="Y10" s="6" t="inlineStr">
        <is>
          <t>1</t>
        </is>
      </c>
      <c r="Z10" s="9" t="n">
        <v>64277.64</v>
      </c>
      <c r="AA10" s="9" t="n">
        <v>0</v>
      </c>
      <c r="AB10" s="9" t="n">
        <v>0</v>
      </c>
      <c r="AC10" s="7" t="n">
        <v>46111</v>
      </c>
      <c r="AD10" s="9" t="n">
        <v>64277.64</v>
      </c>
      <c r="AE10" s="5" t="n">
        <v>194</v>
      </c>
      <c r="AF10" s="6" t="inlineStr">
        <is>
          <t>M1711</t>
        </is>
      </c>
      <c r="AG10" s="6" t="inlineStr">
        <is>
          <t>I798</t>
        </is>
      </c>
      <c r="AH10" s="6" t="inlineStr">
        <is>
          <t>M25561</t>
        </is>
      </c>
      <c r="AI10" s="6" t="n"/>
      <c r="AJ10" s="5" t="n"/>
      <c r="AK10" s="6" t="inlineStr">
        <is>
          <t>HUNTER, DREW</t>
        </is>
      </c>
      <c r="AL10" s="6" t="inlineStr">
        <is>
          <t>ASAP Surgery Centers North Valley LLC</t>
        </is>
      </c>
      <c r="AM10" s="7" t="n">
        <v>46062</v>
      </c>
      <c r="AN10" s="6" t="inlineStr">
        <is>
          <t>GAE</t>
        </is>
      </c>
      <c r="AO10" s="6" t="inlineStr">
        <is>
          <t>704, 705, 706, 707</t>
        </is>
      </c>
    </row>
    <row r="11">
      <c r="A11" s="2" t="n"/>
      <c r="B11" s="3" t="n"/>
      <c r="C11" s="4" t="n">
        <v>46127</v>
      </c>
      <c r="D11" s="5" t="n">
        <v>555373347</v>
      </c>
      <c r="E11" s="6" t="inlineStr">
        <is>
          <t>HF543361488</t>
        </is>
      </c>
      <c r="F11" s="7" t="n">
        <v>46027</v>
      </c>
      <c r="G11" s="6" t="inlineStr">
        <is>
          <t>Aetna Medicare PPO</t>
        </is>
      </c>
      <c r="H11" s="6" t="inlineStr">
        <is>
          <t>Aetna Medicare PPO</t>
        </is>
      </c>
      <c r="I11" s="6" t="inlineStr">
        <is>
          <t>No Payer</t>
        </is>
      </c>
      <c r="J11" s="8" t="inlineStr">
        <is>
          <t>36248+59 x3; 37242 x1; 36246+59+RT x1</t>
        </is>
      </c>
      <c r="K11" s="4" t="n"/>
      <c r="L11" s="5">
        <f>IF($O11="","",$O11-TODAY())</f>
        <v/>
      </c>
      <c r="M11" s="5">
        <f>IF($C11="","",$C11+180-TODAY())</f>
        <v/>
      </c>
      <c r="N11" s="5">
        <f>IF($C11="","",$C11+180-TODAY())</f>
        <v/>
      </c>
      <c r="O11" s="7" t="n">
        <v>46147</v>
      </c>
      <c r="P11" s="6" t="inlineStr">
        <is>
          <t>120 days</t>
        </is>
      </c>
      <c r="Q11" s="6" t="inlineStr">
        <is>
          <t>AETNA</t>
        </is>
      </c>
      <c r="R11" s="6" t="inlineStr">
        <is>
          <t>180 days</t>
        </is>
      </c>
      <c r="S11" s="6" t="inlineStr">
        <is>
          <t>Processed date</t>
        </is>
      </c>
      <c r="T11" s="6" t="inlineStr">
        <is>
          <t>180 days</t>
        </is>
      </c>
      <c r="U11" s="6" t="inlineStr">
        <is>
          <t>Processed date</t>
        </is>
      </c>
      <c r="V11" s="6" t="inlineStr">
        <is>
          <t>59</t>
        </is>
      </c>
      <c r="W11" s="6" t="inlineStr">
        <is>
          <t>RT</t>
        </is>
      </c>
      <c r="X11" s="6" t="n"/>
      <c r="Y11" s="6" t="inlineStr">
        <is>
          <t>3, 1</t>
        </is>
      </c>
      <c r="Z11" s="9" t="n">
        <v>57326.78</v>
      </c>
      <c r="AA11" s="9" t="n">
        <v>0</v>
      </c>
      <c r="AB11" s="9" t="n">
        <v>0</v>
      </c>
      <c r="AC11" s="7" t="n">
        <v>46127</v>
      </c>
      <c r="AD11" s="9" t="n">
        <v>57326.78</v>
      </c>
      <c r="AE11" s="5" t="n">
        <v>215</v>
      </c>
      <c r="AF11" s="6" t="inlineStr">
        <is>
          <t>M1711</t>
        </is>
      </c>
      <c r="AG11" s="6" t="inlineStr">
        <is>
          <t>I798</t>
        </is>
      </c>
      <c r="AH11" s="6" t="inlineStr">
        <is>
          <t>M25561</t>
        </is>
      </c>
      <c r="AI11" s="6" t="n"/>
      <c r="AJ11" s="5" t="n"/>
      <c r="AK11" s="6" t="inlineStr">
        <is>
          <t>HUNTER, DREW</t>
        </is>
      </c>
      <c r="AL11" s="6" t="inlineStr">
        <is>
          <t>ASAP - DEER VALLEY</t>
        </is>
      </c>
      <c r="AM11" s="7" t="n">
        <v>46062</v>
      </c>
      <c r="AN11" s="6" t="inlineStr">
        <is>
          <t>GAE</t>
        </is>
      </c>
      <c r="AO11" s="6" t="inlineStr">
        <is>
          <t>709, 710, 711</t>
        </is>
      </c>
    </row>
    <row r="12">
      <c r="A12" s="2" t="n"/>
      <c r="B12" s="3" t="n"/>
      <c r="C12" s="4" t="n">
        <v>46141</v>
      </c>
      <c r="D12" s="5" t="n">
        <v>548926996</v>
      </c>
      <c r="E12" s="6" t="inlineStr">
        <is>
          <t>HF362284092</t>
        </is>
      </c>
      <c r="F12" s="7" t="n">
        <v>46034</v>
      </c>
      <c r="G12" s="6" t="inlineStr">
        <is>
          <t>UMR Wausau / UHIS</t>
        </is>
      </c>
      <c r="H12" s="6" t="inlineStr">
        <is>
          <t>UMR Wausau / UHIS</t>
        </is>
      </c>
      <c r="I12" s="6" t="inlineStr">
        <is>
          <t>Arizona Complete Health (Centene)</t>
        </is>
      </c>
      <c r="J12" s="8" t="inlineStr">
        <is>
          <t>75774+XU x5; 76937 x1; 37242 x1; 36245+59 x1; 75710+XU+RT x1; 36246+59+RT x1; 36248+59 x3</t>
        </is>
      </c>
      <c r="K12" s="4" t="n"/>
      <c r="L12" s="5">
        <f>IF($O12="","",$O12-TODAY())</f>
        <v/>
      </c>
      <c r="M12" s="5" t="n"/>
      <c r="N12" s="5">
        <f>IF($C12="","",$C12+180-TODAY())</f>
        <v/>
      </c>
      <c r="O12" s="7" t="n"/>
      <c r="P12" s="6" t="n"/>
      <c r="Q12" s="6" t="inlineStr">
        <is>
          <t>UMR / WAUSAU</t>
        </is>
      </c>
      <c r="R12" s="6" t="n"/>
      <c r="S12" s="6" t="n"/>
      <c r="T12" s="6" t="inlineStr">
        <is>
          <t>180 days</t>
        </is>
      </c>
      <c r="U12" s="6" t="inlineStr">
        <is>
          <t>Processed date</t>
        </is>
      </c>
      <c r="V12" s="6" t="inlineStr">
        <is>
          <t>XU, 59</t>
        </is>
      </c>
      <c r="W12" s="6" t="inlineStr">
        <is>
          <t>RT</t>
        </is>
      </c>
      <c r="X12" s="6" t="n"/>
      <c r="Y12" s="6" t="inlineStr">
        <is>
          <t>5, 1, 3</t>
        </is>
      </c>
      <c r="Z12" s="9" t="n">
        <v>70557.69</v>
      </c>
      <c r="AA12" s="9" t="n">
        <v>0</v>
      </c>
      <c r="AB12" s="9" t="n">
        <v>0</v>
      </c>
      <c r="AC12" s="7" t="n">
        <v>46141</v>
      </c>
      <c r="AD12" s="9" t="n">
        <v>70557.69</v>
      </c>
      <c r="AE12" s="5" t="n">
        <v>208</v>
      </c>
      <c r="AF12" s="6" t="inlineStr">
        <is>
          <t>M1711</t>
        </is>
      </c>
      <c r="AG12" s="6" t="inlineStr">
        <is>
          <t>I798</t>
        </is>
      </c>
      <c r="AH12" s="6" t="inlineStr">
        <is>
          <t>M25561</t>
        </is>
      </c>
      <c r="AI12" s="6" t="n"/>
      <c r="AJ12" s="5" t="n"/>
      <c r="AK12" s="6" t="inlineStr">
        <is>
          <t>HUNTER, DREW</t>
        </is>
      </c>
      <c r="AL12" s="6" t="inlineStr">
        <is>
          <t>ASAP - Gilbert</t>
        </is>
      </c>
      <c r="AM12" s="7" t="n">
        <v>46062</v>
      </c>
      <c r="AN12" s="6" t="inlineStr">
        <is>
          <t>GAE</t>
        </is>
      </c>
      <c r="AO12" s="6" t="inlineStr">
        <is>
          <t>360, 361, 362, 363, 364, 365, 385</t>
        </is>
      </c>
    </row>
  </sheetData>
  <autoFilter ref="A1:AO12"/>
  <conditionalFormatting sqref="L2:L12">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2">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2">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2">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2"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O1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n"/>
      <c r="B2" s="3" t="n"/>
      <c r="C2" s="4" t="n"/>
      <c r="D2" s="5" t="n">
        <v>557028860</v>
      </c>
      <c r="E2" s="6" t="inlineStr">
        <is>
          <t>HF527306886</t>
        </is>
      </c>
      <c r="F2" s="7" t="n">
        <v>46037</v>
      </c>
      <c r="G2" s="6" t="inlineStr">
        <is>
          <t>Arizona Priority Care Plus</t>
        </is>
      </c>
      <c r="H2" s="6" t="inlineStr">
        <is>
          <t>Arizona Priority Care Plus</t>
        </is>
      </c>
      <c r="I2" s="6" t="inlineStr">
        <is>
          <t>No Payer</t>
        </is>
      </c>
      <c r="J2" s="8" t="inlineStr">
        <is>
          <t>63685 x1</t>
        </is>
      </c>
      <c r="K2" s="4" t="n"/>
      <c r="L2" s="5">
        <f>IF($O2="","",$O2-TODAY())</f>
        <v/>
      </c>
      <c r="M2" s="5">
        <f>IF($C2="","",$C2+365-TODAY())</f>
        <v/>
      </c>
      <c r="N2" s="5">
        <f>IF($C2="","",$C2+365-TODAY())</f>
        <v/>
      </c>
      <c r="O2" s="7" t="n">
        <v>46097</v>
      </c>
      <c r="P2" s="6" t="inlineStr">
        <is>
          <t>60 days</t>
        </is>
      </c>
      <c r="Q2" s="6" t="inlineStr">
        <is>
          <t>AZ PRIORITY CARE</t>
        </is>
      </c>
      <c r="R2" s="6" t="inlineStr">
        <is>
          <t>365 days</t>
        </is>
      </c>
      <c r="S2" s="6" t="inlineStr">
        <is>
          <t>Processed date</t>
        </is>
      </c>
      <c r="T2" s="6" t="inlineStr">
        <is>
          <t>365 days</t>
        </is>
      </c>
      <c r="U2" s="6" t="inlineStr">
        <is>
          <t>Processed date</t>
        </is>
      </c>
      <c r="V2" s="6" t="n"/>
      <c r="W2" s="6" t="n"/>
      <c r="X2" s="6" t="n"/>
      <c r="Y2" s="6" t="inlineStr">
        <is>
          <t>1</t>
        </is>
      </c>
      <c r="Z2" s="9" t="n">
        <v>2493.33</v>
      </c>
      <c r="AA2" s="9" t="n">
        <v>0</v>
      </c>
      <c r="AB2" s="9" t="n">
        <v>0</v>
      </c>
      <c r="AC2" s="7" t="n"/>
      <c r="AD2" s="9" t="n">
        <v>2493.33</v>
      </c>
      <c r="AE2" s="5" t="n">
        <v>205</v>
      </c>
      <c r="AF2" s="6" t="inlineStr">
        <is>
          <t>M961</t>
        </is>
      </c>
      <c r="AG2" s="6" t="inlineStr">
        <is>
          <t>M5416</t>
        </is>
      </c>
      <c r="AH2" s="6" t="n"/>
      <c r="AI2" s="6" t="n"/>
      <c r="AJ2" s="5" t="n"/>
      <c r="AK2" s="6" t="inlineStr">
        <is>
          <t>KALLGREN, MARK</t>
        </is>
      </c>
      <c r="AL2" s="6" t="inlineStr">
        <is>
          <t>Premier Endoscopy Center, LLC</t>
        </is>
      </c>
      <c r="AM2" s="7" t="n">
        <v>46048</v>
      </c>
      <c r="AN2" s="6" t="inlineStr">
        <is>
          <t>ORTHO</t>
        </is>
      </c>
      <c r="AO2" s="6" t="inlineStr">
        <is>
          <t>353</t>
        </is>
      </c>
    </row>
    <row r="3">
      <c r="A3" s="2" t="inlineStr">
        <is>
          <t>Received</t>
        </is>
      </c>
      <c r="B3" s="3" t="n"/>
      <c r="C3" s="4" t="n">
        <v>46112</v>
      </c>
      <c r="D3" s="5" t="n">
        <v>545934422</v>
      </c>
      <c r="E3" s="6" t="inlineStr">
        <is>
          <t>HF533641085</t>
        </is>
      </c>
      <c r="F3" s="7" t="n">
        <v>46031</v>
      </c>
      <c r="G3" s="6" t="inlineStr">
        <is>
          <t>CIGNA</t>
        </is>
      </c>
      <c r="H3" s="6" t="inlineStr">
        <is>
          <t>CIGNA</t>
        </is>
      </c>
      <c r="I3" s="6" t="inlineStr">
        <is>
          <t>No Payer</t>
        </is>
      </c>
      <c r="J3" s="8" t="inlineStr">
        <is>
          <t>63047 x1</t>
        </is>
      </c>
      <c r="K3" s="4" t="n"/>
      <c r="L3" s="5">
        <f>IF($O3="","",$O3-TODAY())</f>
        <v/>
      </c>
      <c r="M3" s="5">
        <f>IF($F3="","",$F3+90-TODAY())</f>
        <v/>
      </c>
      <c r="N3" s="5">
        <f>IF($C3="","",$C3+180-TODAY())</f>
        <v/>
      </c>
      <c r="O3" s="7" t="n">
        <v>46121</v>
      </c>
      <c r="P3" s="6" t="inlineStr">
        <is>
          <t>90 days</t>
        </is>
      </c>
      <c r="Q3" s="6" t="inlineStr">
        <is>
          <t>CIGNA / CIGNA MEDICARE</t>
        </is>
      </c>
      <c r="R3" s="6" t="inlineStr">
        <is>
          <t>90 days</t>
        </is>
      </c>
      <c r="S3" s="6" t="inlineStr">
        <is>
          <t>Date of service</t>
        </is>
      </c>
      <c r="T3" s="6" t="inlineStr">
        <is>
          <t>180 days</t>
        </is>
      </c>
      <c r="U3" s="6" t="inlineStr">
        <is>
          <t>Processed date</t>
        </is>
      </c>
      <c r="V3" s="6" t="n"/>
      <c r="W3" s="6" t="n"/>
      <c r="X3" s="6" t="n"/>
      <c r="Y3" s="6" t="inlineStr">
        <is>
          <t>1</t>
        </is>
      </c>
      <c r="Z3" s="9" t="n">
        <v>7623.07</v>
      </c>
      <c r="AA3" s="9" t="n">
        <v>0</v>
      </c>
      <c r="AB3" s="9" t="n">
        <v>0</v>
      </c>
      <c r="AC3" s="7" t="n">
        <v>46112</v>
      </c>
      <c r="AD3" s="9" t="n">
        <v>7623.07</v>
      </c>
      <c r="AE3" s="5" t="n">
        <v>211</v>
      </c>
      <c r="AF3" s="6" t="inlineStr">
        <is>
          <t>M48062</t>
        </is>
      </c>
      <c r="AG3" s="6" t="n"/>
      <c r="AH3" s="6" t="n"/>
      <c r="AI3" s="6" t="n"/>
      <c r="AJ3" s="5" t="n"/>
      <c r="AK3" s="6" t="inlineStr">
        <is>
          <t>O'NEIL, ROY</t>
        </is>
      </c>
      <c r="AL3" s="6" t="inlineStr">
        <is>
          <t>ASAP Surgery Centers North Valley LLC</t>
        </is>
      </c>
      <c r="AM3" s="7" t="n">
        <v>46037</v>
      </c>
      <c r="AN3" s="6" t="inlineStr">
        <is>
          <t>ORTHO</t>
        </is>
      </c>
      <c r="AO3" s="6" t="inlineStr">
        <is>
          <t>446</t>
        </is>
      </c>
    </row>
    <row r="4">
      <c r="A4" s="2" t="inlineStr">
        <is>
          <t>Finalized</t>
        </is>
      </c>
      <c r="B4" s="3" t="n"/>
      <c r="C4" s="4" t="n">
        <v>46156</v>
      </c>
      <c r="D4" s="5" t="n">
        <v>545934840</v>
      </c>
      <c r="E4" s="6" t="inlineStr">
        <is>
          <t>HF456567442</t>
        </is>
      </c>
      <c r="F4" s="7" t="n">
        <v>46031</v>
      </c>
      <c r="G4" s="6" t="inlineStr">
        <is>
          <t>UnitedHealthcare Community Plan / Arizona Long Term Care</t>
        </is>
      </c>
      <c r="H4" s="6" t="inlineStr">
        <is>
          <t>United Healthcare</t>
        </is>
      </c>
      <c r="I4" s="6" t="inlineStr">
        <is>
          <t>UnitedHealthcare Community Plan / Arizona Long Term Care</t>
        </is>
      </c>
      <c r="J4" s="8" t="inlineStr">
        <is>
          <t>63685 x1</t>
        </is>
      </c>
      <c r="K4" s="4" t="n"/>
      <c r="L4" s="5">
        <f>IF($O4="","",$O4-TODAY())</f>
        <v/>
      </c>
      <c r="M4" s="5">
        <f>IF($C4="","",$C4+180-TODAY())</f>
        <v/>
      </c>
      <c r="N4" s="5">
        <f>IF($C4="","",$C4+365-TODAY())</f>
        <v/>
      </c>
      <c r="O4" s="7" t="n">
        <v>46121</v>
      </c>
      <c r="P4" s="6" t="inlineStr">
        <is>
          <t>90 days</t>
        </is>
      </c>
      <c r="Q4" s="6" t="inlineStr">
        <is>
          <t>UHC COMMERCIAL</t>
        </is>
      </c>
      <c r="R4" s="6" t="inlineStr">
        <is>
          <t>180 days</t>
        </is>
      </c>
      <c r="S4" s="6" t="inlineStr">
        <is>
          <t>Processed date</t>
        </is>
      </c>
      <c r="T4" s="6" t="inlineStr">
        <is>
          <t>365 days</t>
        </is>
      </c>
      <c r="U4" s="6" t="inlineStr">
        <is>
          <t>Processed date</t>
        </is>
      </c>
      <c r="V4" s="6" t="n"/>
      <c r="W4" s="6" t="n"/>
      <c r="X4" s="6" t="n"/>
      <c r="Y4" s="6" t="inlineStr">
        <is>
          <t>1</t>
        </is>
      </c>
      <c r="Z4" s="9" t="n">
        <v>2493.33</v>
      </c>
      <c r="AA4" s="9" t="n">
        <v>2322.61</v>
      </c>
      <c r="AB4" s="9" t="n">
        <v>18.5</v>
      </c>
      <c r="AC4" s="7" t="n">
        <v>46156</v>
      </c>
      <c r="AD4" s="9" t="n">
        <v>152.22</v>
      </c>
      <c r="AE4" s="5" t="n">
        <v>211</v>
      </c>
      <c r="AF4" s="6" t="inlineStr">
        <is>
          <t>G90523</t>
        </is>
      </c>
      <c r="AG4" s="6" t="n"/>
      <c r="AH4" s="6" t="n"/>
      <c r="AI4" s="6" t="n"/>
      <c r="AJ4" s="5" t="n">
        <v>556916920</v>
      </c>
      <c r="AK4" s="6" t="inlineStr">
        <is>
          <t>O'NEIL, ROY</t>
        </is>
      </c>
      <c r="AL4" s="6" t="inlineStr">
        <is>
          <t>ASAP Surgery Centers North Valley LLC</t>
        </is>
      </c>
      <c r="AM4" s="7" t="n">
        <v>46037</v>
      </c>
      <c r="AN4" s="6" t="inlineStr">
        <is>
          <t>ORTHO</t>
        </is>
      </c>
      <c r="AO4" s="6" t="inlineStr">
        <is>
          <t>6</t>
        </is>
      </c>
    </row>
    <row r="5">
      <c r="A5" s="2" t="n"/>
      <c r="B5" s="3" t="n"/>
      <c r="C5" s="4" t="n">
        <v>46045</v>
      </c>
      <c r="D5" s="5" t="n">
        <v>546049607</v>
      </c>
      <c r="E5" s="6" t="inlineStr">
        <is>
          <t>HF491900072</t>
        </is>
      </c>
      <c r="F5" s="7" t="n">
        <v>46035</v>
      </c>
      <c r="G5" s="6" t="inlineStr">
        <is>
          <t>UnitedHealthcare Community Plan / Arizona Long Term Care</t>
        </is>
      </c>
      <c r="H5" s="6" t="inlineStr">
        <is>
          <t>UnitedHealthcare Community Plan / Arizona Long Term Care</t>
        </is>
      </c>
      <c r="I5" s="6" t="inlineStr">
        <is>
          <t>No Payer</t>
        </is>
      </c>
      <c r="J5" s="8" t="inlineStr">
        <is>
          <t>63047+LT x1</t>
        </is>
      </c>
      <c r="K5" s="4" t="n"/>
      <c r="L5" s="5">
        <f>IF($O5="","",$O5-TODAY())</f>
        <v/>
      </c>
      <c r="M5" s="5">
        <f>IF($C5="","",$C5+180-TODAY())</f>
        <v/>
      </c>
      <c r="N5" s="5">
        <f>IF($C5="","",$C5+365-TODAY())</f>
        <v/>
      </c>
      <c r="O5" s="7" t="n">
        <v>46125</v>
      </c>
      <c r="P5" s="6" t="inlineStr">
        <is>
          <t>90 days</t>
        </is>
      </c>
      <c r="Q5" s="6" t="inlineStr">
        <is>
          <t>UHC COMMUNITY</t>
        </is>
      </c>
      <c r="R5" s="6" t="inlineStr">
        <is>
          <t>180 days</t>
        </is>
      </c>
      <c r="S5" s="6" t="inlineStr">
        <is>
          <t>Processed date</t>
        </is>
      </c>
      <c r="T5" s="6" t="inlineStr">
        <is>
          <t>365 days</t>
        </is>
      </c>
      <c r="U5" s="6" t="inlineStr">
        <is>
          <t>Processed date</t>
        </is>
      </c>
      <c r="V5" s="6" t="inlineStr">
        <is>
          <t>LT</t>
        </is>
      </c>
      <c r="W5" s="6" t="n"/>
      <c r="X5" s="6" t="n"/>
      <c r="Y5" s="6" t="inlineStr">
        <is>
          <t>1</t>
        </is>
      </c>
      <c r="Z5" s="9" t="n">
        <v>7623.07</v>
      </c>
      <c r="AA5" s="9" t="n">
        <v>0</v>
      </c>
      <c r="AB5" s="9" t="n">
        <v>0</v>
      </c>
      <c r="AC5" s="7" t="n">
        <v>46045</v>
      </c>
      <c r="AD5" s="9" t="n">
        <v>7623.07</v>
      </c>
      <c r="AE5" s="5" t="n">
        <v>207</v>
      </c>
      <c r="AF5" s="6" t="inlineStr">
        <is>
          <t>M48062</t>
        </is>
      </c>
      <c r="AG5" s="6" t="n"/>
      <c r="AH5" s="6" t="n"/>
      <c r="AI5" s="6" t="n"/>
      <c r="AJ5" s="5" t="n"/>
      <c r="AK5" s="6" t="inlineStr">
        <is>
          <t>KRAUSE, JEFFREY</t>
        </is>
      </c>
      <c r="AL5" s="6" t="inlineStr">
        <is>
          <t>ASAP Surgery Centers North Valley LLC</t>
        </is>
      </c>
      <c r="AM5" s="7" t="n">
        <v>46037</v>
      </c>
      <c r="AN5" s="6" t="inlineStr">
        <is>
          <t>ORTHO</t>
        </is>
      </c>
      <c r="AO5" s="6" t="inlineStr">
        <is>
          <t>665</t>
        </is>
      </c>
    </row>
    <row r="6">
      <c r="A6" s="2" t="n"/>
      <c r="B6" s="3" t="n"/>
      <c r="C6" s="4" t="n"/>
      <c r="D6" s="5" t="n">
        <v>548591390</v>
      </c>
      <c r="E6" s="6" t="inlineStr">
        <is>
          <t>HF383758253</t>
        </is>
      </c>
      <c r="F6" s="7" t="n">
        <v>46036</v>
      </c>
      <c r="G6" s="6" t="inlineStr">
        <is>
          <t>Blue Cross Blue Shield of Arizona (BCBS AZ)</t>
        </is>
      </c>
      <c r="H6" s="6" t="inlineStr">
        <is>
          <t>Blue Cross Blue Shield of Arizona (BCBS AZ)</t>
        </is>
      </c>
      <c r="I6" s="6" t="inlineStr">
        <is>
          <t>No Payer</t>
        </is>
      </c>
      <c r="J6" s="8" t="inlineStr">
        <is>
          <t>63047 x1</t>
        </is>
      </c>
      <c r="K6" s="4" t="n"/>
      <c r="L6" s="5">
        <f>IF($O6="","",$O6-TODAY())</f>
        <v/>
      </c>
      <c r="M6" s="5">
        <f>IF($C6="","",$C6+365-TODAY())</f>
        <v/>
      </c>
      <c r="N6" s="5">
        <f>IF($C6="","",$C6+365-TODAY())</f>
        <v/>
      </c>
      <c r="O6" s="7" t="n">
        <v>46126</v>
      </c>
      <c r="P6" s="6" t="inlineStr">
        <is>
          <t>90 days</t>
        </is>
      </c>
      <c r="Q6" s="6" t="inlineStr">
        <is>
          <t>BCBS</t>
        </is>
      </c>
      <c r="R6" s="6" t="inlineStr">
        <is>
          <t>365 days</t>
        </is>
      </c>
      <c r="S6" s="6" t="inlineStr">
        <is>
          <t>Processed date</t>
        </is>
      </c>
      <c r="T6" s="6" t="inlineStr">
        <is>
          <t>365 days</t>
        </is>
      </c>
      <c r="U6" s="6" t="inlineStr">
        <is>
          <t>Processed date</t>
        </is>
      </c>
      <c r="V6" s="6" t="n"/>
      <c r="W6" s="6" t="n"/>
      <c r="X6" s="6" t="n"/>
      <c r="Y6" s="6" t="inlineStr">
        <is>
          <t>1</t>
        </is>
      </c>
      <c r="Z6" s="9" t="n">
        <v>7623.07</v>
      </c>
      <c r="AA6" s="9" t="n">
        <v>0</v>
      </c>
      <c r="AB6" s="9" t="n">
        <v>0</v>
      </c>
      <c r="AC6" s="7" t="n"/>
      <c r="AD6" s="9" t="n">
        <v>7623.07</v>
      </c>
      <c r="AE6" s="5" t="n">
        <v>206</v>
      </c>
      <c r="AF6" s="6" t="inlineStr">
        <is>
          <t>M48061</t>
        </is>
      </c>
      <c r="AG6" s="6" t="inlineStr">
        <is>
          <t>M5416</t>
        </is>
      </c>
      <c r="AH6" s="6" t="n"/>
      <c r="AI6" s="6" t="n"/>
      <c r="AJ6" s="5" t="n"/>
      <c r="AK6" s="6" t="inlineStr">
        <is>
          <t>MAYURAN, VIKRAM</t>
        </is>
      </c>
      <c r="AL6" s="6" t="inlineStr">
        <is>
          <t>ASAP Surgery Centers North Valley LLC</t>
        </is>
      </c>
      <c r="AM6" s="7" t="n">
        <v>46042</v>
      </c>
      <c r="AN6" s="6" t="inlineStr">
        <is>
          <t>ORTHO</t>
        </is>
      </c>
      <c r="AO6" s="6" t="inlineStr">
        <is>
          <t>441</t>
        </is>
      </c>
    </row>
    <row r="7">
      <c r="A7" s="2" t="inlineStr">
        <is>
          <t>Denied</t>
        </is>
      </c>
      <c r="B7" s="3" t="n"/>
      <c r="C7" s="4" t="n">
        <v>46163</v>
      </c>
      <c r="D7" s="5" t="n">
        <v>547275123</v>
      </c>
      <c r="E7" s="6" t="inlineStr">
        <is>
          <t>HF470511781</t>
        </is>
      </c>
      <c r="F7" s="7" t="n">
        <v>46045</v>
      </c>
      <c r="G7" s="6" t="inlineStr">
        <is>
          <t>United Healthcare</t>
        </is>
      </c>
      <c r="H7" s="6" t="inlineStr">
        <is>
          <t>Blue Cross Blue Shield of Arizona (BCBS AZ)</t>
        </is>
      </c>
      <c r="I7" s="6" t="inlineStr">
        <is>
          <t>United Healthcare</t>
        </is>
      </c>
      <c r="J7" s="8" t="inlineStr">
        <is>
          <t>27279+LT x1</t>
        </is>
      </c>
      <c r="K7" s="4" t="n"/>
      <c r="L7" s="5">
        <f>IF($O7="","",$O7-TODAY())</f>
        <v/>
      </c>
      <c r="M7" s="5">
        <f>IF($C7="","",$C7+365-TODAY())</f>
        <v/>
      </c>
      <c r="N7" s="5">
        <f>IF($C7="","",$C7+365-TODAY())</f>
        <v/>
      </c>
      <c r="O7" s="7" t="n">
        <v>46135</v>
      </c>
      <c r="P7" s="6" t="inlineStr">
        <is>
          <t>90 days</t>
        </is>
      </c>
      <c r="Q7" s="6" t="inlineStr">
        <is>
          <t>BCBS</t>
        </is>
      </c>
      <c r="R7" s="6" t="inlineStr">
        <is>
          <t>365 days</t>
        </is>
      </c>
      <c r="S7" s="6" t="inlineStr">
        <is>
          <t>Processed date</t>
        </is>
      </c>
      <c r="T7" s="6" t="inlineStr">
        <is>
          <t>365 days</t>
        </is>
      </c>
      <c r="U7" s="6" t="inlineStr">
        <is>
          <t>Processed date</t>
        </is>
      </c>
      <c r="V7" s="6" t="inlineStr">
        <is>
          <t>LT</t>
        </is>
      </c>
      <c r="W7" s="6" t="n"/>
      <c r="X7" s="6" t="n"/>
      <c r="Y7" s="6" t="inlineStr">
        <is>
          <t>1</t>
        </is>
      </c>
      <c r="Z7" s="9" t="n">
        <v>5614.63</v>
      </c>
      <c r="AA7" s="9" t="n">
        <v>-186.91</v>
      </c>
      <c r="AB7" s="9" t="n">
        <v>0</v>
      </c>
      <c r="AC7" s="7" t="n">
        <v>46163</v>
      </c>
      <c r="AD7" s="9" t="n">
        <v>5614.63</v>
      </c>
      <c r="AE7" s="5" t="n">
        <v>197</v>
      </c>
      <c r="AF7" s="6" t="inlineStr">
        <is>
          <t>M461</t>
        </is>
      </c>
      <c r="AG7" s="6" t="n"/>
      <c r="AH7" s="6" t="n"/>
      <c r="AI7" s="6" t="n"/>
      <c r="AJ7" s="5" t="n">
        <v>549237390</v>
      </c>
      <c r="AK7" s="6" t="inlineStr">
        <is>
          <t>LEATHEM, JARRETT</t>
        </is>
      </c>
      <c r="AL7" s="6" t="inlineStr">
        <is>
          <t>Premier Endoscopy Center, LLC</t>
        </is>
      </c>
      <c r="AM7" s="7" t="n">
        <v>46049</v>
      </c>
      <c r="AN7" s="6" t="inlineStr">
        <is>
          <t>ORTHO</t>
        </is>
      </c>
      <c r="AO7" s="6" t="inlineStr">
        <is>
          <t>258</t>
        </is>
      </c>
    </row>
    <row r="8">
      <c r="A8" s="2" t="n"/>
      <c r="B8" s="3" t="n"/>
      <c r="C8" s="4" t="n">
        <v>46052</v>
      </c>
      <c r="D8" s="5" t="n">
        <v>547576017</v>
      </c>
      <c r="E8" s="6" t="inlineStr">
        <is>
          <t>HF524606724</t>
        </is>
      </c>
      <c r="F8" s="7" t="n">
        <v>46045</v>
      </c>
      <c r="G8" s="6" t="inlineStr">
        <is>
          <t>Blue Cross Blue Shield of Arizona (BCBS AZ)</t>
        </is>
      </c>
      <c r="H8" s="6" t="inlineStr">
        <is>
          <t>Blue Cross Blue Shield of Arizona (BCBS AZ)</t>
        </is>
      </c>
      <c r="I8" s="6" t="inlineStr">
        <is>
          <t>No Payer</t>
        </is>
      </c>
      <c r="J8" s="8" t="inlineStr">
        <is>
          <t>63047 x1</t>
        </is>
      </c>
      <c r="K8" s="4" t="n"/>
      <c r="L8" s="5">
        <f>IF($O8="","",$O8-TODAY())</f>
        <v/>
      </c>
      <c r="M8" s="5">
        <f>IF($C8="","",$C8+365-TODAY())</f>
        <v/>
      </c>
      <c r="N8" s="5">
        <f>IF($C8="","",$C8+365-TODAY())</f>
        <v/>
      </c>
      <c r="O8" s="7" t="n">
        <v>46135</v>
      </c>
      <c r="P8" s="6" t="inlineStr">
        <is>
          <t>90 days</t>
        </is>
      </c>
      <c r="Q8" s="6" t="inlineStr">
        <is>
          <t>BCBS</t>
        </is>
      </c>
      <c r="R8" s="6" t="inlineStr">
        <is>
          <t>365 days</t>
        </is>
      </c>
      <c r="S8" s="6" t="inlineStr">
        <is>
          <t>Processed date</t>
        </is>
      </c>
      <c r="T8" s="6" t="inlineStr">
        <is>
          <t>365 days</t>
        </is>
      </c>
      <c r="U8" s="6" t="inlineStr">
        <is>
          <t>Processed date</t>
        </is>
      </c>
      <c r="V8" s="6" t="n"/>
      <c r="W8" s="6" t="n"/>
      <c r="X8" s="6" t="n"/>
      <c r="Y8" s="6" t="inlineStr">
        <is>
          <t>1</t>
        </is>
      </c>
      <c r="Z8" s="9" t="n">
        <v>7623.07</v>
      </c>
      <c r="AA8" s="9" t="n">
        <v>0</v>
      </c>
      <c r="AB8" s="9" t="n">
        <v>0</v>
      </c>
      <c r="AC8" s="7" t="n">
        <v>46052</v>
      </c>
      <c r="AD8" s="9" t="n">
        <v>7623.07</v>
      </c>
      <c r="AE8" s="5" t="n">
        <v>197</v>
      </c>
      <c r="AF8" s="6" t="inlineStr">
        <is>
          <t>M48062</t>
        </is>
      </c>
      <c r="AG8" s="6" t="n"/>
      <c r="AH8" s="6" t="n"/>
      <c r="AI8" s="6" t="n"/>
      <c r="AJ8" s="5" t="n"/>
      <c r="AK8" s="6" t="inlineStr">
        <is>
          <t>O'NEIL, ROY</t>
        </is>
      </c>
      <c r="AL8" s="6" t="inlineStr">
        <is>
          <t>ASAP Surgery Centers North Valley LLC</t>
        </is>
      </c>
      <c r="AM8" s="7" t="n">
        <v>46049</v>
      </c>
      <c r="AN8" s="6" t="inlineStr">
        <is>
          <t>ORTHO</t>
        </is>
      </c>
      <c r="AO8" s="6" t="inlineStr">
        <is>
          <t>628</t>
        </is>
      </c>
    </row>
    <row r="9">
      <c r="A9" s="2" t="n"/>
      <c r="B9" s="3" t="n"/>
      <c r="C9" s="4" t="n">
        <v>46111</v>
      </c>
      <c r="D9" s="5" t="n">
        <v>549178846</v>
      </c>
      <c r="E9" s="6" t="inlineStr">
        <is>
          <t>HF450934372</t>
        </is>
      </c>
      <c r="F9" s="7" t="n">
        <v>46045</v>
      </c>
      <c r="G9" s="6" t="inlineStr">
        <is>
          <t>Gold Kidney Health Plan</t>
        </is>
      </c>
      <c r="H9" s="6" t="inlineStr">
        <is>
          <t>Gold Kidney Health Plan</t>
        </is>
      </c>
      <c r="I9" s="6" t="inlineStr">
        <is>
          <t>No Payer</t>
        </is>
      </c>
      <c r="J9" s="8" t="inlineStr">
        <is>
          <t>22853+58 x1; 22853+58+59 x1</t>
        </is>
      </c>
      <c r="K9" s="4" t="n"/>
      <c r="L9" s="5">
        <f>IF($O9="","",$O9-TODAY())</f>
        <v/>
      </c>
      <c r="M9" s="5" t="n"/>
      <c r="N9" s="5" t="n"/>
      <c r="O9" s="7" t="n"/>
      <c r="P9" s="6" t="n"/>
      <c r="Q9" s="6" t="inlineStr">
        <is>
          <t>Not on reference list</t>
        </is>
      </c>
      <c r="R9" s="6" t="n"/>
      <c r="S9" s="6" t="n"/>
      <c r="T9" s="6" t="n"/>
      <c r="U9" s="6" t="n"/>
      <c r="V9" s="6" t="inlineStr">
        <is>
          <t>58</t>
        </is>
      </c>
      <c r="W9" s="6" t="inlineStr">
        <is>
          <t>59</t>
        </is>
      </c>
      <c r="X9" s="6" t="n"/>
      <c r="Y9" s="6" t="inlineStr">
        <is>
          <t>1</t>
        </is>
      </c>
      <c r="Z9" s="9" t="n">
        <v>3516.24</v>
      </c>
      <c r="AA9" s="9" t="n">
        <v>0</v>
      </c>
      <c r="AB9" s="9" t="n">
        <v>0</v>
      </c>
      <c r="AC9" s="7" t="n">
        <v>46111</v>
      </c>
      <c r="AD9" s="9" t="n">
        <v>3516.24</v>
      </c>
      <c r="AE9" s="5" t="n">
        <v>197</v>
      </c>
      <c r="AF9" s="6" t="inlineStr">
        <is>
          <t>M4316</t>
        </is>
      </c>
      <c r="AG9" s="6" t="inlineStr">
        <is>
          <t>M5416</t>
        </is>
      </c>
      <c r="AH9" s="6" t="n"/>
      <c r="AI9" s="6" t="n"/>
      <c r="AJ9" s="5" t="n"/>
      <c r="AK9" s="6" t="inlineStr">
        <is>
          <t>MAYURAN, VIKRAM</t>
        </is>
      </c>
      <c r="AL9" s="6" t="inlineStr">
        <is>
          <t>Banner Desert Medical Center</t>
        </is>
      </c>
      <c r="AM9" s="7" t="n">
        <v>46058</v>
      </c>
      <c r="AN9" s="6" t="inlineStr">
        <is>
          <t>ORTHO</t>
        </is>
      </c>
      <c r="AO9" s="6" t="inlineStr">
        <is>
          <t>442, 443</t>
        </is>
      </c>
    </row>
    <row r="10">
      <c r="A10" s="2" t="n"/>
      <c r="B10" s="3" t="n"/>
      <c r="C10" s="4" t="n">
        <v>46177</v>
      </c>
      <c r="D10" s="5" t="n">
        <v>557657640</v>
      </c>
      <c r="E10" s="6" t="inlineStr">
        <is>
          <t>HF396771694</t>
        </is>
      </c>
      <c r="F10" s="7" t="n">
        <v>46048</v>
      </c>
      <c r="G10" s="6" t="inlineStr">
        <is>
          <t>Tricare West</t>
        </is>
      </c>
      <c r="H10" s="6" t="inlineStr">
        <is>
          <t>Tricare West</t>
        </is>
      </c>
      <c r="I10" s="6" t="inlineStr">
        <is>
          <t>No Payer</t>
        </is>
      </c>
      <c r="J10" s="8" t="inlineStr">
        <is>
          <t>63655+53 x1</t>
        </is>
      </c>
      <c r="K10" s="4" t="n"/>
      <c r="L10" s="5">
        <f>IF($O10="","",$O10-TODAY())</f>
        <v/>
      </c>
      <c r="M10" s="5" t="n"/>
      <c r="N10" s="5" t="n"/>
      <c r="O10" s="7" t="n"/>
      <c r="P10" s="6" t="n"/>
      <c r="Q10" s="6" t="inlineStr">
        <is>
          <t>Not on reference list</t>
        </is>
      </c>
      <c r="R10" s="6" t="n"/>
      <c r="S10" s="6" t="n"/>
      <c r="T10" s="6" t="n"/>
      <c r="U10" s="6" t="n"/>
      <c r="V10" s="6" t="inlineStr">
        <is>
          <t>53</t>
        </is>
      </c>
      <c r="W10" s="6" t="n"/>
      <c r="X10" s="6" t="n"/>
      <c r="Y10" s="6" t="inlineStr">
        <is>
          <t>1</t>
        </is>
      </c>
      <c r="Z10" s="9" t="n">
        <v>5784.24</v>
      </c>
      <c r="AA10" s="9" t="n">
        <v>0</v>
      </c>
      <c r="AB10" s="9" t="n">
        <v>0</v>
      </c>
      <c r="AC10" s="7" t="n">
        <v>46177</v>
      </c>
      <c r="AD10" s="9" t="n">
        <v>5784.24</v>
      </c>
      <c r="AE10" s="5" t="n">
        <v>194</v>
      </c>
      <c r="AF10" s="6" t="inlineStr">
        <is>
          <t>G90523</t>
        </is>
      </c>
      <c r="AG10" s="6" t="n"/>
      <c r="AH10" s="6" t="n"/>
      <c r="AI10" s="6" t="n"/>
      <c r="AJ10" s="5" t="n"/>
      <c r="AK10" s="6" t="inlineStr">
        <is>
          <t>LUKE, TIMOTHY</t>
        </is>
      </c>
      <c r="AL10" s="6" t="inlineStr">
        <is>
          <t>ASAP Surgery Centers North Valley LLC</t>
        </is>
      </c>
      <c r="AM10" s="7" t="n">
        <v>46079</v>
      </c>
      <c r="AN10" s="6" t="inlineStr">
        <is>
          <t>ORTHO</t>
        </is>
      </c>
      <c r="AO10" s="6" t="inlineStr">
        <is>
          <t>354</t>
        </is>
      </c>
    </row>
  </sheetData>
  <autoFilter ref="A1:AO10"/>
  <conditionalFormatting sqref="L2:L10">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0">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0">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0">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O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inlineStr">
        <is>
          <t>Received</t>
        </is>
      </c>
      <c r="B2" s="3" t="n"/>
      <c r="C2" s="4" t="n">
        <v>46199</v>
      </c>
      <c r="D2" s="5" t="n">
        <v>555109108</v>
      </c>
      <c r="E2" s="6" t="inlineStr">
        <is>
          <t>HF537320032</t>
        </is>
      </c>
      <c r="F2" s="7" t="n">
        <v>46030</v>
      </c>
      <c r="G2" s="6" t="inlineStr">
        <is>
          <t>Humana Gold Plus HMO</t>
        </is>
      </c>
      <c r="H2" s="6" t="inlineStr">
        <is>
          <t>Humana Gold Plus HMO</t>
        </is>
      </c>
      <c r="I2" s="6" t="inlineStr">
        <is>
          <t>No Payer</t>
        </is>
      </c>
      <c r="J2" s="8" t="inlineStr">
        <is>
          <t>93925 x1</t>
        </is>
      </c>
      <c r="K2" s="4" t="n"/>
      <c r="L2" s="5">
        <f>IF($O2="","",$O2-TODAY())</f>
        <v/>
      </c>
      <c r="M2" s="5">
        <f>IF($F2="","",$F2+90-TODAY())</f>
        <v/>
      </c>
      <c r="N2" s="5">
        <f>IF($C2="","",$C2+60-TODAY())</f>
        <v/>
      </c>
      <c r="O2" s="7" t="n">
        <v>46120</v>
      </c>
      <c r="P2" s="6" t="inlineStr">
        <is>
          <t>90 days</t>
        </is>
      </c>
      <c r="Q2" s="6" t="inlineStr">
        <is>
          <t>HUMANA MA</t>
        </is>
      </c>
      <c r="R2" s="6" t="inlineStr">
        <is>
          <t>90 days</t>
        </is>
      </c>
      <c r="S2" s="6" t="inlineStr">
        <is>
          <t>Date of service</t>
        </is>
      </c>
      <c r="T2" s="6" t="inlineStr">
        <is>
          <t>60 days</t>
        </is>
      </c>
      <c r="U2" s="6" t="inlineStr">
        <is>
          <t>Processed date</t>
        </is>
      </c>
      <c r="V2" s="6" t="n"/>
      <c r="W2" s="6" t="n"/>
      <c r="X2" s="6" t="n"/>
      <c r="Y2" s="6" t="inlineStr">
        <is>
          <t>1</t>
        </is>
      </c>
      <c r="Z2" s="9" t="n">
        <v>1649.2</v>
      </c>
      <c r="AA2" s="9" t="n">
        <v>1468.48</v>
      </c>
      <c r="AB2" s="9" t="n">
        <v>291.98</v>
      </c>
      <c r="AC2" s="7" t="n">
        <v>46199</v>
      </c>
      <c r="AD2" s="9" t="n">
        <v>-111.26</v>
      </c>
      <c r="AE2" s="5" t="n">
        <v>212</v>
      </c>
      <c r="AF2" s="6" t="inlineStr">
        <is>
          <t>I739</t>
        </is>
      </c>
      <c r="AG2" s="6" t="n"/>
      <c r="AH2" s="6" t="n"/>
      <c r="AI2" s="6" t="n"/>
      <c r="AJ2" s="5" t="n"/>
      <c r="AK2" s="6" t="inlineStr">
        <is>
          <t>TURLEY, TODD</t>
        </is>
      </c>
      <c r="AL2" s="6" t="inlineStr">
        <is>
          <t>ASAP - DEER VALLEY</t>
        </is>
      </c>
      <c r="AM2" s="7" t="n">
        <v>46048</v>
      </c>
      <c r="AN2" s="6" t="inlineStr">
        <is>
          <t>US</t>
        </is>
      </c>
      <c r="AO2" s="6" t="inlineStr">
        <is>
          <t>673</t>
        </is>
      </c>
    </row>
    <row r="3">
      <c r="A3" s="2" t="n"/>
      <c r="B3" s="3" t="n"/>
      <c r="C3" s="4" t="n"/>
      <c r="D3" s="5" t="n">
        <v>557356991</v>
      </c>
      <c r="E3" s="6" t="inlineStr">
        <is>
          <t>HF536495012</t>
        </is>
      </c>
      <c r="F3" s="7" t="n">
        <v>46030</v>
      </c>
      <c r="G3" s="6" t="inlineStr">
        <is>
          <t>Optum Care Medical Network of Arizona, Utah, &amp; Washington (LifePrint)</t>
        </is>
      </c>
      <c r="H3" s="6" t="inlineStr">
        <is>
          <t>Optum Care Medical Network of Arizona, Utah, &amp; Washington (LifePrint)</t>
        </is>
      </c>
      <c r="I3" s="6" t="inlineStr">
        <is>
          <t>No Payer</t>
        </is>
      </c>
      <c r="J3" s="8" t="inlineStr">
        <is>
          <t>93970 x1</t>
        </is>
      </c>
      <c r="K3" s="4" t="n"/>
      <c r="L3" s="5">
        <f>IF($O3="","",$O3-TODAY())</f>
        <v/>
      </c>
      <c r="M3" s="5">
        <f>IF($C3="","",$C3+365-TODAY())</f>
        <v/>
      </c>
      <c r="N3" s="5">
        <f>IF($C3="","",$C3+365-TODAY())</f>
        <v/>
      </c>
      <c r="O3" s="7" t="n">
        <v>46120</v>
      </c>
      <c r="P3" s="6" t="inlineStr">
        <is>
          <t>90 days</t>
        </is>
      </c>
      <c r="Q3" s="6" t="inlineStr">
        <is>
          <t>OPTUM</t>
        </is>
      </c>
      <c r="R3" s="6" t="inlineStr">
        <is>
          <t>365 days</t>
        </is>
      </c>
      <c r="S3" s="6" t="inlineStr">
        <is>
          <t>Processed date</t>
        </is>
      </c>
      <c r="T3" s="6" t="inlineStr">
        <is>
          <t>365 days</t>
        </is>
      </c>
      <c r="U3" s="6" t="inlineStr">
        <is>
          <t>Processed date</t>
        </is>
      </c>
      <c r="V3" s="6" t="n"/>
      <c r="W3" s="6" t="n"/>
      <c r="X3" s="6" t="n"/>
      <c r="Y3" s="6" t="inlineStr">
        <is>
          <t>1</t>
        </is>
      </c>
      <c r="Z3" s="9" t="n">
        <v>1294.23</v>
      </c>
      <c r="AA3" s="9" t="n">
        <v>0</v>
      </c>
      <c r="AB3" s="9" t="n">
        <v>0</v>
      </c>
      <c r="AC3" s="7" t="n"/>
      <c r="AD3" s="9" t="n">
        <v>1294.23</v>
      </c>
      <c r="AE3" s="5" t="n">
        <v>212</v>
      </c>
      <c r="AF3" s="6" t="inlineStr">
        <is>
          <t>R600</t>
        </is>
      </c>
      <c r="AG3" s="6" t="inlineStr">
        <is>
          <t>M79605</t>
        </is>
      </c>
      <c r="AH3" s="6" t="inlineStr">
        <is>
          <t>M79604</t>
        </is>
      </c>
      <c r="AI3" s="6" t="n"/>
      <c r="AJ3" s="5" t="n"/>
      <c r="AK3" s="6" t="inlineStr">
        <is>
          <t>TURLEY, TODD</t>
        </is>
      </c>
      <c r="AL3" s="6" t="inlineStr">
        <is>
          <t>ASAP - DEER VALLEY</t>
        </is>
      </c>
      <c r="AM3" s="7" t="n">
        <v>46048</v>
      </c>
      <c r="AN3" s="6" t="inlineStr">
        <is>
          <t>US</t>
        </is>
      </c>
      <c r="AO3" s="6" t="inlineStr">
        <is>
          <t>479</t>
        </is>
      </c>
    </row>
    <row r="4">
      <c r="A4" s="2" t="inlineStr">
        <is>
          <t>Received</t>
        </is>
      </c>
      <c r="B4" s="3" t="n"/>
      <c r="C4" s="4" t="n">
        <v>46069</v>
      </c>
      <c r="D4" s="5" t="n">
        <v>548717876</v>
      </c>
      <c r="E4" s="6" t="inlineStr">
        <is>
          <t>HF442148430</t>
        </is>
      </c>
      <c r="F4" s="7" t="n">
        <v>46035</v>
      </c>
      <c r="G4" s="6" t="inlineStr">
        <is>
          <t>Cigna Medicare Advantage</t>
        </is>
      </c>
      <c r="H4" s="6" t="inlineStr">
        <is>
          <t>Cigna Medicare Advantage</t>
        </is>
      </c>
      <c r="I4" s="6" t="inlineStr">
        <is>
          <t>No Payer</t>
        </is>
      </c>
      <c r="J4" s="8" t="inlineStr">
        <is>
          <t>93925 x1</t>
        </is>
      </c>
      <c r="K4" s="4" t="n"/>
      <c r="L4" s="5">
        <f>IF($O4="","",$O4-TODAY())</f>
        <v/>
      </c>
      <c r="M4" s="5">
        <f>IF($F4="","",$F4+90-TODAY())</f>
        <v/>
      </c>
      <c r="N4" s="5">
        <f>IF($C4="","",$C4+180-TODAY())</f>
        <v/>
      </c>
      <c r="O4" s="7" t="n">
        <v>46125</v>
      </c>
      <c r="P4" s="6" t="inlineStr">
        <is>
          <t>90 days</t>
        </is>
      </c>
      <c r="Q4" s="6" t="inlineStr">
        <is>
          <t>CIGNA / CIGNA MEDICARE</t>
        </is>
      </c>
      <c r="R4" s="6" t="inlineStr">
        <is>
          <t>90 days</t>
        </is>
      </c>
      <c r="S4" s="6" t="inlineStr">
        <is>
          <t>Date of service</t>
        </is>
      </c>
      <c r="T4" s="6" t="inlineStr">
        <is>
          <t>180 days</t>
        </is>
      </c>
      <c r="U4" s="6" t="inlineStr">
        <is>
          <t>Processed date</t>
        </is>
      </c>
      <c r="V4" s="6" t="n"/>
      <c r="W4" s="6" t="n"/>
      <c r="X4" s="6" t="n"/>
      <c r="Y4" s="6" t="inlineStr">
        <is>
          <t>1</t>
        </is>
      </c>
      <c r="Z4" s="9" t="n">
        <v>1649.2</v>
      </c>
      <c r="AA4" s="9" t="n">
        <v>1478.03</v>
      </c>
      <c r="AB4" s="9" t="n">
        <v>390.24</v>
      </c>
      <c r="AC4" s="7" t="n">
        <v>46069</v>
      </c>
      <c r="AD4" s="9" t="n">
        <v>-219.07</v>
      </c>
      <c r="AE4" s="5" t="n">
        <v>207</v>
      </c>
      <c r="AF4" s="6" t="inlineStr">
        <is>
          <t>I739</t>
        </is>
      </c>
      <c r="AG4" s="6" t="n"/>
      <c r="AH4" s="6" t="n"/>
      <c r="AI4" s="6" t="n"/>
      <c r="AJ4" s="5" t="n"/>
      <c r="AK4" s="6" t="inlineStr">
        <is>
          <t>LEATHEM, JARRETT</t>
        </is>
      </c>
      <c r="AL4" s="6" t="inlineStr">
        <is>
          <t>ASAP - Gilbert</t>
        </is>
      </c>
      <c r="AM4" s="7" t="n">
        <v>46051</v>
      </c>
      <c r="AN4" s="6" t="inlineStr">
        <is>
          <t>US</t>
        </is>
      </c>
      <c r="AO4" s="6" t="inlineStr">
        <is>
          <t>85</t>
        </is>
      </c>
    </row>
    <row r="5">
      <c r="A5" s="2" t="inlineStr">
        <is>
          <t>Received</t>
        </is>
      </c>
      <c r="B5" s="3" t="n"/>
      <c r="C5" s="4" t="n">
        <v>46160</v>
      </c>
      <c r="D5" s="5" t="n">
        <v>547451314</v>
      </c>
      <c r="E5" s="6" t="inlineStr">
        <is>
          <t>HF494223308</t>
        </is>
      </c>
      <c r="F5" s="7" t="n">
        <v>46036</v>
      </c>
      <c r="G5" s="6" t="inlineStr">
        <is>
          <t>Cigna Medicare Advantage</t>
        </is>
      </c>
      <c r="H5" s="6" t="inlineStr">
        <is>
          <t>Cigna Medicare Advantage</t>
        </is>
      </c>
      <c r="I5" s="6" t="inlineStr">
        <is>
          <t>No Payer</t>
        </is>
      </c>
      <c r="J5" s="8" t="inlineStr">
        <is>
          <t>93925 x1</t>
        </is>
      </c>
      <c r="K5" s="4" t="n"/>
      <c r="L5" s="5">
        <f>IF($O5="","",$O5-TODAY())</f>
        <v/>
      </c>
      <c r="M5" s="5">
        <f>IF($F5="","",$F5+90-TODAY())</f>
        <v/>
      </c>
      <c r="N5" s="5">
        <f>IF($C5="","",$C5+180-TODAY())</f>
        <v/>
      </c>
      <c r="O5" s="7" t="n">
        <v>46126</v>
      </c>
      <c r="P5" s="6" t="inlineStr">
        <is>
          <t>90 days</t>
        </is>
      </c>
      <c r="Q5" s="6" t="inlineStr">
        <is>
          <t>CIGNA / CIGNA MEDICARE</t>
        </is>
      </c>
      <c r="R5" s="6" t="inlineStr">
        <is>
          <t>90 days</t>
        </is>
      </c>
      <c r="S5" s="6" t="inlineStr">
        <is>
          <t>Date of service</t>
        </is>
      </c>
      <c r="T5" s="6" t="inlineStr">
        <is>
          <t>180 days</t>
        </is>
      </c>
      <c r="U5" s="6" t="inlineStr">
        <is>
          <t>Processed date</t>
        </is>
      </c>
      <c r="V5" s="6" t="n"/>
      <c r="W5" s="6" t="n"/>
      <c r="X5" s="6" t="n"/>
      <c r="Y5" s="6" t="inlineStr">
        <is>
          <t>1</t>
        </is>
      </c>
      <c r="Z5" s="9" t="n">
        <v>1649.2</v>
      </c>
      <c r="AA5" s="9" t="n">
        <v>-227.03</v>
      </c>
      <c r="AB5" s="9" t="n">
        <v>227.03</v>
      </c>
      <c r="AC5" s="7" t="n">
        <v>46160</v>
      </c>
      <c r="AD5" s="9" t="n">
        <v>1649.2</v>
      </c>
      <c r="AE5" s="5" t="n">
        <v>206</v>
      </c>
      <c r="AF5" s="6" t="inlineStr">
        <is>
          <t>M79604</t>
        </is>
      </c>
      <c r="AG5" s="6" t="inlineStr">
        <is>
          <t>M79605</t>
        </is>
      </c>
      <c r="AH5" s="6" t="inlineStr">
        <is>
          <t>M25551</t>
        </is>
      </c>
      <c r="AI5" s="6" t="inlineStr">
        <is>
          <t>M25552</t>
        </is>
      </c>
      <c r="AJ5" s="5" t="n"/>
      <c r="AK5" s="6" t="inlineStr">
        <is>
          <t>BURGHER, ABRAM</t>
        </is>
      </c>
      <c r="AL5" s="6" t="inlineStr">
        <is>
          <t>ASAP - Surprise - Reems</t>
        </is>
      </c>
      <c r="AM5" s="7" t="n">
        <v>46048</v>
      </c>
      <c r="AN5" s="6" t="inlineStr">
        <is>
          <t>US</t>
        </is>
      </c>
      <c r="AO5" s="6" t="inlineStr">
        <is>
          <t>601</t>
        </is>
      </c>
    </row>
    <row r="6">
      <c r="A6" s="2" t="n"/>
      <c r="B6" s="3" t="n"/>
      <c r="C6" s="4" t="n">
        <v>46163</v>
      </c>
      <c r="D6" s="5" t="n">
        <v>547465291</v>
      </c>
      <c r="E6" s="6" t="inlineStr">
        <is>
          <t>HF526889546</t>
        </is>
      </c>
      <c r="F6" s="7" t="n">
        <v>46037</v>
      </c>
      <c r="G6" s="6" t="inlineStr">
        <is>
          <t>United Healthcare</t>
        </is>
      </c>
      <c r="H6" s="6" t="inlineStr">
        <is>
          <t>United Healthcare</t>
        </is>
      </c>
      <c r="I6" s="6" t="inlineStr">
        <is>
          <t>No Payer</t>
        </is>
      </c>
      <c r="J6" s="8" t="inlineStr">
        <is>
          <t>93970 x1</t>
        </is>
      </c>
      <c r="K6" s="4" t="n"/>
      <c r="L6" s="5">
        <f>IF($O6="","",$O6-TODAY())</f>
        <v/>
      </c>
      <c r="M6" s="5">
        <f>IF($C6="","",$C6+180-TODAY())</f>
        <v/>
      </c>
      <c r="N6" s="5">
        <f>IF($C6="","",$C6+365-TODAY())</f>
        <v/>
      </c>
      <c r="O6" s="7" t="n">
        <v>46127</v>
      </c>
      <c r="P6" s="6" t="inlineStr">
        <is>
          <t>90 days</t>
        </is>
      </c>
      <c r="Q6" s="6" t="inlineStr">
        <is>
          <t>UHC COMMERCIAL</t>
        </is>
      </c>
      <c r="R6" s="6" t="inlineStr">
        <is>
          <t>180 days</t>
        </is>
      </c>
      <c r="S6" s="6" t="inlineStr">
        <is>
          <t>Processed date</t>
        </is>
      </c>
      <c r="T6" s="6" t="inlineStr">
        <is>
          <t>365 days</t>
        </is>
      </c>
      <c r="U6" s="6" t="inlineStr">
        <is>
          <t>Processed date</t>
        </is>
      </c>
      <c r="V6" s="6" t="n"/>
      <c r="W6" s="6" t="n"/>
      <c r="X6" s="6" t="n"/>
      <c r="Y6" s="6" t="inlineStr">
        <is>
          <t>1</t>
        </is>
      </c>
      <c r="Z6" s="9" t="n">
        <v>1294.23</v>
      </c>
      <c r="AA6" s="9" t="n">
        <v>0</v>
      </c>
      <c r="AB6" s="9" t="n">
        <v>0</v>
      </c>
      <c r="AC6" s="7" t="n">
        <v>46163</v>
      </c>
      <c r="AD6" s="9" t="n">
        <v>1294.23</v>
      </c>
      <c r="AE6" s="5" t="n">
        <v>205</v>
      </c>
      <c r="AF6" s="6" t="inlineStr">
        <is>
          <t>R600</t>
        </is>
      </c>
      <c r="AG6" s="6" t="inlineStr">
        <is>
          <t>M5416</t>
        </is>
      </c>
      <c r="AH6" s="6" t="n"/>
      <c r="AI6" s="6" t="n"/>
      <c r="AJ6" s="5" t="n"/>
      <c r="AK6" s="6" t="inlineStr">
        <is>
          <t>TURLEY, TODD</t>
        </is>
      </c>
      <c r="AL6" s="6" t="inlineStr">
        <is>
          <t>ASAP - DEER VALLEY</t>
        </is>
      </c>
      <c r="AM6" s="7" t="n">
        <v>46048</v>
      </c>
      <c r="AN6" s="6" t="inlineStr">
        <is>
          <t>US</t>
        </is>
      </c>
      <c r="AO6" s="6" t="inlineStr">
        <is>
          <t>694</t>
        </is>
      </c>
    </row>
    <row r="7">
      <c r="A7" s="2" t="inlineStr">
        <is>
          <t>Received</t>
        </is>
      </c>
      <c r="B7" s="3" t="n"/>
      <c r="C7" s="4" t="n">
        <v>46160</v>
      </c>
      <c r="D7" s="5" t="n">
        <v>547481511</v>
      </c>
      <c r="E7" s="6" t="inlineStr">
        <is>
          <t>HF513229920</t>
        </is>
      </c>
      <c r="F7" s="7" t="n">
        <v>46043</v>
      </c>
      <c r="G7" s="6" t="inlineStr">
        <is>
          <t>HealthSpring Medicare Advantage</t>
        </is>
      </c>
      <c r="H7" s="6" t="inlineStr">
        <is>
          <t>HealthSpring Medicare Advantage</t>
        </is>
      </c>
      <c r="I7" s="6" t="inlineStr">
        <is>
          <t>No Payer</t>
        </is>
      </c>
      <c r="J7" s="8" t="inlineStr">
        <is>
          <t>93970 x1</t>
        </is>
      </c>
      <c r="K7" s="4" t="n"/>
      <c r="L7" s="5">
        <f>IF($O7="","",$O7-TODAY())</f>
        <v/>
      </c>
      <c r="M7" s="5">
        <f>IF($F7="","",$F7+90-TODAY())</f>
        <v/>
      </c>
      <c r="N7" s="5">
        <f>IF($C7="","",$C7+180-TODAY())</f>
        <v/>
      </c>
      <c r="O7" s="7" t="n">
        <v>46133</v>
      </c>
      <c r="P7" s="6" t="inlineStr">
        <is>
          <t>90 days</t>
        </is>
      </c>
      <c r="Q7" s="6" t="inlineStr">
        <is>
          <t>CIGNA / CIGNA MEDICARE</t>
        </is>
      </c>
      <c r="R7" s="6" t="inlineStr">
        <is>
          <t>90 days</t>
        </is>
      </c>
      <c r="S7" s="6" t="inlineStr">
        <is>
          <t>Date of service</t>
        </is>
      </c>
      <c r="T7" s="6" t="inlineStr">
        <is>
          <t>180 days</t>
        </is>
      </c>
      <c r="U7" s="6" t="inlineStr">
        <is>
          <t>Processed date</t>
        </is>
      </c>
      <c r="V7" s="6" t="n"/>
      <c r="W7" s="6" t="n"/>
      <c r="X7" s="6" t="n"/>
      <c r="Y7" s="6" t="inlineStr">
        <is>
          <t>1</t>
        </is>
      </c>
      <c r="Z7" s="9" t="n">
        <v>1294.23</v>
      </c>
      <c r="AA7" s="9" t="n">
        <v>-176</v>
      </c>
      <c r="AB7" s="9" t="n">
        <v>176</v>
      </c>
      <c r="AC7" s="7" t="n">
        <v>46160</v>
      </c>
      <c r="AD7" s="9" t="n">
        <v>1294.23</v>
      </c>
      <c r="AE7" s="5" t="n">
        <v>199</v>
      </c>
      <c r="AF7" s="6" t="inlineStr">
        <is>
          <t>I872</t>
        </is>
      </c>
      <c r="AG7" s="6" t="inlineStr">
        <is>
          <t>I83812</t>
        </is>
      </c>
      <c r="AH7" s="6" t="n"/>
      <c r="AI7" s="6" t="n"/>
      <c r="AJ7" s="5" t="n"/>
      <c r="AK7" s="6" t="inlineStr">
        <is>
          <t>BURGHER, ABRAM</t>
        </is>
      </c>
      <c r="AL7" s="6" t="inlineStr">
        <is>
          <t>ASAP - Surprise - Reems</t>
        </is>
      </c>
      <c r="AM7" s="7" t="n">
        <v>46048</v>
      </c>
      <c r="AN7" s="6" t="inlineStr">
        <is>
          <t>US</t>
        </is>
      </c>
      <c r="AO7" s="6" t="inlineStr">
        <is>
          <t>941</t>
        </is>
      </c>
    </row>
    <row r="8">
      <c r="A8" s="2" t="n"/>
      <c r="B8" s="3" t="n"/>
      <c r="C8" s="4" t="n">
        <v>46156</v>
      </c>
      <c r="D8" s="5" t="n">
        <v>548573158</v>
      </c>
      <c r="E8" s="6" t="inlineStr">
        <is>
          <t>HF537684538</t>
        </is>
      </c>
      <c r="F8" s="7" t="n">
        <v>46051</v>
      </c>
      <c r="G8" s="6" t="inlineStr">
        <is>
          <t>United Healthcare</t>
        </is>
      </c>
      <c r="H8" s="6" t="inlineStr">
        <is>
          <t>United Healthcare</t>
        </is>
      </c>
      <c r="I8" s="6" t="inlineStr">
        <is>
          <t>No Payer</t>
        </is>
      </c>
      <c r="J8" s="8" t="inlineStr">
        <is>
          <t>93970 x1</t>
        </is>
      </c>
      <c r="K8" s="4" t="n"/>
      <c r="L8" s="5">
        <f>IF($O8="","",$O8-TODAY())</f>
        <v/>
      </c>
      <c r="M8" s="5">
        <f>IF($C8="","",$C8+180-TODAY())</f>
        <v/>
      </c>
      <c r="N8" s="5">
        <f>IF($C8="","",$C8+365-TODAY())</f>
        <v/>
      </c>
      <c r="O8" s="7" t="n">
        <v>46141</v>
      </c>
      <c r="P8" s="6" t="inlineStr">
        <is>
          <t>90 days</t>
        </is>
      </c>
      <c r="Q8" s="6" t="inlineStr">
        <is>
          <t>UHC COMMERCIAL</t>
        </is>
      </c>
      <c r="R8" s="6" t="inlineStr">
        <is>
          <t>180 days</t>
        </is>
      </c>
      <c r="S8" s="6" t="inlineStr">
        <is>
          <t>Processed date</t>
        </is>
      </c>
      <c r="T8" s="6" t="inlineStr">
        <is>
          <t>365 days</t>
        </is>
      </c>
      <c r="U8" s="6" t="inlineStr">
        <is>
          <t>Processed date</t>
        </is>
      </c>
      <c r="V8" s="6" t="n"/>
      <c r="W8" s="6" t="n"/>
      <c r="X8" s="6" t="n"/>
      <c r="Y8" s="6" t="inlineStr">
        <is>
          <t>1</t>
        </is>
      </c>
      <c r="Z8" s="9" t="n">
        <v>1294.23</v>
      </c>
      <c r="AA8" s="9" t="n">
        <v>0</v>
      </c>
      <c r="AB8" s="9" t="n">
        <v>0</v>
      </c>
      <c r="AC8" s="7" t="n">
        <v>46156</v>
      </c>
      <c r="AD8" s="9" t="n">
        <v>1294.23</v>
      </c>
      <c r="AE8" s="5" t="n">
        <v>191</v>
      </c>
      <c r="AF8" s="6" t="inlineStr">
        <is>
          <t>R600</t>
        </is>
      </c>
      <c r="AG8" s="6" t="inlineStr">
        <is>
          <t>M79604</t>
        </is>
      </c>
      <c r="AH8" s="6" t="inlineStr">
        <is>
          <t>M79605</t>
        </is>
      </c>
      <c r="AI8" s="6" t="n"/>
      <c r="AJ8" s="5" t="n"/>
      <c r="AK8" s="6" t="inlineStr">
        <is>
          <t>TURLEY, TODD</t>
        </is>
      </c>
      <c r="AL8" s="6" t="inlineStr">
        <is>
          <t>ASAP - DEER VALLEY</t>
        </is>
      </c>
      <c r="AM8" s="7" t="n">
        <v>46058</v>
      </c>
      <c r="AN8" s="6" t="inlineStr">
        <is>
          <t>US</t>
        </is>
      </c>
      <c r="AO8" s="6" t="inlineStr">
        <is>
          <t>296</t>
        </is>
      </c>
    </row>
  </sheetData>
  <autoFilter ref="A1:AO8"/>
  <conditionalFormatting sqref="L2:L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8">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8">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8">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7"/>
  <sheetViews>
    <sheetView showGridLines="0" workbookViewId="0">
      <selection activeCell="A1" sqref="A1"/>
    </sheetView>
  </sheetViews>
  <sheetFormatPr baseColWidth="8" defaultRowHeight="15"/>
  <cols>
    <col width="118" customWidth="1" min="1" max="1"/>
  </cols>
  <sheetData>
    <row r="1">
      <c r="A1" s="10" t="inlineStr">
        <is>
          <t>2026-01 January - Specialty Claims</t>
        </is>
      </c>
    </row>
    <row r="2">
      <c r="A2" s="11" t="inlineStr"/>
    </row>
    <row r="3">
      <c r="A3" s="11" t="inlineStr">
        <is>
          <t>50 claim lines with a date of service in 2026-01 January,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0</t>
        </is>
      </c>
    </row>
    <row r="9">
      <c r="A9" s="11" t="inlineStr">
        <is>
          <t xml:space="preserve">    2 - Due in 6-30 days: 0</t>
        </is>
      </c>
    </row>
    <row r="10">
      <c r="A10" s="11" t="inlineStr">
        <is>
          <t xml:space="preserve">    3 - Due in 31+ days: 15</t>
        </is>
      </c>
    </row>
    <row r="11">
      <c r="A11" s="11" t="inlineStr">
        <is>
          <t xml:space="preserve">    4 - Past deadline: 32</t>
        </is>
      </c>
    </row>
    <row r="12">
      <c r="A12" s="11" t="inlineStr">
        <is>
          <t xml:space="preserve">    5 - No limit on file: 3</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Where a payer had two possible limits the shorter one was used, so the real deadline can only be later, never earlier. Filing Limit and Limit Carrier name the figure applied and the carrier row it came from.</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Date Worked 1 starts empty.</t>
        </is>
      </c>
    </row>
    <row r="26">
      <c r="A26" s="11" t="inlineStr">
        <is>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is>
      </c>
    </row>
    <row r="27">
      <c r="A27" s="11" t="inlineStr"/>
    </row>
    <row r="28">
      <c r="A28" s="12" t="inlineStr">
        <is>
          <t>Corrected claim and appeal countdowns</t>
        </is>
      </c>
    </row>
    <row r="29">
      <c r="A29" s="11" t="inlineStr">
        <is>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is>
      </c>
    </row>
    <row r="30">
      <c r="A30" s="11" t="inlineStr">
        <is>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is>
      </c>
    </row>
    <row r="31">
      <c r="A31" s="11" t="inlineStr">
        <is>
          <t>These windows matter most on the rows whose initial filing deadline has already passed. Note the traps the reference calls out: Cigna does not restart the clock for a corrected claim, and Medicare separates reopening from redetermination.</t>
        </is>
      </c>
    </row>
    <row r="32">
      <c r="A32" s="11" t="inlineStr"/>
    </row>
    <row r="33">
      <c r="A33" s="12" t="inlineStr">
        <is>
          <t>How this file feeds the master</t>
        </is>
      </c>
    </row>
    <row r="34">
      <c r="A34"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5">
      <c r="A35" s="11" t="inlineStr">
        <is>
          <t>The link is matched on Primary Claim ID, not on row position, so sorting and filtering these sheets is safe. Do not edit that column, and do not rename the specialty sheet tabs.</t>
        </is>
      </c>
    </row>
    <row r="36">
      <c r="A36" s="11" t="inlineStr"/>
    </row>
    <row r="37">
      <c r="A37"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2026-08-13T00:38:29Z</dcterms:created>
  <dcterms:modified xsi:type="dcterms:W3CDTF">2026-08-13T00:38:29Z</dcterms:modified>
</cp:coreProperties>
</file>