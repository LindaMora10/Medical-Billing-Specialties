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<sst xmlns="http://schemas.openxmlformats.org/spreadsheetml/2006/main" count="2534" uniqueCount="696">
  <si>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</si>
  <si>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</si>
  <si>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</si>
  <si>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</si>
  <si>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</si>
  <si>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</si>
  <si>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</si>
  <si>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</si>
  <si>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</si>
  <si>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</si>
  <si>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</si>
  <si>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</si>
  <si>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</si>
  <si>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</si>
  <si>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</si>
  <si>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</si>
  <si>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</si>
  <si>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</si>
  <si>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</si>
  <si>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</si>
  <si>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</si>
  <si>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</si>
  <si>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</si>
  <si>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</si>
  <si>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</si>
  <si>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</si>
  <si>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</si>
  <si>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</si>
  <si>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</si>
  <si>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</si>
  <si>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</si>
  <si>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</si>
  <si>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</si>
  <si>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</si>
  <si>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</si>
  <si>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</si>
  <si>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</si>
  <si>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</si>
  <si>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</si>
  <si>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</si>
  <si>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</si>
  <si>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</si>
  <si>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</si>
  <si>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</si>
  <si>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</si>
  <si>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</si>
  <si>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</si>
  <si>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</si>
  <si>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</si>
  <si>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</si>
  <si>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</si>
  <si>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</si>
  <si>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</si>
  <si>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</si>
  <si>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</si>
  <si>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</si>
  <si>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</si>
  <si>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</si>
  <si>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</si>
  <si>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</si>
  <si>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</si>
  <si>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</si>
  <si>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</si>
  <si>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</si>
  <si>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</si>
  <si>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</si>
  <si>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</si>
  <si>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</si>
  <si>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</si>
  <si>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</si>
  <si>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</si>
  <si>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</si>
  <si>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</si>
  <si>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</si>
  <si>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</si>
  <si>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</si>
  <si>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</si>
  <si>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</si>
  <si>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</si>
  <si>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</si>
  <si>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</si>
  <si>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</si>
  <si>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</si>
  <si>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</si>
  <si>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</si>
  <si>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</si>
  <si>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</si>
  <si>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</si>
  <si>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</si>
  <si>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</si>
  <si>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</si>
  <si>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</si>
  <si>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</si>
  <si>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</si>
  <si>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</si>
  <si>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</si>
  <si>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</si>
  <si>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</si>
  <si>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</si>
  <si>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</si>
  <si>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</si>
  <si>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</si>
  <si>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</si>
  <si>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</si>
  <si>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</si>
  <si>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</si>
  <si>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</si>
  <si>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</si>
  <si>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</si>
  <si>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</si>
  <si>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</si>
  <si>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</si>
  <si>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</si>
  <si>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</si>
  <si>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</si>
  <si>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</si>
  <si>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</si>
  <si>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</si>
  <si>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</si>
  <si>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</si>
  <si>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</si>
  <si>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</si>
  <si>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</si>
  <si>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</si>
  <si>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</si>
  <si>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</si>
  <si>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</si>
  <si>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</si>
  <si>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</si>
  <si>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</si>
  <si>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</si>
  <si>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</si>
  <si>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</si>
  <si>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</si>
  <si>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</si>
  <si>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</si>
  <si>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</si>
  <si>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</si>
  <si>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</si>
  <si>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</si>
  <si>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</si>
  <si>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</si>
  <si>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</si>
  <si>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</si>
  <si>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</si>
  <si>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</si>
  <si>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</si>
  <si>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</si>
  <si>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</si>
  <si>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</si>
  <si>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</si>
  <si>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</si>
  <si>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</si>
  <si>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</si>
  <si>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</si>
  <si>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</si>
  <si>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</si>
  <si>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</si>
  <si>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</si>
  <si>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</si>
  <si>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</si>
  <si>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</si>
  <si>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</si>
  <si>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</si>
  <si>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</si>
  <si>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</si>
  <si>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</si>
  <si>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</si>
  <si>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</si>
  <si>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</si>
  <si>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</si>
  <si>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</si>
  <si>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</si>
  <si>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</si>
  <si>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</si>
  <si>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</si>
  <si>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</si>
  <si>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</si>
  <si>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</si>
  <si>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</si>
  <si>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</si>
  <si>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</si>
  <si>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</si>
  <si>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</si>
  <si>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</si>
  <si>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</si>
  <si>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</si>
  <si>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</si>
  <si>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</si>
  <si>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</si>
  <si>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</si>
  <si>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</si>
  <si>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</si>
  <si>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</si>
  <si>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</si>
  <si>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</si>
  <si>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</si>
  <si>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</si>
  <si>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</si>
  <si>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</si>
  <si>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</si>
  <si>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</si>
  <si>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</si>
  <si>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</si>
  <si>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</si>
  <si>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</si>
  <si>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</si>
  <si>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</si>
  <si>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</si>
  <si>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</si>
  <si>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</si>
  <si>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</si>
  <si>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</si>
  <si>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</si>
  <si>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</si>
  <si>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</si>
  <si>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</si>
  <si>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</si>
  <si>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</si>
  <si>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</si>
  <si>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</si>
  <si>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</si>
  <si>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</si>
  <si>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</si>
  <si>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</si>
  <si>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</si>
  <si>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</si>
  <si>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</si>
  <si>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</si>
  <si>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</si>
  <si>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</si>
  <si>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</si>
  <si>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</si>
  <si>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</si>
  <si>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</si>
  <si>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</si>
  <si>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</si>
  <si>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</si>
  <si>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</si>
  <si>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</si>
  <si>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</si>
  <si>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</si>
  <si>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</si>
  <si>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</si>
  <si>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</si>
  <si>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</si>
  <si>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</si>
  <si>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</si>
  <si>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</si>
  <si>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</si>
  <si>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</si>
  <si>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</si>
  <si>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</si>
  <si>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</si>
  <si>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</si>
  <si>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</si>
  <si>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</si>
  <si>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</si>
  <si>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</si>
  <si>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</si>
  <si>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</si>
  <si>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</si>
  <si>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</si>
  <si>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</si>
  <si>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</si>
  <si>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</si>
  <si>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</si>
  <si>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</si>
  <si>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</si>
  <si>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</si>
  <si>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</si>
  <si>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</si>
  <si>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</si>
  <si>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</si>
  <si>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</si>
  <si>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</si>
  <si>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</si>
  <si>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</si>
  <si>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</si>
  <si>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</si>
  <si>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</si>
  <si>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</si>
  <si>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</si>
  <si>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</si>
  <si>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</si>
  <si>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</si>
  <si>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</si>
  <si>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</si>
  <si>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</si>
  <si>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</si>
  <si>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</si>
  <si>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</si>
  <si>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</si>
  <si>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</si>
  <si>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</si>
  <si>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</si>
  <si>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</si>
  <si>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</si>
  <si>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</si>
  <si>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</si>
  <si>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</si>
  <si>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</si>
  <si>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</si>
  <si>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</si>
  <si>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</si>
  <si>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</si>
  <si>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</si>
  <si>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</si>
  <si>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</si>
  <si>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</si>
  <si>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</si>
  <si>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</si>
  <si>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</si>
  <si>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</si>
  <si>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</si>
  <si>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</si>
  <si>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</si>
  <si>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</si>
  <si>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</si>
  <si>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</si>
  <si>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</si>
  <si>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</si>
  <si>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</si>
  <si>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</si>
  <si>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</si>
  <si>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</si>
  <si>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</si>
  <si>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</si>
  <si>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</si>
  <si>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</si>
  <si>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</si>
  <si>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</si>
  <si>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</si>
  <si>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</si>
  <si>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</si>
  <si>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</si>
  <si>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</si>
  <si>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</si>
  <si>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</si>
  <si>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</si>
  <si>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</si>
  <si>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</si>
  <si>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</si>
  <si>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</si>
  <si>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</si>
  <si>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</si>
  <si>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</si>
  <si>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</si>
  <si>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</si>
  <si>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</si>
  <si>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</si>
  <si>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</si>
  <si>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</si>
  <si>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</si>
  <si>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</si>
  <si>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</si>
  <si>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</si>
  <si>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</si>
  <si>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</si>
  <si>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</si>
  <si>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</si>
  <si>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</si>
  <si>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</si>
  <si>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</si>
  <si>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</si>
  <si>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</si>
  <si>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</si>
  <si>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</si>
  <si>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</si>
  <si>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</si>
  <si>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</si>
  <si>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</si>
  <si>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</si>
  <si>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</si>
  <si>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</si>
  <si>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</si>
  <si>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</si>
  <si>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</si>
  <si>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</si>
  <si>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</si>
  <si>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</si>
  <si>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</si>
  <si>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</si>
  <si>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</si>
  <si>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</si>
  <si>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</si>
  <si>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</si>
  <si>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</si>
  <si>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</si>
  <si>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</si>
  <si>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</si>
  <si>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</si>
  <si>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</si>
  <si>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</si>
  <si>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</si>
  <si>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</si>
  <si>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</si>
  <si>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</si>
  <si>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</si>
  <si>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</si>
  <si>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</si>
  <si>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</si>
  <si>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</si>
  <si>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</si>
  <si>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</si>
  <si>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</si>
  <si>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</si>
  <si>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</si>
  <si>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</si>
  <si>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</si>
  <si>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</si>
  <si>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</si>
  <si>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</si>
  <si>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</si>
  <si>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</si>
  <si>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</si>
  <si>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</si>
  <si>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</si>
  <si>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</si>
  <si>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</si>
  <si>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</si>
  <si>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</si>
  <si>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</si>
  <si>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</si>
  <si>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</si>
  <si>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</si>
  <si>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</si>
  <si>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</si>
  <si>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</si>
  <si>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</si>
  <si>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</si>
  <si>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</si>
  <si>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</si>
  <si>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</si>
  <si>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</si>
  <si>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</si>
  <si>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</si>
  <si>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</si>
  <si>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</si>
  <si>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</si>
  <si>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</si>
  <si>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</si>
  <si>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</si>
  <si>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</si>
  <si>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</si>
  <si>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</si>
  <si>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</si>
  <si>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</si>
  <si>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</si>
  <si>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</si>
  <si>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</si>
  <si>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</si>
  <si>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</si>
  <si>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</si>
  <si>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</si>
  <si>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</si>
  <si>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</si>
  <si>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</si>
  <si>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</si>
  <si>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</si>
  <si>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</si>
  <si>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</si>
  <si>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</si>
  <si>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</si>
  <si>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</si>
  <si>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</si>
  <si>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</si>
  <si>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</si>
  <si>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</si>
  <si>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</si>
  <si>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</si>
  <si>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</si>
  <si>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</si>
  <si>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</si>
  <si>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</si>
  <si>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</si>
  <si>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</si>
  <si>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</si>
  <si>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</si>
  <si>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</si>
  <si>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</si>
  <si>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</si>
  <si>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</si>
  <si>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</si>
  <si>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</si>
  <si>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</si>
  <si>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</si>
  <si>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</si>
  <si>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</si>
  <si>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</si>
  <si>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</si>
  <si>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</si>
  <si>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</si>
  <si>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</si>
  <si>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</si>
  <si>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</si>
  <si>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</si>
  <si>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</si>
  <si>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</si>
  <si>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</si>
  <si>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</si>
  <si>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</si>
  <si>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</si>
  <si>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</si>
  <si>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</si>
  <si>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</si>
  <si>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</si>
  <si>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</si>
  <si>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</si>
  <si>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</si>
  <si>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</si>
  <si>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</si>
  <si>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</si>
  <si>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</si>
  <si>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</si>
  <si>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</si>
  <si>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</si>
  <si>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</si>
  <si>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</si>
  <si>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</si>
  <si>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</si>
  <si>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</si>
  <si>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</si>
  <si>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</si>
  <si>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</si>
  <si>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</si>
  <si>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</si>
  <si>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</si>
  <si>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</si>
  <si>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</si>
  <si>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</si>
  <si>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</si>
  <si>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</si>
  <si>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</si>
  <si>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</si>
  <si>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</si>
  <si>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</si>
  <si>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</si>
  <si>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</si>
  <si>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</si>
  <si>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</si>
  <si>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</si>
  <si>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</si>
  <si>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</si>
  <si>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</si>
  <si>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</si>
  <si>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</si>
  <si>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</si>
  <si>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</si>
  <si>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</si>
  <si>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</si>
  <si>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</si>
  <si>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</si>
  <si>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</si>
  <si>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</si>
  <si>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</si>
  <si>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</si>
  <si>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</si>
  <si>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</si>
  <si>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</si>
  <si>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</si>
  <si>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</si>
  <si>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</si>
  <si>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</si>
  <si>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</si>
  <si>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</si>
  <si>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</si>
  <si>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</si>
  <si>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</si>
  <si>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</si>
  <si>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</si>
  <si>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</si>
  <si>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</si>
  <si>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</si>
  <si>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</si>
  <si>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</si>
  <si>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</si>
  <si>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</si>
  <si>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</si>
  <si>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</si>
  <si>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</si>
  <si>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</si>
  <si>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</si>
  <si>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</si>
  <si>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</si>
  <si>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</si>
  <si>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</si>
  <si>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</si>
  <si>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</si>
  <si>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</si>
  <si>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</si>
  <si>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</si>
  <si>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</si>
  <si>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</si>
  <si>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</si>
  <si>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</si>
  <si>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</si>
  <si>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</si>
  <si>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</si>
  <si>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</si>
  <si>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</si>
  <si>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</si>
  <si>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</si>
  <si>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</si>
  <si>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</si>
  <si>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</si>
  <si>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</si>
  <si>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</si>
  <si>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</si>
  <si>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</si>
  <si>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</si>
  <si>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</si>
  <si>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</si>
  <si>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</si>
  <si>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</si>
  <si>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</si>
  <si>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</si>
  <si>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</si>
  <si>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</si>
  <si>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</si>
  <si>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</si>
  <si>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</si>
  <si>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</si>
  <si>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</si>
  <si>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</si>
  <si>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</si>
  <si>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</si>
  <si>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</si>
  <si>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</si>
  <si>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</si>
  <si>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</si>
  <si>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</si>
  <si>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</si>
  <si>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</si>
  <si>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</si>
  <si>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</si>
  <si>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</si>
  <si>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</si>
  <si>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</si>
  <si>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</si>
  <si>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</si>
  <si>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</si>
  <si>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</si>
  <si>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</si>
  <si>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</si>
  <si>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</si>
  <si>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</si>
  <si>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</si>
  <si>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</si>
  <si>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</si>
  <si>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</si>
  <si>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</si>
  <si>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</si>
  <si>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</si>
  <si>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</si>
  <si>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</si>
  <si>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</si>
  <si>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</si>
  <si>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</si>
  <si>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</si>
  <si>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</si>
  <si>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</si>
  <si>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</si>
  <si>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</si>
  <si>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</si>
  <si>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</si>
  <si>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</si>
  <si>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</si>
  <si>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</si>
  <si>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</si>
  <si>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</si>
  <si>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</si>
  <si>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</si>
  <si>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</si>
  <si>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</si>
  <si>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</si>
  <si>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</si>
  <si>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</si>
  <si>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</si>
  <si>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</si>
  <si>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</si>
  <si>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</si>
  <si>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</si>
  <si>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</si>
  <si>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</si>
  <si>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</si>
  <si>
    <t xml:space="preserve">540 days</t>
  </si>
  <si>
    <t xml:space="preserve">107 claims with a date of service in 2026-05 May,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</si>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</sst>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row>
    <row r="3" spans="1:40"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row>
    <row r="4" spans="1:40"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row>
    <row r="5" spans="1:40"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row>
    <row r="6" spans="1:40"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row>
    <row r="7" spans="1:40"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row>
    <row r="8" spans="1:40"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row>
    <row r="9" spans="1:40"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row>
    <row r="10" spans="1:40" x14ac:dyDescent="0.25">
      <c r="A10" s="2" t="s">
        <v>107</v>
      </c>
      <c r="B10" s="2" t="s">
        <v>108</v>
      </c>
      <c r="C10" s="3"/>
      <c r="D10" s="4">
        <v>558010066</v>
      </c>
      <c r="E10" s="5" t="s">
        <v>109</v>
      </c>
      <c r="F10" s="6">
        <v>46198</v>
      </c>
      <c r="G10" s="5" t="s">
        <v>75</v>
      </c>
      <c r="H10" s="5" t="s">
        <v>75</v>
      </c>
      <c r="I10" s="5" t="s">
        <v>45</v>
      </c>
      <c r="J10" s="5" t="s">
        <v>60</v>
      </c>
      <c r="K10" s="3">
        <v>46248</v>
      </c>
      <c r="L10" s="12">
        <f ca="1">IF($O10="","",$O10-TODAY())</f>
        <v>-51</v>
      </c>
      <c r="M10" s="12" t="str">
        <f ca="1">IF($C10="","",$C10+180-TODAY())</f>
        <v/>
      </c>
      <c r="N10" s="12" t="str">
        <f ca="1">IF($C10="","",$C10+365-TODAY())</f>
        <v/>
      </c>
      <c r="O10" s="6">
        <v>46233</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row>
    <row r="11" spans="1:40"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row>
    <row r="12" spans="1:40"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row>
    <row r="13" spans="1:40"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row>
    <row r="14" spans="1:40"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row>
    <row r="15" spans="1:40"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row>
    <row r="16" spans="1:40"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row>
    <row r="17" spans="1:40"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row>
    <row r="18" spans="1:40"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row>
    <row r="19" spans="1:40"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row>
    <row r="20" spans="1:40"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row>
    <row r="21" spans="1:40"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row>
    <row r="22" spans="1:40" x14ac:dyDescent="0.25">
      <c r="A22" s="2" t="s">
        <v>41</v>
      </c>
      <c r="B22" s="2" t="s">
        <v>166</v>
      </c>
      <c r="C22" s="3"/>
      <c r="D22" s="4">
        <v>568553454</v>
      </c>
      <c r="E22" s="5" t="s">
        <v>167</v>
      </c>
      <c r="F22" s="6">
        <v>46149</v>
      </c>
      <c r="G22" s="5" t="s">
        <v>168</v>
      </c>
      <c r="H22" s="5" t="s">
        <v>45</v>
      </c>
      <c r="I22" s="5" t="s">
        <v>45</v>
      </c>
      <c r="J22" s="5" t="s">
        <v>60</v>
      </c>
      <c r="K22" s="3">
        <v>46247</v>
      </c>
      <c r="L22" s="12">
        <f ca="1">IF($O22="","",$O22-TODAY())</f>
        <v>-44</v>
      </c>
      <c r="M22" s="12" t="str">
        <f ca="1">IF($C22="","",$C22+365-TODAY())</f>
        <v/>
      </c>
      <c r="N22" s="12" t="str">
        <f ca="1">IF($C22="","",$C22+365-TODAY())</f>
        <v/>
      </c>
      <c r="O22" s="6">
        <v>46239</v>
      </c>
      <c r="P22" s="5" t="s">
        <v>47</v>
      </c>
      <c r="Q22" s="5" t="s">
        <v>170</v>
      </c>
      <c r="R22" s="5" t="s">
        <v>51</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row>
    <row r="23" spans="1:40"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row>
    <row r="24" spans="1:40"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IF($F24="","",$F24+90-TODAY())</f>
        <v>-39</v>
      </c>
      <c r="N24" s="12">
        <f ca="1">IF($C24="","",$C24+365-TODAY())</f>
        <v>298</v>
      </c>
      <c r="O24" s="6">
        <v>46244</v>
      </c>
      <c r="P24" s="5" t="s">
        <v>47</v>
      </c>
      <c r="Q24" s="5" t="s">
        <v>182</v>
      </c>
      <c r="R24" s="5" t="s">
        <v>47</v>
      </c>
      <c r="S24" s="5" t="s">
        <v>234</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row>
    <row r="25" spans="1:40"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row>
    <row r="26" spans="1:40"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row>
    <row r="27" spans="1:40"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row>
    <row r="28" spans="1:40"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row>
    <row r="29" spans="1:40"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row>
    <row r="30" spans="1:40"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row>
    <row r="31" spans="1:40"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107</v>
      </c>
      <c r="B2" s="2" t="s">
        <v>209</v>
      </c>
      <c r="C2" s="3"/>
      <c r="D2" s="4">
        <v>559604554</v>
      </c>
      <c r="E2" s="5" t="s">
        <v>210</v>
      </c>
      <c r="F2" s="6">
        <v>46157</v>
      </c>
      <c r="G2" s="5" t="s">
        <v>103</v>
      </c>
      <c r="H2" s="5" t="s">
        <v>103</v>
      </c>
      <c r="I2" s="5" t="s">
        <v>211</v>
      </c>
      <c r="J2" s="5" t="s">
        <v>212</v>
      </c>
      <c r="K2" s="3">
        <v>46244</v>
      </c>
      <c r="L2" s="12">
        <f ca="1">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row>
    <row r="3" spans="1:40" x14ac:dyDescent="0.25">
      <c r="A3" s="2" t="s">
        <v>94</v>
      </c>
      <c r="B3" s="2" t="s">
        <v>222</v>
      </c>
      <c r="C3" s="3">
        <v>46196</v>
      </c>
      <c r="D3" s="4">
        <v>559742691</v>
      </c>
      <c r="E3" s="5" t="s">
        <v>223</v>
      </c>
      <c r="F3" s="6">
        <v>46160</v>
      </c>
      <c r="G3" s="5" t="s">
        <v>103</v>
      </c>
      <c r="H3" s="5" t="s">
        <v>103</v>
      </c>
      <c r="I3" s="5" t="s">
        <v>45</v>
      </c>
      <c r="J3" s="5" t="s">
        <v>224</v>
      </c>
      <c r="K3" s="3">
        <v>46245</v>
      </c>
      <c r="L3" s="12">
        <f ca="1">IF($O3="","",$O3-TODAY())</f>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row>
    <row r="4" spans="1:40" x14ac:dyDescent="0.25">
      <c r="A4" s="2" t="s">
        <v>94</v>
      </c>
      <c r="B4" s="2" t="s">
        <v>229</v>
      </c>
      <c r="C4" s="3">
        <v>46185</v>
      </c>
      <c r="D4" s="4">
        <v>561880042</v>
      </c>
      <c r="E4" s="5" t="s">
        <v>230</v>
      </c>
      <c r="F4" s="6">
        <v>46160</v>
      </c>
      <c r="G4" s="5" t="s">
        <v>231</v>
      </c>
      <c r="H4" s="5" t="s">
        <v>231</v>
      </c>
      <c r="I4" s="5" t="s">
        <v>45</v>
      </c>
      <c r="J4" s="5" t="s">
        <v>232</v>
      </c>
      <c r="K4" s="3">
        <v>46245</v>
      </c>
      <c r="L4" s="12">
        <f ca="1">IF($O4="","",$O4-TODAY())</f>
        <v>-32</v>
      </c>
      <c r="M4" s="12">
        <f ca="1">IF($F4="","",$F4+90-TODAY())</f>
        <v>-33</v>
      </c>
      <c r="N4" s="12">
        <f ca="1">IF($C4="","",$C4+540-TODAY())</f>
        <v>442</v>
      </c>
      <c r="O4" s="6">
        <v>46250</v>
      </c>
      <c r="P4" s="5" t="s">
        <v>47</v>
      </c>
      <c r="Q4" s="5" t="s">
        <v>233</v>
      </c>
      <c r="R4" s="5" t="s">
        <v>47</v>
      </c>
      <c r="S4" s="5" t="s">
        <v>234</v>
      </c>
      <c r="T4" s="5" t="s">
        <v>686</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row>
    <row r="5" spans="1:40" x14ac:dyDescent="0.25">
      <c r="A5" s="2" t="s">
        <v>129</v>
      </c>
      <c r="B5" s="2" t="s">
        <v>239</v>
      </c>
      <c r="C5" s="3">
        <v>46183</v>
      </c>
      <c r="D5" s="4">
        <v>561237046</v>
      </c>
      <c r="E5" s="5" t="s">
        <v>240</v>
      </c>
      <c r="F5" s="6">
        <v>46163</v>
      </c>
      <c r="G5" s="5" t="s">
        <v>75</v>
      </c>
      <c r="H5" s="5" t="s">
        <v>75</v>
      </c>
      <c r="I5" s="5" t="s">
        <v>241</v>
      </c>
      <c r="J5" s="5" t="s">
        <v>242</v>
      </c>
      <c r="K5" s="3">
        <v>46245</v>
      </c>
      <c r="L5" s="12">
        <f ca="1">IF($O5="","",$O5-TODAY())</f>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row>
    <row r="6" spans="1:40" x14ac:dyDescent="0.25">
      <c r="A6" s="2" t="s">
        <v>129</v>
      </c>
      <c r="B6" s="2" t="s">
        <v>248</v>
      </c>
      <c r="C6" s="3">
        <v>46194</v>
      </c>
      <c r="D6" s="4">
        <v>561851402</v>
      </c>
      <c r="E6" s="5" t="s">
        <v>249</v>
      </c>
      <c r="F6" s="6">
        <v>46164</v>
      </c>
      <c r="G6" s="5" t="s">
        <v>103</v>
      </c>
      <c r="H6" s="5" t="s">
        <v>103</v>
      </c>
      <c r="I6" s="5" t="s">
        <v>45</v>
      </c>
      <c r="J6" s="5" t="s">
        <v>250</v>
      </c>
      <c r="K6" s="3">
        <v>46245</v>
      </c>
      <c r="L6" s="12">
        <f ca="1">IF($O6="","",$O6-TODAY())</f>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row>
    <row r="7" spans="1:40" x14ac:dyDescent="0.25">
      <c r="A7" s="2" t="s">
        <v>129</v>
      </c>
      <c r="B7" s="2" t="s">
        <v>254</v>
      </c>
      <c r="C7" s="3">
        <v>46191</v>
      </c>
      <c r="D7" s="4">
        <v>561860576</v>
      </c>
      <c r="E7" s="5" t="s">
        <v>255</v>
      </c>
      <c r="F7" s="6">
        <v>46168</v>
      </c>
      <c r="G7" s="5" t="s">
        <v>44</v>
      </c>
      <c r="H7" s="5" t="s">
        <v>44</v>
      </c>
      <c r="I7" s="5" t="s">
        <v>45</v>
      </c>
      <c r="J7" s="5" t="s">
        <v>256</v>
      </c>
      <c r="K7" s="3">
        <v>46248</v>
      </c>
      <c r="L7" s="12">
        <f ca="1">IF($O7="","",$O7-TODAY())</f>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row>
    <row r="8" spans="1:40" x14ac:dyDescent="0.25">
      <c r="A8" s="2" t="s">
        <v>129</v>
      </c>
      <c r="B8" s="2" t="s">
        <v>261</v>
      </c>
      <c r="C8" s="3">
        <v>46223</v>
      </c>
      <c r="D8" s="4">
        <v>559770046</v>
      </c>
      <c r="E8" s="5" t="s">
        <v>262</v>
      </c>
      <c r="F8" s="6">
        <v>46146</v>
      </c>
      <c r="G8" s="5" t="s">
        <v>263</v>
      </c>
      <c r="H8" s="5" t="s">
        <v>263</v>
      </c>
      <c r="I8" s="5" t="s">
        <v>45</v>
      </c>
      <c r="J8" s="5" t="s">
        <v>242</v>
      </c>
      <c r="K8" s="3">
        <v>46248</v>
      </c>
      <c r="L8" s="12">
        <f ca="1">IF($O8="","",$O8-TODAY())</f>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row>
    <row r="9" spans="1:40" x14ac:dyDescent="0.25">
      <c r="A9" s="2" t="s">
        <v>267</v>
      </c>
      <c r="B9" s="2" t="s">
        <v>268</v>
      </c>
      <c r="C9" s="3">
        <v>46184</v>
      </c>
      <c r="D9" s="4">
        <v>559750877</v>
      </c>
      <c r="E9" s="5" t="s">
        <v>269</v>
      </c>
      <c r="F9" s="6">
        <v>46161</v>
      </c>
      <c r="G9" s="5" t="s">
        <v>270</v>
      </c>
      <c r="H9" s="5" t="s">
        <v>270</v>
      </c>
      <c r="I9" s="5" t="s">
        <v>45</v>
      </c>
      <c r="J9" s="5" t="s">
        <v>271</v>
      </c>
      <c r="K9" s="3">
        <v>46252</v>
      </c>
      <c r="L9" s="12">
        <f ca="1">IF($O9="","",$O9-TODAY())</f>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row>
    <row r="10" spans="1:40" x14ac:dyDescent="0.25">
      <c r="A10" s="2" t="s">
        <v>94</v>
      </c>
      <c r="B10" s="2" t="s">
        <v>276</v>
      </c>
      <c r="C10" s="3">
        <v>46190</v>
      </c>
      <c r="D10" s="4">
        <v>561859042</v>
      </c>
      <c r="E10" s="5" t="s">
        <v>277</v>
      </c>
      <c r="F10" s="6">
        <v>46168</v>
      </c>
      <c r="G10" s="5" t="s">
        <v>66</v>
      </c>
      <c r="H10" s="5" t="s">
        <v>66</v>
      </c>
      <c r="I10" s="5" t="s">
        <v>45</v>
      </c>
      <c r="J10" s="5" t="s">
        <v>271</v>
      </c>
      <c r="K10" s="3">
        <v>46253</v>
      </c>
      <c r="L10" s="12">
        <f ca="1">IF($O10="","",$O10-TODAY())</f>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row>
    <row r="11" spans="1:40" x14ac:dyDescent="0.25">
      <c r="A11" s="2" t="s">
        <v>94</v>
      </c>
      <c r="B11" s="2" t="s">
        <v>282</v>
      </c>
      <c r="C11" s="3">
        <v>46169</v>
      </c>
      <c r="D11" s="4">
        <v>559740566</v>
      </c>
      <c r="E11" s="5" t="s">
        <v>283</v>
      </c>
      <c r="F11" s="6">
        <v>46146</v>
      </c>
      <c r="G11" s="5" t="s">
        <v>284</v>
      </c>
      <c r="H11" s="5" t="s">
        <v>284</v>
      </c>
      <c r="I11" s="5" t="s">
        <v>45</v>
      </c>
      <c r="J11" s="5" t="s">
        <v>271</v>
      </c>
      <c r="K11" s="3">
        <v>46254</v>
      </c>
      <c r="L11" s="12">
        <f ca="1">IF($O11="","",$O11-TODAY())</f>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row>
    <row r="12" spans="1:40" x14ac:dyDescent="0.25">
      <c r="A12" s="2" t="s">
        <v>676</v>
      </c>
      <c r="B12" s="2" t="s">
        <v>679</v>
      </c>
      <c r="C12" s="3">
        <v>46190</v>
      </c>
      <c r="D12" s="4">
        <v>561880706</v>
      </c>
      <c r="E12" s="5" t="s">
        <v>288</v>
      </c>
      <c r="F12" s="6">
        <v>46160</v>
      </c>
      <c r="G12" s="5" t="s">
        <v>289</v>
      </c>
      <c r="H12" s="5" t="s">
        <v>289</v>
      </c>
      <c r="I12" s="5" t="s">
        <v>45</v>
      </c>
      <c r="J12" s="5" t="s">
        <v>232</v>
      </c>
      <c r="K12" s="3"/>
      <c r="L12" s="12">
        <f ca="1">IF($O12="","",$O12-TODAY())</f>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row>
    <row r="13" spans="1:40" x14ac:dyDescent="0.25">
      <c r="A13" s="2" t="s">
        <v>94</v>
      </c>
      <c r="B13" s="2" t="s">
        <v>292</v>
      </c>
      <c r="C13" s="3">
        <v>46195</v>
      </c>
      <c r="D13" s="4">
        <v>561866854</v>
      </c>
      <c r="E13" s="5" t="s">
        <v>293</v>
      </c>
      <c r="F13" s="6">
        <v>46170</v>
      </c>
      <c r="G13" s="5" t="s">
        <v>284</v>
      </c>
      <c r="H13" s="5" t="s">
        <v>284</v>
      </c>
      <c r="I13" s="5" t="s">
        <v>45</v>
      </c>
      <c r="J13" s="5" t="s">
        <v>294</v>
      </c>
      <c r="K13" s="3">
        <v>46254</v>
      </c>
      <c r="L13" s="12">
        <f ca="1">IF($O13="","",$O13-TODAY())</f>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row>
    <row r="14" spans="1:40" x14ac:dyDescent="0.25">
      <c r="A14" s="2" t="s">
        <v>94</v>
      </c>
      <c r="B14" s="2" t="s">
        <v>298</v>
      </c>
      <c r="C14" s="3">
        <v>46156</v>
      </c>
      <c r="D14" s="4">
        <v>559006292</v>
      </c>
      <c r="E14" s="5" t="s">
        <v>299</v>
      </c>
      <c r="F14" s="6">
        <v>46147</v>
      </c>
      <c r="G14" s="5" t="s">
        <v>300</v>
      </c>
      <c r="H14" s="5" t="s">
        <v>300</v>
      </c>
      <c r="I14" s="5" t="s">
        <v>149</v>
      </c>
      <c r="J14" s="5" t="s">
        <v>301</v>
      </c>
      <c r="K14" s="3">
        <v>46254</v>
      </c>
      <c r="L14" s="12">
        <f ca="1">IF($O14="","",$O14-TODAY())</f>
        <v>230</v>
      </c>
      <c r="M14" s="12">
        <f ca="1">IF($C14="","",$C14+365-TODAY())</f>
        <v>239</v>
      </c>
      <c r="N14" s="12">
        <f ca="1">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row>
    <row r="15" spans="1:40" x14ac:dyDescent="0.25">
      <c r="A15" s="2" t="s">
        <v>130</v>
      </c>
      <c r="B15" s="2" t="s">
        <v>307</v>
      </c>
      <c r="C15" s="3">
        <v>46249</v>
      </c>
      <c r="D15" s="4">
        <v>559009959</v>
      </c>
      <c r="E15" s="5" t="s">
        <v>308</v>
      </c>
      <c r="F15" s="6">
        <v>46147</v>
      </c>
      <c r="G15" s="5" t="s">
        <v>300</v>
      </c>
      <c r="H15" s="5" t="s">
        <v>300</v>
      </c>
      <c r="I15" s="5" t="s">
        <v>45</v>
      </c>
      <c r="J15" s="5" t="s">
        <v>242</v>
      </c>
      <c r="K15" s="3"/>
      <c r="L15" s="12">
        <f ca="1">IF($O15="","",$O15-TODAY())</f>
        <v>230</v>
      </c>
      <c r="M15" s="12">
        <f ca="1">IF($C15="","",$C15+365-TODAY())</f>
        <v>332</v>
      </c>
      <c r="N15" s="12">
        <f ca="1">IF($C15="","",$C15+120-TODAY())</f>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row>
    <row r="16" spans="1:40" x14ac:dyDescent="0.25">
      <c r="A16" s="2" t="s">
        <v>130</v>
      </c>
      <c r="B16" s="2" t="s">
        <v>313</v>
      </c>
      <c r="C16" s="3">
        <v>46202</v>
      </c>
      <c r="D16" s="4">
        <v>559008757</v>
      </c>
      <c r="E16" s="5" t="s">
        <v>314</v>
      </c>
      <c r="F16" s="6">
        <v>46150</v>
      </c>
      <c r="G16" s="5" t="s">
        <v>315</v>
      </c>
      <c r="H16" s="5" t="s">
        <v>300</v>
      </c>
      <c r="I16" s="5" t="s">
        <v>315</v>
      </c>
      <c r="J16" s="5" t="s">
        <v>316</v>
      </c>
      <c r="K16" s="3"/>
      <c r="L16" s="12">
        <f ca="1">IF($O16="","",$O16-TODAY())</f>
        <v>233</v>
      </c>
      <c r="M16" s="12">
        <f ca="1">IF($C16="","",$C16+365-TODAY())</f>
        <v>285</v>
      </c>
      <c r="N16" s="12">
        <f ca="1">IF($C16="","",$C16+120-TODAY())</f>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row>
    <row r="17" spans="1:40" x14ac:dyDescent="0.25">
      <c r="A17" s="2" t="s">
        <v>94</v>
      </c>
      <c r="B17" s="2" t="s">
        <v>322</v>
      </c>
      <c r="C17" s="3">
        <v>46185</v>
      </c>
      <c r="D17" s="4">
        <v>561877866</v>
      </c>
      <c r="E17" s="5" t="s">
        <v>323</v>
      </c>
      <c r="F17" s="6">
        <v>46150</v>
      </c>
      <c r="G17" s="5" t="s">
        <v>300</v>
      </c>
      <c r="H17" s="5" t="s">
        <v>300</v>
      </c>
      <c r="I17" s="5" t="s">
        <v>149</v>
      </c>
      <c r="J17" s="5" t="s">
        <v>232</v>
      </c>
      <c r="K17" s="3">
        <v>46254</v>
      </c>
      <c r="L17" s="12">
        <f ca="1">IF($O17="","",$O17-TODAY())</f>
        <v>233</v>
      </c>
      <c r="M17" s="12">
        <f ca="1">IF($C17="","",$C17+365-TODAY())</f>
        <v>268</v>
      </c>
      <c r="N17" s="12">
        <f ca="1">IF($C17="","",$C17+120-TODAY())</f>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row>
    <row r="18" spans="1:40" x14ac:dyDescent="0.25">
      <c r="A18" s="2" t="s">
        <v>41</v>
      </c>
      <c r="B18" s="2" t="s">
        <v>328</v>
      </c>
      <c r="C18" s="3">
        <v>46211</v>
      </c>
      <c r="D18" s="4">
        <v>559783560</v>
      </c>
      <c r="E18" s="5" t="s">
        <v>329</v>
      </c>
      <c r="F18" s="6">
        <v>46156</v>
      </c>
      <c r="G18" s="5" t="s">
        <v>330</v>
      </c>
      <c r="H18" s="5" t="s">
        <v>300</v>
      </c>
      <c r="I18" s="5" t="s">
        <v>330</v>
      </c>
      <c r="J18" s="5" t="s">
        <v>224</v>
      </c>
      <c r="K18" s="3">
        <v>46254</v>
      </c>
      <c r="L18" s="12">
        <f ca="1">IF($O18="","",$O18-TODAY())</f>
        <v>239</v>
      </c>
      <c r="M18" s="12">
        <f ca="1">IF($C18="","",$C18+365-TODAY())</f>
        <v>294</v>
      </c>
      <c r="N18" s="12">
        <f ca="1">IF($C18="","",$C18+120-TODAY())</f>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row>
    <row r="19" spans="1:40" x14ac:dyDescent="0.25">
      <c r="A19" s="2" t="s">
        <v>129</v>
      </c>
      <c r="B19" s="2" t="s">
        <v>332</v>
      </c>
      <c r="C19" s="3">
        <v>46247</v>
      </c>
      <c r="D19" s="4">
        <v>564572924</v>
      </c>
      <c r="E19" s="5" t="s">
        <v>333</v>
      </c>
      <c r="F19" s="6">
        <v>46156</v>
      </c>
      <c r="G19" s="5" t="s">
        <v>300</v>
      </c>
      <c r="H19" s="5" t="s">
        <v>300</v>
      </c>
      <c r="I19" s="5" t="s">
        <v>334</v>
      </c>
      <c r="J19" s="5" t="s">
        <v>335</v>
      </c>
      <c r="K19" s="3">
        <v>46254</v>
      </c>
      <c r="L19" s="12">
        <f ca="1">IF($O19="","",$O19-TODAY())</f>
        <v>239</v>
      </c>
      <c r="M19" s="12">
        <f ca="1">IF($C19="","",$C19+365-TODAY())</f>
        <v>330</v>
      </c>
      <c r="N19" s="12">
        <f ca="1">IF($C19="","",$C19+120-TODAY())</f>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row>
    <row r="20" spans="1:40" x14ac:dyDescent="0.25">
      <c r="A20" s="2" t="s">
        <v>129</v>
      </c>
      <c r="B20" s="2" t="s">
        <v>340</v>
      </c>
      <c r="C20" s="3">
        <v>46219</v>
      </c>
      <c r="D20" s="4">
        <v>559739970</v>
      </c>
      <c r="E20" s="5" t="s">
        <v>341</v>
      </c>
      <c r="F20" s="6">
        <v>46160</v>
      </c>
      <c r="G20" s="5" t="s">
        <v>300</v>
      </c>
      <c r="H20" s="5" t="s">
        <v>300</v>
      </c>
      <c r="I20" s="5" t="s">
        <v>45</v>
      </c>
      <c r="J20" s="5" t="s">
        <v>316</v>
      </c>
      <c r="K20" s="3">
        <v>46255</v>
      </c>
      <c r="L20" s="12">
        <f ca="1">IF($O20="","",$O20-TODAY())</f>
        <v>243</v>
      </c>
      <c r="M20" s="12">
        <f ca="1">IF($C20="","",$C20+365-TODAY())</f>
        <v>302</v>
      </c>
      <c r="N20" s="12">
        <f ca="1">IF($C20="","",$C20+120-TODAY())</f>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row>
    <row r="21" spans="1:40" x14ac:dyDescent="0.25">
      <c r="A21" s="2" t="s">
        <v>129</v>
      </c>
      <c r="B21" s="2" t="s">
        <v>346</v>
      </c>
      <c r="C21" s="3">
        <v>46246</v>
      </c>
      <c r="D21" s="4">
        <v>559735530</v>
      </c>
      <c r="E21" s="5" t="s">
        <v>347</v>
      </c>
      <c r="F21" s="6">
        <v>46161</v>
      </c>
      <c r="G21" s="5" t="s">
        <v>300</v>
      </c>
      <c r="H21" s="5" t="s">
        <v>300</v>
      </c>
      <c r="I21" s="5" t="s">
        <v>142</v>
      </c>
      <c r="J21" s="5" t="s">
        <v>316</v>
      </c>
      <c r="K21" s="3">
        <v>46255</v>
      </c>
      <c r="L21" s="12">
        <f ca="1">IF($O21="","",$O21-TODAY())</f>
        <v>244</v>
      </c>
      <c r="M21" s="12">
        <f ca="1">IF($C21="","",$C21+365-TODAY())</f>
        <v>329</v>
      </c>
      <c r="N21" s="12">
        <f ca="1">IF($C21="","",$C21+120-TODAY())</f>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row>
    <row r="22" spans="1:40" x14ac:dyDescent="0.25">
      <c r="A22" s="2" t="s">
        <v>130</v>
      </c>
      <c r="B22" s="2" t="s">
        <v>354</v>
      </c>
      <c r="C22" s="3">
        <v>46209</v>
      </c>
      <c r="D22" s="4">
        <v>561853521</v>
      </c>
      <c r="E22" s="5" t="s">
        <v>355</v>
      </c>
      <c r="F22" s="6">
        <v>46168</v>
      </c>
      <c r="G22" s="5" t="s">
        <v>300</v>
      </c>
      <c r="H22" s="5" t="s">
        <v>300</v>
      </c>
      <c r="I22" s="5" t="s">
        <v>356</v>
      </c>
      <c r="J22" s="5" t="s">
        <v>357</v>
      </c>
      <c r="K22" s="3"/>
      <c r="L22" s="12">
        <f ca="1">IF($O22="","",$O22-TODAY())</f>
        <v>251</v>
      </c>
      <c r="M22" s="12">
        <f ca="1">IF($C22="","",$C22+365-TODAY())</f>
        <v>292</v>
      </c>
      <c r="N22" s="12">
        <f ca="1">IF($C22="","",$C22+120-TODAY())</f>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row>
    <row r="23" spans="1:40" x14ac:dyDescent="0.25">
      <c r="A23" s="2" t="s">
        <v>130</v>
      </c>
      <c r="B23" s="2" t="s">
        <v>354</v>
      </c>
      <c r="C23" s="3">
        <v>46249</v>
      </c>
      <c r="D23" s="4">
        <v>561856360</v>
      </c>
      <c r="E23" s="5" t="s">
        <v>360</v>
      </c>
      <c r="F23" s="6">
        <v>46168</v>
      </c>
      <c r="G23" s="5" t="s">
        <v>300</v>
      </c>
      <c r="H23" s="5" t="s">
        <v>300</v>
      </c>
      <c r="I23" s="5" t="s">
        <v>330</v>
      </c>
      <c r="J23" s="5" t="s">
        <v>242</v>
      </c>
      <c r="K23" s="3"/>
      <c r="L23" s="12">
        <f ca="1">IF($O23="","",$O23-TODAY())</f>
        <v>251</v>
      </c>
      <c r="M23" s="12">
        <f ca="1">IF($C23="","",$C23+365-TODAY())</f>
        <v>332</v>
      </c>
      <c r="N23" s="12">
        <f ca="1">IF($C23="","",$C23+120-TODAY())</f>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row>
    <row r="24" spans="1:40" x14ac:dyDescent="0.25">
      <c r="A24" s="2" t="s">
        <v>94</v>
      </c>
      <c r="B24" s="2" t="s">
        <v>362</v>
      </c>
      <c r="C24" s="3">
        <v>46204</v>
      </c>
      <c r="D24" s="4">
        <v>563514079</v>
      </c>
      <c r="E24" s="5" t="s">
        <v>363</v>
      </c>
      <c r="F24" s="6">
        <v>46170</v>
      </c>
      <c r="G24" s="5" t="s">
        <v>300</v>
      </c>
      <c r="H24" s="5" t="s">
        <v>300</v>
      </c>
      <c r="I24" s="5" t="s">
        <v>364</v>
      </c>
      <c r="J24" s="5" t="s">
        <v>365</v>
      </c>
      <c r="K24" s="3">
        <v>46255</v>
      </c>
      <c r="L24" s="12">
        <f ca="1">IF($O24="","",$O24-TODAY())</f>
        <v>253</v>
      </c>
      <c r="M24" s="12">
        <f ca="1">IF($C24="","",$C24+365-TODAY())</f>
        <v>287</v>
      </c>
      <c r="N24" s="12">
        <f ca="1">IF($C24="","",$C24+120-TODAY())</f>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row>
    <row r="25" spans="1:40" x14ac:dyDescent="0.25">
      <c r="A25" s="2" t="s">
        <v>129</v>
      </c>
      <c r="B25" s="15" t="s">
        <v>674</v>
      </c>
      <c r="C25" s="3">
        <v>46268</v>
      </c>
      <c r="D25" s="4">
        <v>561864733</v>
      </c>
      <c r="E25" s="5" t="s">
        <v>347</v>
      </c>
      <c r="F25" s="6">
        <v>46171</v>
      </c>
      <c r="G25" s="5" t="s">
        <v>300</v>
      </c>
      <c r="H25" s="5" t="s">
        <v>300</v>
      </c>
      <c r="I25" s="5" t="s">
        <v>142</v>
      </c>
      <c r="J25" s="5" t="s">
        <v>212</v>
      </c>
      <c r="K25" s="3">
        <v>46276</v>
      </c>
      <c r="L25" s="12">
        <f ca="1">IF($O25="","",$O25-TODAY())</f>
        <v>254</v>
      </c>
      <c r="M25" s="12">
        <f ca="1">IF($C25="","",$C25+365-TODAY())</f>
        <v>351</v>
      </c>
      <c r="N25" s="12">
        <f ca="1">IF($C25="","",$C25+120-TODAY())</f>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row>
    <row r="26" spans="1:40" x14ac:dyDescent="0.25">
      <c r="A26" s="2" t="s">
        <v>94</v>
      </c>
      <c r="B26" s="2" t="s">
        <v>374</v>
      </c>
      <c r="C26" s="3">
        <v>46162</v>
      </c>
      <c r="D26" s="4">
        <v>559115746</v>
      </c>
      <c r="E26" s="5" t="s">
        <v>375</v>
      </c>
      <c r="F26" s="6">
        <v>46153</v>
      </c>
      <c r="G26" s="5" t="s">
        <v>376</v>
      </c>
      <c r="H26" s="5" t="s">
        <v>376</v>
      </c>
      <c r="I26" s="5" t="s">
        <v>45</v>
      </c>
      <c r="J26" s="5" t="s">
        <v>212</v>
      </c>
      <c r="K26" s="3">
        <v>46255</v>
      </c>
      <c r="L26" s="12">
        <f ca="1">IF($O26="","",$O26-TODAY())</f>
        <v>-69</v>
      </c>
      <c r="M26" s="12">
        <f ca="1">IF($C26="","",$C26+365-TODAY())</f>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row>
    <row r="27" spans="1:40" x14ac:dyDescent="0.25">
      <c r="A27" s="2" t="s">
        <v>676</v>
      </c>
      <c r="B27" s="2" t="s">
        <v>680</v>
      </c>
      <c r="C27" s="3"/>
      <c r="D27" s="4">
        <v>559374682</v>
      </c>
      <c r="E27" s="5" t="s">
        <v>381</v>
      </c>
      <c r="F27" s="6">
        <v>46143</v>
      </c>
      <c r="G27" s="5" t="s">
        <v>103</v>
      </c>
      <c r="H27" s="5" t="s">
        <v>103</v>
      </c>
      <c r="I27" s="5" t="s">
        <v>45</v>
      </c>
      <c r="J27" s="5" t="s">
        <v>271</v>
      </c>
      <c r="K27" s="3"/>
      <c r="L27" s="12">
        <f ca="1">IF($O27="","",$O27-TODAY())</f>
        <v>-49</v>
      </c>
      <c r="M27" s="12" t="str">
        <f ca="1">IF($C27="","",$C27+365-TODAY())</f>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row>
    <row r="28" spans="1:40" x14ac:dyDescent="0.25">
      <c r="A28" s="2" t="s">
        <v>129</v>
      </c>
      <c r="B28" s="2" t="s">
        <v>383</v>
      </c>
      <c r="C28" s="3">
        <v>46170</v>
      </c>
      <c r="D28" s="4">
        <v>559761030</v>
      </c>
      <c r="E28" s="5" t="s">
        <v>384</v>
      </c>
      <c r="F28" s="6">
        <v>46143</v>
      </c>
      <c r="G28" s="5" t="s">
        <v>75</v>
      </c>
      <c r="H28" s="5" t="s">
        <v>75</v>
      </c>
      <c r="I28" s="5" t="s">
        <v>45</v>
      </c>
      <c r="J28" s="5" t="s">
        <v>271</v>
      </c>
      <c r="K28" s="3">
        <v>46253</v>
      </c>
      <c r="L28" s="12">
        <f ca="1">IF($O28="","",$O28-TODAY())</f>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row>
    <row r="29" spans="1:40" x14ac:dyDescent="0.25">
      <c r="A29" s="2" t="s">
        <v>94</v>
      </c>
      <c r="B29" s="2" t="s">
        <v>386</v>
      </c>
      <c r="C29" s="3">
        <v>46184</v>
      </c>
      <c r="D29" s="4">
        <v>559005954</v>
      </c>
      <c r="E29" s="5" t="s">
        <v>387</v>
      </c>
      <c r="F29" s="6">
        <v>46146</v>
      </c>
      <c r="G29" s="5" t="s">
        <v>149</v>
      </c>
      <c r="H29" s="5" t="s">
        <v>149</v>
      </c>
      <c r="I29" s="5" t="s">
        <v>45</v>
      </c>
      <c r="J29" s="5" t="s">
        <v>388</v>
      </c>
      <c r="K29" s="3">
        <v>46253</v>
      </c>
      <c r="L29" s="12">
        <f ca="1">IF($O29="","",$O29-TODAY())</f>
        <v>-46</v>
      </c>
      <c r="M29" s="12">
        <f ca="1">IF($F29="","",$F29+90-TODAY())</f>
        <v>-47</v>
      </c>
      <c r="N29" s="12">
        <f ca="1">IF($C29="","",$C29+365-TODAY())</f>
        <v>266</v>
      </c>
      <c r="O29" s="6">
        <v>46236</v>
      </c>
      <c r="P29" s="5" t="s">
        <v>47</v>
      </c>
      <c r="Q29" s="5" t="s">
        <v>182</v>
      </c>
      <c r="R29" s="5" t="s">
        <v>47</v>
      </c>
      <c r="S29" s="5" t="s">
        <v>234</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row>
    <row r="30" spans="1:40" x14ac:dyDescent="0.25">
      <c r="A30" s="2" t="s">
        <v>94</v>
      </c>
      <c r="B30" s="2" t="s">
        <v>392</v>
      </c>
      <c r="C30" s="3">
        <v>46224</v>
      </c>
      <c r="D30" s="4">
        <v>559736857</v>
      </c>
      <c r="E30" s="5" t="s">
        <v>393</v>
      </c>
      <c r="F30" s="6">
        <v>46150</v>
      </c>
      <c r="G30" s="5" t="s">
        <v>394</v>
      </c>
      <c r="H30" s="5" t="s">
        <v>394</v>
      </c>
      <c r="I30" s="5" t="s">
        <v>395</v>
      </c>
      <c r="J30" s="5" t="s">
        <v>250</v>
      </c>
      <c r="K30" s="3">
        <v>46253</v>
      </c>
      <c r="L30" s="12">
        <f ca="1">IF($O30="","",$O30-TODAY())</f>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row>
    <row r="31" spans="1:40" x14ac:dyDescent="0.25">
      <c r="A31" s="2" t="s">
        <v>129</v>
      </c>
      <c r="B31" s="2" t="s">
        <v>399</v>
      </c>
      <c r="C31" s="3">
        <v>46195</v>
      </c>
      <c r="D31" s="4">
        <v>559737254</v>
      </c>
      <c r="E31" s="5" t="s">
        <v>400</v>
      </c>
      <c r="F31" s="6">
        <v>46150</v>
      </c>
      <c r="G31" s="5" t="s">
        <v>75</v>
      </c>
      <c r="H31" s="5" t="s">
        <v>75</v>
      </c>
      <c r="I31" s="5" t="s">
        <v>284</v>
      </c>
      <c r="J31" s="5" t="s">
        <v>401</v>
      </c>
      <c r="K31" s="3">
        <v>46253</v>
      </c>
      <c r="L31" s="12">
        <f ca="1">IF($O31="","",$O31-TODAY())</f>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row>
    <row r="32" spans="1:40" x14ac:dyDescent="0.25">
      <c r="A32" s="2" t="s">
        <v>129</v>
      </c>
      <c r="B32" s="2" t="s">
        <v>406</v>
      </c>
      <c r="C32" s="3">
        <v>46198</v>
      </c>
      <c r="D32" s="4">
        <v>559775347</v>
      </c>
      <c r="E32" s="5" t="s">
        <v>407</v>
      </c>
      <c r="F32" s="6">
        <v>46153</v>
      </c>
      <c r="G32" s="5" t="s">
        <v>103</v>
      </c>
      <c r="H32" s="5" t="s">
        <v>103</v>
      </c>
      <c r="I32" s="5" t="s">
        <v>45</v>
      </c>
      <c r="J32" s="5" t="s">
        <v>224</v>
      </c>
      <c r="K32" s="3">
        <v>46253</v>
      </c>
      <c r="L32" s="12">
        <f ca="1">IF($O32="","",$O32-TODAY())</f>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row>
    <row r="33" spans="1:40" x14ac:dyDescent="0.25">
      <c r="A33" s="2" t="s">
        <v>676</v>
      </c>
      <c r="B33" s="2" t="s">
        <v>681</v>
      </c>
      <c r="C33" s="3">
        <v>46203</v>
      </c>
      <c r="D33" s="4">
        <v>562420138</v>
      </c>
      <c r="E33" s="5" t="s">
        <v>411</v>
      </c>
      <c r="F33" s="6">
        <v>46153</v>
      </c>
      <c r="G33" s="5" t="s">
        <v>149</v>
      </c>
      <c r="H33" s="5" t="s">
        <v>149</v>
      </c>
      <c r="I33" s="5" t="s">
        <v>45</v>
      </c>
      <c r="J33" s="5" t="s">
        <v>401</v>
      </c>
      <c r="K33" s="3">
        <v>46255</v>
      </c>
      <c r="L33" s="12">
        <f ca="1">IF($O33="","",$O33-TODAY())</f>
        <v>-39</v>
      </c>
      <c r="M33" s="12">
        <f ca="1">IF($F33="","",$F33+90-TODAY())</f>
        <v>-40</v>
      </c>
      <c r="N33" s="12">
        <f ca="1">IF($C33="","",$C33+365-TODAY())</f>
        <v>285</v>
      </c>
      <c r="O33" s="6">
        <v>46243</v>
      </c>
      <c r="P33" s="5" t="s">
        <v>47</v>
      </c>
      <c r="Q33" s="5" t="s">
        <v>182</v>
      </c>
      <c r="R33" s="5" t="s">
        <v>47</v>
      </c>
      <c r="S33" s="5" t="s">
        <v>234</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row>
    <row r="34" spans="1:40" x14ac:dyDescent="0.25">
      <c r="A34" s="2" t="s">
        <v>94</v>
      </c>
      <c r="B34" s="2" t="s">
        <v>413</v>
      </c>
      <c r="C34" s="3">
        <v>46168</v>
      </c>
      <c r="D34" s="4">
        <v>559748258</v>
      </c>
      <c r="E34" s="5" t="s">
        <v>414</v>
      </c>
      <c r="F34" s="6">
        <v>46146</v>
      </c>
      <c r="G34" s="5" t="s">
        <v>186</v>
      </c>
      <c r="H34" s="5" t="s">
        <v>186</v>
      </c>
      <c r="I34" s="5" t="s">
        <v>45</v>
      </c>
      <c r="J34" s="5" t="s">
        <v>316</v>
      </c>
      <c r="K34" s="3">
        <v>46244</v>
      </c>
      <c r="L34" s="12" t="str">
        <f ca="1">IF($O34="","",$O34-TODAY())</f>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row>
    <row r="35" spans="1:40" x14ac:dyDescent="0.25">
      <c r="A35" s="2" t="s">
        <v>94</v>
      </c>
      <c r="B35" s="2" t="s">
        <v>413</v>
      </c>
      <c r="C35" s="3">
        <v>46171</v>
      </c>
      <c r="D35" s="4">
        <v>559795824</v>
      </c>
      <c r="E35" s="5" t="s">
        <v>416</v>
      </c>
      <c r="F35" s="6">
        <v>46149</v>
      </c>
      <c r="G35" s="5" t="s">
        <v>186</v>
      </c>
      <c r="H35" s="5" t="s">
        <v>186</v>
      </c>
      <c r="I35" s="5" t="s">
        <v>45</v>
      </c>
      <c r="J35" s="5" t="s">
        <v>250</v>
      </c>
      <c r="K35" s="3">
        <v>46244</v>
      </c>
      <c r="L35" s="12" t="str">
        <f ca="1">IF($O35="","",$O35-TODAY())</f>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419</v>
      </c>
      <c r="C2" s="3">
        <v>46195</v>
      </c>
      <c r="D2" s="4">
        <v>561650229</v>
      </c>
      <c r="E2" s="5" t="s">
        <v>420</v>
      </c>
      <c r="F2" s="6">
        <v>46146</v>
      </c>
      <c r="G2" s="5" t="s">
        <v>114</v>
      </c>
      <c r="H2" s="5" t="s">
        <v>114</v>
      </c>
      <c r="I2" s="5" t="s">
        <v>45</v>
      </c>
      <c r="J2" s="5" t="s">
        <v>421</v>
      </c>
      <c r="K2" s="3">
        <v>46248</v>
      </c>
      <c r="L2" s="12">
        <f ca="1">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row>
    <row r="3" spans="1:40" x14ac:dyDescent="0.25">
      <c r="A3" s="2" t="s">
        <v>94</v>
      </c>
      <c r="B3" s="2" t="s">
        <v>430</v>
      </c>
      <c r="C3" s="3">
        <v>46185</v>
      </c>
      <c r="D3" s="4">
        <v>561727580</v>
      </c>
      <c r="E3" s="5" t="s">
        <v>431</v>
      </c>
      <c r="F3" s="6">
        <v>46153</v>
      </c>
      <c r="G3" s="5" t="s">
        <v>134</v>
      </c>
      <c r="H3" s="5" t="s">
        <v>134</v>
      </c>
      <c r="I3" s="5" t="s">
        <v>142</v>
      </c>
      <c r="J3" s="5" t="s">
        <v>432</v>
      </c>
      <c r="K3" s="3">
        <v>46255</v>
      </c>
      <c r="L3" s="12">
        <f ca="1">IF($O3="","",$O3-TODAY())</f>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row>
    <row r="4" spans="1:40" x14ac:dyDescent="0.25">
      <c r="A4" s="2" t="s">
        <v>130</v>
      </c>
      <c r="B4" s="2" t="s">
        <v>438</v>
      </c>
      <c r="C4" s="3">
        <v>46252</v>
      </c>
      <c r="D4" s="4">
        <v>561726685</v>
      </c>
      <c r="E4" s="5" t="s">
        <v>439</v>
      </c>
      <c r="F4" s="6">
        <v>46160</v>
      </c>
      <c r="G4" s="5" t="s">
        <v>119</v>
      </c>
      <c r="H4" s="5" t="s">
        <v>134</v>
      </c>
      <c r="I4" s="5" t="s">
        <v>119</v>
      </c>
      <c r="J4" s="5" t="s">
        <v>440</v>
      </c>
      <c r="K4" s="3">
        <v>46224</v>
      </c>
      <c r="L4" s="12">
        <f ca="1">IF($O4="","",$O4-TODAY())</f>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row>
    <row r="5" spans="1:40" x14ac:dyDescent="0.25">
      <c r="A5" s="2" t="s">
        <v>129</v>
      </c>
      <c r="B5" s="2" t="s">
        <v>445</v>
      </c>
      <c r="C5" s="3">
        <v>46187</v>
      </c>
      <c r="D5" s="4">
        <v>561728234</v>
      </c>
      <c r="E5" s="5" t="s">
        <v>446</v>
      </c>
      <c r="F5" s="6">
        <v>46153</v>
      </c>
      <c r="G5" s="5" t="s">
        <v>447</v>
      </c>
      <c r="H5" s="5" t="s">
        <v>447</v>
      </c>
      <c r="I5" s="5" t="s">
        <v>45</v>
      </c>
      <c r="J5" s="5" t="s">
        <v>448</v>
      </c>
      <c r="K5" s="3">
        <v>46255</v>
      </c>
      <c r="L5" s="12">
        <f ca="1">IF($O5="","",$O5-TODAY())</f>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row>
    <row r="6" spans="1:40" x14ac:dyDescent="0.25">
      <c r="A6" s="2" t="s">
        <v>94</v>
      </c>
      <c r="B6" s="2" t="s">
        <v>452</v>
      </c>
      <c r="C6" s="3">
        <v>46196</v>
      </c>
      <c r="D6" s="4">
        <v>561729597</v>
      </c>
      <c r="E6" s="5" t="s">
        <v>453</v>
      </c>
      <c r="F6" s="6">
        <v>46153</v>
      </c>
      <c r="G6" s="5" t="s">
        <v>231</v>
      </c>
      <c r="H6" s="5" t="s">
        <v>231</v>
      </c>
      <c r="I6" s="5" t="s">
        <v>45</v>
      </c>
      <c r="J6" s="5" t="s">
        <v>454</v>
      </c>
      <c r="K6" s="3">
        <v>46256</v>
      </c>
      <c r="L6" s="12">
        <f ca="1">IF($O6="","",$O6-TODAY())</f>
        <v>-39</v>
      </c>
      <c r="M6" s="12">
        <f ca="1">IF($F6="","",$F6+90-TODAY())</f>
        <v>-40</v>
      </c>
      <c r="N6" s="12">
        <f ca="1">IF($C6="","",$C6+540-TODAY())</f>
        <v>453</v>
      </c>
      <c r="O6" s="6">
        <v>46243</v>
      </c>
      <c r="P6" s="5" t="s">
        <v>47</v>
      </c>
      <c r="Q6" s="5" t="s">
        <v>233</v>
      </c>
      <c r="R6" s="5" t="s">
        <v>47</v>
      </c>
      <c r="S6" s="5" t="s">
        <v>234</v>
      </c>
      <c r="T6" s="5" t="s">
        <v>686</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row>
    <row r="7" spans="1:40" x14ac:dyDescent="0.25">
      <c r="A7" s="2" t="s">
        <v>676</v>
      </c>
      <c r="B7" s="2" t="s">
        <v>678</v>
      </c>
      <c r="C7" s="3"/>
      <c r="D7" s="4">
        <v>561650514</v>
      </c>
      <c r="E7" s="5" t="s">
        <v>458</v>
      </c>
      <c r="F7" s="6">
        <v>46153</v>
      </c>
      <c r="G7" s="5" t="s">
        <v>193</v>
      </c>
      <c r="H7" s="5" t="s">
        <v>193</v>
      </c>
      <c r="I7" s="5" t="s">
        <v>45</v>
      </c>
      <c r="J7" s="5" t="s">
        <v>459</v>
      </c>
      <c r="K7" s="3"/>
      <c r="L7" s="12" t="str">
        <f ca="1">IF($O7="","",$O7-TODAY())</f>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row>
    <row r="3" spans="1:40"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row>
    <row r="4" spans="1:40"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row>
    <row r="5" spans="1:40"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row>
    <row r="6" spans="1:40"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row>
    <row r="7" spans="1:40"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row>
    <row r="8" spans="1:40"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row>
    <row r="9" spans="1:40"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row>
    <row r="10" spans="1:40"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row>
    <row r="11" spans="1:40"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row>
    <row r="12" spans="1:40"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row>
    <row r="13" spans="1:40"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row>
    <row r="14" spans="1:40"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row>
    <row r="15" spans="1:40"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row>
    <row r="16" spans="1:40"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row>
    <row r="17" spans="1:40"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row>
    <row r="18" spans="1:40"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row>
    <row r="19" spans="1:40"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row>
    <row r="20" spans="1:40"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row>
    <row r="21" spans="1:40"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IF($F21="","",$F21+90-TODAY())</f>
        <v>-45</v>
      </c>
      <c r="N21" s="12">
        <f ca="1">IF($C21="","",$C21+365-TODAY())</f>
        <v>279</v>
      </c>
      <c r="O21" s="6">
        <v>46238</v>
      </c>
      <c r="P21" s="5" t="s">
        <v>47</v>
      </c>
      <c r="Q21" s="5" t="s">
        <v>182</v>
      </c>
      <c r="R21" s="5" t="s">
        <v>47</v>
      </c>
      <c r="S21" s="5" t="s">
        <v>234</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row>
    <row r="22" spans="1:40"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row>
    <row r="23" spans="1:40"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row>
    <row r="3" spans="1:40"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row>
    <row r="4" spans="1:40"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row>
    <row r="5" spans="1:40"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row>
    <row r="6" spans="1:40"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row>
    <row r="7" spans="1:40"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row>
    <row r="8" spans="1:40"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row>
    <row r="9" spans="1:40"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row>
    <row r="10" spans="1:40"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row>
    <row r="11" spans="1:40"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row>
    <row r="12" spans="1:40"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row>
    <row r="13" spans="1:40"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row>
    <row r="14" spans="1:40"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row>
    <row r="15" spans="1:40"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row>
    <row r="16" spans="1:40" x14ac:dyDescent="0.25">
      <c r="A16" s="2" t="s">
        <v>94</v>
      </c>
      <c r="B16" s="2" t="s">
        <v>631</v>
      </c>
      <c r="C16" s="3">
        <v>46236</v>
      </c>
      <c r="D16" s="4">
        <v>564984009</v>
      </c>
      <c r="E16" s="5" t="s">
        <v>632</v>
      </c>
      <c r="F16" s="6">
        <v>46149</v>
      </c>
      <c r="G16" s="5" t="s">
        <v>168</v>
      </c>
      <c r="H16" s="5" t="s">
        <v>168</v>
      </c>
      <c r="I16" s="5" t="s">
        <v>633</v>
      </c>
      <c r="J16" s="5" t="s">
        <v>634</v>
      </c>
      <c r="K16" s="3">
        <v>46259</v>
      </c>
      <c r="L16" s="12">
        <f ca="1">IF($O16="","",$O16-TODAY())</f>
        <v>-44</v>
      </c>
      <c r="M16" s="12">
        <f ca="1">IF($C16="","",$C16+365-TODAY())</f>
        <v>318</v>
      </c>
      <c r="N16" s="12">
        <f ca="1">IF($C16="","",$C16+365-TODAY())</f>
        <v>318</v>
      </c>
      <c r="O16" s="6">
        <v>46239</v>
      </c>
      <c r="P16" s="5" t="s">
        <v>47</v>
      </c>
      <c r="Q16" s="5" t="s">
        <v>170</v>
      </c>
      <c r="R16" s="5" t="s">
        <v>51</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687</v>
      </c>
    </row>
    <row r="4" spans="1:1" x14ac:dyDescent="0.25">
      <c r="A4" s="9"/>
    </row>
    <row r="5" spans="1:1" x14ac:dyDescent="0.25">
      <c r="A5" s="10" t="s">
        <v>642</v>
      </c>
    </row>
    <row r="6" spans="1:1" ht="45" x14ac:dyDescent="0.25">
      <c r="A6" s="9" t="s">
        <v>688</v>
      </c>
    </row>
    <row r="7" spans="1:1" x14ac:dyDescent="0.25">
      <c r="A7" s="9" t="s">
        <v>689</v>
      </c>
    </row>
    <row r="8" spans="1:1" x14ac:dyDescent="0.25">
      <c r="A8" s="9" t="s">
        <v>690</v>
      </c>
    </row>
    <row r="9" spans="1:1" x14ac:dyDescent="0.25">
      <c r="A9" s="9" t="s">
        <v>691</v>
      </c>
    </row>
    <row r="10" spans="1:1" x14ac:dyDescent="0.25">
      <c r="A10" s="9" t="s">
        <v>692</v>
      </c>
    </row>
    <row r="11" spans="1:1" x14ac:dyDescent="0.25">
      <c r="A11" s="9" t="s">
        <v>693</v>
      </c>
    </row>
    <row r="12" spans="1:1" x14ac:dyDescent="0.25">
      <c r="A12" s="9" t="s">
        <v>694</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695</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