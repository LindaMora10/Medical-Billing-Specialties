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02"/>
  <workbookPr/>
  <mc:AlternateContent xmlns:mc="http://schemas.openxmlformats.org/markup-compatibility/2006">
    <mc:Choice Requires="x15">
      <x15ac:absPath xmlns:x15ac="http://schemas.microsoft.com/office/spreadsheetml/2010/11/ac" url="https://asappaindocs-my.sharepoint.com/personal/lmora_asappaindocs_com/Documents/2026/Specialty Claims 2026-S1/"/>
    </mc:Choice>
  </mc:AlternateContent>
  <xr:revisionPtr revIDLastSave="227" documentId="11_03DB6F9BF979F61BFC02BDBDA2AFBCEE1A17DC7F" xr6:coauthVersionLast="47" xr6:coauthVersionMax="47" xr10:uidLastSave="{B0DDC7BC-4D1D-4EE2-9FD0-99D2AA459331}"/>
  <bookViews>
    <workbookView xWindow="-28920" yWindow="-1875" windowWidth="29040" windowHeight="15720" xr2:uid="{00000000-000D-0000-FFFF-FFFF00000000}"/>
  </bookViews>
  <sheets>
    <sheet name="BH" sheetId="1" r:id="rId1"/>
    <sheet name="DME" sheetId="2" r:id="rId2"/>
    <sheet name="GAE" sheetId="3" r:id="rId3"/>
    <sheet name="ORTHO" sheetId="4" r:id="rId4"/>
    <sheet name="US" sheetId="5" r:id="rId5"/>
    <sheet name="Read Me" sheetId="6" r:id="rId6"/>
  </sheets>
  <definedNames>
    <definedName name="_xlnm._FilterDatabase" localSheetId="0" hidden="1">BH!$A$1:$AO$9</definedName>
    <definedName name="_xlnm._FilterDatabase" localSheetId="1" hidden="1">DME!$A$1:$AO$12</definedName>
    <definedName name="_xlnm._FilterDatabase" localSheetId="2" hidden="1">GAE!$A$1:$AO$6</definedName>
    <definedName name="_xlnm._FilterDatabase" localSheetId="3" hidden="1">ORTHO!$A$1:$AO$11</definedName>
    <definedName name="_xlnm._FilterDatabase" localSheetId="4" hidden="1">US!$A$1:$AO$6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6" i="5" l="1"/>
  <c r="M6" i="5"/>
  <c r="L6" i="5"/>
  <c r="N5" i="5"/>
  <c r="M5" i="5"/>
  <c r="L5" i="5"/>
  <c r="N4" i="5"/>
  <c r="M4" i="5"/>
  <c r="L4" i="5"/>
  <c r="N3" i="5"/>
  <c r="M3" i="5"/>
  <c r="L3" i="5"/>
  <c r="N2" i="5"/>
  <c r="M2" i="5"/>
  <c r="L2" i="5"/>
  <c r="N11" i="4"/>
  <c r="L11" i="4"/>
  <c r="N10" i="4"/>
  <c r="M10" i="4"/>
  <c r="L10" i="4"/>
  <c r="N9" i="4"/>
  <c r="M9" i="4"/>
  <c r="L9" i="4"/>
  <c r="N8" i="4"/>
  <c r="M8" i="4"/>
  <c r="L8" i="4"/>
  <c r="N7" i="4"/>
  <c r="M7" i="4"/>
  <c r="L7" i="4"/>
  <c r="N6" i="4"/>
  <c r="M6" i="4"/>
  <c r="L6" i="4"/>
  <c r="N5" i="4"/>
  <c r="M5" i="4"/>
  <c r="L5" i="4"/>
  <c r="N4" i="4"/>
  <c r="M4" i="4"/>
  <c r="L4" i="4"/>
  <c r="N3" i="4"/>
  <c r="M3" i="4"/>
  <c r="L3" i="4"/>
  <c r="N2" i="4"/>
  <c r="M2" i="4"/>
  <c r="L2" i="4"/>
  <c r="N6" i="3"/>
  <c r="M6" i="3"/>
  <c r="L6" i="3"/>
  <c r="N5" i="3"/>
  <c r="M5" i="3"/>
  <c r="L5" i="3"/>
  <c r="N4" i="3"/>
  <c r="M4" i="3"/>
  <c r="L4" i="3"/>
  <c r="N3" i="3"/>
  <c r="M3" i="3"/>
  <c r="L3" i="3"/>
  <c r="N2" i="3"/>
  <c r="M2" i="3"/>
  <c r="L2" i="3"/>
  <c r="L12" i="2"/>
  <c r="L11" i="2"/>
  <c r="N10" i="2"/>
  <c r="M10" i="2"/>
  <c r="L10" i="2"/>
  <c r="N9" i="2"/>
  <c r="M9" i="2"/>
  <c r="L9" i="2"/>
  <c r="N8" i="2"/>
  <c r="M8" i="2"/>
  <c r="L8" i="2"/>
  <c r="N7" i="2"/>
  <c r="M7" i="2"/>
  <c r="L7" i="2"/>
  <c r="N6" i="2"/>
  <c r="M6" i="2"/>
  <c r="L6" i="2"/>
  <c r="N5" i="2"/>
  <c r="M5" i="2"/>
  <c r="L5" i="2"/>
  <c r="N4" i="2"/>
  <c r="M4" i="2"/>
  <c r="L4" i="2"/>
  <c r="N3" i="2"/>
  <c r="M3" i="2"/>
  <c r="L3" i="2"/>
  <c r="N2" i="2"/>
  <c r="M2" i="2"/>
  <c r="L2" i="2"/>
  <c r="N9" i="1"/>
  <c r="M9" i="1"/>
  <c r="L9" i="1"/>
  <c r="N8" i="1"/>
  <c r="M8" i="1"/>
  <c r="L8" i="1"/>
  <c r="N7" i="1"/>
  <c r="M7" i="1"/>
  <c r="L7" i="1"/>
  <c r="N6" i="1"/>
  <c r="M6" i="1"/>
  <c r="L6" i="1"/>
  <c r="N5" i="1"/>
  <c r="M5" i="1"/>
  <c r="L5" i="1"/>
  <c r="N4" i="1"/>
  <c r="M4" i="1"/>
  <c r="L4" i="1"/>
  <c r="N3" i="1"/>
  <c r="M3" i="1"/>
  <c r="L3" i="1"/>
  <c r="N2" i="1"/>
  <c r="M2" i="1"/>
  <c r="L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Claims workbook</author>
  </authors>
  <commentList>
    <comment ref="C1" authorId="0" shapeId="0" xr:uid="{00000000-0006-0000-0000-000001000000}">
      <text>
        <r>
          <rPr>
            <sz val="11"/>
            <color theme="1"/>
            <rFont val="Calibri"/>
            <family val="2"/>
            <scheme val="minor"/>
          </rPr>
          <t>Date the claim was processed, shown MM/DD/YYYY. Pre-filled where a Note recorded one; blank otherwise for you to fill in.</t>
        </r>
      </text>
    </comment>
    <comment ref="D1" authorId="0" shapeId="0" xr:uid="{00000000-0006-0000-0000-000002000000}">
      <text>
        <r>
          <rPr>
            <sz val="11"/>
            <color theme="1"/>
            <rFont val="Calibri"/>
            <family val="2"/>
            <scheme val="minor"/>
          </rPr>
          <t>The master workbook matches on this column to pull Claim Status, Notes, Processed Date and Latest Date Worked back from this file with INDEX/MATCH, so you can freely sort or filter these rows without breaking the link. Do not edit it.</t>
        </r>
      </text>
    </comment>
    <comment ref="K1" authorId="0" shapeId="0" xr:uid="{00000000-0006-0000-0000-000003000000}">
      <text>
        <r>
          <rPr>
            <sz val="11"/>
            <color theme="1"/>
            <rFont val="Calibri"/>
            <family val="2"/>
            <scheme val="minor"/>
          </rPr>
          <t>Date you worked this claim, shown MM/DD/YYYY. Blank for you to fill in.</t>
        </r>
      </text>
    </comment>
    <comment ref="L1" authorId="0" shapeId="0" xr:uid="{00000000-0006-0000-0000-000004000000}">
      <text>
        <r>
          <rPr>
            <sz val="11"/>
            <color theme="1"/>
            <rFont val="Calibri"/>
            <family val="2"/>
            <scheme val="minor"/>
          </rPr>
          <t>Live formula: Filing Deadline minus TODAY(). Negative means the filing window has already closed; blank means no limit is on file. Rows were sorted on 12 August 2026 - sort ascending on this column to bring the order back up to date.</t>
        </r>
      </text>
    </comment>
    <comment ref="M1" authorId="0" shapeId="0" xr:uid="{00000000-0006-0000-0000-000005000000}">
      <text>
        <r>
          <rPr>
            <sz val="11"/>
            <color theme="1"/>
            <rFont val="Calibri"/>
            <family val="2"/>
            <scheme val="minor"/>
          </rPr>
          <t>Live formula: days left to resubmit a corrected claim, counted from whichever date the carrier uses - see Corrected Claim From. Blank means either no window is on file for the carrier or, on a processed-date carrier, that Processed Date is still empty; fill that in and this fills itself.</t>
        </r>
      </text>
    </comment>
    <comment ref="N1" authorId="0" shapeId="0" xr:uid="{00000000-0006-0000-0000-000006000000}">
      <text>
        <r>
          <rPr>
            <sz val="11"/>
            <color theme="1"/>
            <rFont val="Calibri"/>
            <family val="2"/>
            <scheme val="minor"/>
          </rPr>
          <t>Live formula: days left to file a reconsideration or appeal, counted from whichever date the carrier uses - see Appeal From. Blank means either no window is on file or, on a processed-date carrier, that Processed Date is still empty.</t>
        </r>
      </text>
    </comment>
    <comment ref="O1" authorId="0" shapeId="0" xr:uid="{00000000-0006-0000-0000-000007000000}">
      <text>
        <r>
          <rPr>
            <sz val="11"/>
            <color theme="1"/>
            <rFont val="Calibri"/>
            <family val="2"/>
            <scheme val="minor"/>
          </rPr>
          <t>Date of Service plus the primary payer's timely filing limit, from Carrier_Timely_Filing_Reference.xlsx. Blank means no limit is on file for that payer.</t>
        </r>
      </text>
    </comment>
    <comment ref="P1" authorId="0" shapeId="0" xr:uid="{00000000-0006-0000-0000-000008000000}">
      <text>
        <r>
          <rPr>
            <sz val="11"/>
            <color theme="1"/>
            <rFont val="Calibri"/>
            <family val="2"/>
            <scheme val="minor"/>
          </rPr>
          <t>The limit applied to this row, as days or calendar months.</t>
        </r>
      </text>
    </comment>
    <comment ref="Q1" authorId="0" shapeId="0" xr:uid="{00000000-0006-0000-0000-000009000000}">
      <text>
        <r>
          <rPr>
            <sz val="11"/>
            <color theme="1"/>
            <rFont val="Calibri"/>
            <family val="2"/>
            <scheme val="minor"/>
          </rPr>
          <t>The carrier row in Carrier_Timely_Filing_Reference.xlsx that the primary payer was matched to.</t>
        </r>
      </text>
    </comment>
    <comment ref="R1" authorId="0" shapeId="0" xr:uid="{00000000-0006-0000-0000-00000A000000}">
      <text>
        <r>
          <rPr>
            <sz val="11"/>
            <color theme="1"/>
            <rFont val="Calibri"/>
            <family val="2"/>
            <scheme val="minor"/>
          </rPr>
          <t>Corrected claim window from Carrier_Timely_Filing_Reference.xlsx.</t>
        </r>
      </text>
    </comment>
    <comment ref="S1" authorId="0" shapeId="0" xr:uid="{00000000-0006-0000-0000-00000B000000}">
      <text>
        <r>
          <rPr>
            <sz val="11"/>
            <color theme="1"/>
            <rFont val="Calibri"/>
            <family val="2"/>
            <scheme val="minor"/>
          </rPr>
          <t>Whether the carrier counts the corrected claim window from the date of service or from the processed date.</t>
        </r>
      </text>
    </comment>
    <comment ref="T1" authorId="0" shapeId="0" xr:uid="{00000000-0006-0000-0000-00000C000000}">
      <text>
        <r>
          <rPr>
            <sz val="11"/>
            <color theme="1"/>
            <rFont val="Calibri"/>
            <family val="2"/>
            <scheme val="minor"/>
          </rPr>
          <t>Reconsideration / appeal window from Carrier_Timely_Filing_Reference.xlsx.</t>
        </r>
      </text>
    </comment>
    <comment ref="U1" authorId="0" shapeId="0" xr:uid="{00000000-0006-0000-0000-00000D000000}">
      <text>
        <r>
          <rPr>
            <sz val="11"/>
            <color theme="1"/>
            <rFont val="Calibri"/>
            <family val="2"/>
            <scheme val="minor"/>
          </rPr>
          <t>Whether the carrier counts the appeal window from the date of service or from the processed date.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Claims workbook</author>
  </authors>
  <commentList>
    <comment ref="C1" authorId="0" shapeId="0" xr:uid="{00000000-0006-0000-0100-000001000000}">
      <text>
        <r>
          <rPr>
            <sz val="11"/>
            <color theme="1"/>
            <rFont val="Calibri"/>
            <family val="2"/>
            <scheme val="minor"/>
          </rPr>
          <t>Date the claim was processed, shown MM/DD/YYYY. Pre-filled where a Note recorded one; blank otherwise for you to fill in.</t>
        </r>
      </text>
    </comment>
    <comment ref="D1" authorId="0" shapeId="0" xr:uid="{00000000-0006-0000-0100-000002000000}">
      <text>
        <r>
          <rPr>
            <sz val="11"/>
            <color theme="1"/>
            <rFont val="Calibri"/>
            <family val="2"/>
            <scheme val="minor"/>
          </rPr>
          <t>The master workbook matches on this column to pull Claim Status, Notes, Processed Date and Latest Date Worked back from this file with INDEX/MATCH, so you can freely sort or filter these rows without breaking the link. Do not edit it.</t>
        </r>
      </text>
    </comment>
    <comment ref="K1" authorId="0" shapeId="0" xr:uid="{7A04E042-B6CD-44A4-B670-16D33F984B59}">
      <text>
        <r>
          <rPr>
            <sz val="11"/>
            <color theme="1"/>
            <rFont val="Calibri"/>
            <family val="2"/>
            <scheme val="minor"/>
          </rPr>
          <t>Date you worked this claim, shown MM/DD/YYYY. Blank for you to fill in.</t>
        </r>
      </text>
    </comment>
    <comment ref="L1" authorId="0" shapeId="0" xr:uid="{00000000-0006-0000-0100-000004000000}">
      <text>
        <r>
          <rPr>
            <sz val="11"/>
            <color theme="1"/>
            <rFont val="Calibri"/>
            <family val="2"/>
            <scheme val="minor"/>
          </rPr>
          <t>Live formula: Filing Deadline minus TODAY(). Negative means the filing window has already closed; blank means no limit is on file. Rows were sorted on 12 August 2026 - sort ascending on this column to bring the order back up to date.</t>
        </r>
      </text>
    </comment>
    <comment ref="M1" authorId="0" shapeId="0" xr:uid="{00000000-0006-0000-0100-000005000000}">
      <text>
        <r>
          <rPr>
            <sz val="11"/>
            <color theme="1"/>
            <rFont val="Calibri"/>
            <family val="2"/>
            <scheme val="minor"/>
          </rPr>
          <t>Live formula: days left to resubmit a corrected claim, counted from whichever date the carrier uses - see Corrected Claim From. Blank means either no window is on file for the carrier or, on a processed-date carrier, that Processed Date is still empty; fill that in and this fills itself.</t>
        </r>
      </text>
    </comment>
    <comment ref="N1" authorId="0" shapeId="0" xr:uid="{00000000-0006-0000-0100-000006000000}">
      <text>
        <r>
          <rPr>
            <sz val="11"/>
            <color theme="1"/>
            <rFont val="Calibri"/>
            <family val="2"/>
            <scheme val="minor"/>
          </rPr>
          <t>Live formula: days left to file a reconsideration or appeal, counted from whichever date the carrier uses - see Appeal From. Blank means either no window is on file or, on a processed-date carrier, that Processed Date is still empty.</t>
        </r>
      </text>
    </comment>
    <comment ref="O1" authorId="0" shapeId="0" xr:uid="{00000000-0006-0000-0100-000007000000}">
      <text>
        <r>
          <rPr>
            <sz val="11"/>
            <color theme="1"/>
            <rFont val="Calibri"/>
            <family val="2"/>
            <scheme val="minor"/>
          </rPr>
          <t>Date of Service plus the primary payer's timely filing limit, from Carrier_Timely_Filing_Reference.xlsx. Blank means no limit is on file for that payer.</t>
        </r>
      </text>
    </comment>
    <comment ref="P1" authorId="0" shapeId="0" xr:uid="{00000000-0006-0000-0100-000008000000}">
      <text>
        <r>
          <rPr>
            <sz val="11"/>
            <color theme="1"/>
            <rFont val="Calibri"/>
            <family val="2"/>
            <scheme val="minor"/>
          </rPr>
          <t>The limit applied to this row, as days or calendar months.</t>
        </r>
      </text>
    </comment>
    <comment ref="Q1" authorId="0" shapeId="0" xr:uid="{00000000-0006-0000-0100-000009000000}">
      <text>
        <r>
          <rPr>
            <sz val="11"/>
            <color theme="1"/>
            <rFont val="Calibri"/>
            <family val="2"/>
            <scheme val="minor"/>
          </rPr>
          <t>The carrier row in Carrier_Timely_Filing_Reference.xlsx that the primary payer was matched to.</t>
        </r>
      </text>
    </comment>
    <comment ref="R1" authorId="0" shapeId="0" xr:uid="{00000000-0006-0000-0100-00000A000000}">
      <text>
        <r>
          <rPr>
            <sz val="11"/>
            <color theme="1"/>
            <rFont val="Calibri"/>
            <family val="2"/>
            <scheme val="minor"/>
          </rPr>
          <t>Corrected claim window from Carrier_Timely_Filing_Reference.xlsx.</t>
        </r>
      </text>
    </comment>
    <comment ref="S1" authorId="0" shapeId="0" xr:uid="{00000000-0006-0000-0100-00000B000000}">
      <text>
        <r>
          <rPr>
            <sz val="11"/>
            <color theme="1"/>
            <rFont val="Calibri"/>
            <family val="2"/>
            <scheme val="minor"/>
          </rPr>
          <t>Whether the carrier counts the corrected claim window from the date of service or from the processed date.</t>
        </r>
      </text>
    </comment>
    <comment ref="T1" authorId="0" shapeId="0" xr:uid="{00000000-0006-0000-0100-00000C000000}">
      <text>
        <r>
          <rPr>
            <sz val="11"/>
            <color theme="1"/>
            <rFont val="Calibri"/>
            <family val="2"/>
            <scheme val="minor"/>
          </rPr>
          <t>Reconsideration / appeal window from Carrier_Timely_Filing_Reference.xlsx.</t>
        </r>
      </text>
    </comment>
    <comment ref="U1" authorId="0" shapeId="0" xr:uid="{00000000-0006-0000-0100-00000D000000}">
      <text>
        <r>
          <rPr>
            <sz val="11"/>
            <color theme="1"/>
            <rFont val="Calibri"/>
            <family val="2"/>
            <scheme val="minor"/>
          </rPr>
          <t>Whether the carrier counts the appeal window from the date of service or from the processed date.</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Claims workbook</author>
  </authors>
  <commentList>
    <comment ref="C1" authorId="0" shapeId="0" xr:uid="{00000000-0006-0000-0200-000001000000}">
      <text>
        <r>
          <rPr>
            <sz val="11"/>
            <color theme="1"/>
            <rFont val="Calibri"/>
            <family val="2"/>
            <scheme val="minor"/>
          </rPr>
          <t>Date the claim was processed, shown MM/DD/YYYY. Pre-filled where a Note recorded one; blank otherwise for you to fill in.</t>
        </r>
      </text>
    </comment>
    <comment ref="D1" authorId="0" shapeId="0" xr:uid="{00000000-0006-0000-0200-000002000000}">
      <text>
        <r>
          <rPr>
            <sz val="11"/>
            <color theme="1"/>
            <rFont val="Calibri"/>
            <family val="2"/>
            <scheme val="minor"/>
          </rPr>
          <t>The master workbook matches on this column to pull Claim Status, Notes, Processed Date and Latest Date Worked back from this file with INDEX/MATCH, so you can freely sort or filter these rows without breaking the link. Do not edit it.</t>
        </r>
      </text>
    </comment>
    <comment ref="K1" authorId="0" shapeId="0" xr:uid="{FB8DC1F8-ECF0-4851-B313-1669057B6BD0}">
      <text>
        <r>
          <rPr>
            <sz val="11"/>
            <color theme="1"/>
            <rFont val="Calibri"/>
            <family val="2"/>
            <scheme val="minor"/>
          </rPr>
          <t>Date you worked this claim, shown MM/DD/YYYY. Blank for you to fill in.</t>
        </r>
      </text>
    </comment>
    <comment ref="L1" authorId="0" shapeId="0" xr:uid="{00000000-0006-0000-0200-000004000000}">
      <text>
        <r>
          <rPr>
            <sz val="11"/>
            <color theme="1"/>
            <rFont val="Calibri"/>
            <family val="2"/>
            <scheme val="minor"/>
          </rPr>
          <t>Live formula: Filing Deadline minus TODAY(). Negative means the filing window has already closed; blank means no limit is on file. Rows were sorted on 12 August 2026 - sort ascending on this column to bring the order back up to date.</t>
        </r>
      </text>
    </comment>
    <comment ref="M1" authorId="0" shapeId="0" xr:uid="{00000000-0006-0000-0200-000005000000}">
      <text>
        <r>
          <rPr>
            <sz val="11"/>
            <color theme="1"/>
            <rFont val="Calibri"/>
            <family val="2"/>
            <scheme val="minor"/>
          </rPr>
          <t>Live formula: days left to resubmit a corrected claim, counted from whichever date the carrier uses - see Corrected Claim From. Blank means either no window is on file for the carrier or, on a processed-date carrier, that Processed Date is still empty; fill that in and this fills itself.</t>
        </r>
      </text>
    </comment>
    <comment ref="N1" authorId="0" shapeId="0" xr:uid="{00000000-0006-0000-0200-000006000000}">
      <text>
        <r>
          <rPr>
            <sz val="11"/>
            <color theme="1"/>
            <rFont val="Calibri"/>
            <family val="2"/>
            <scheme val="minor"/>
          </rPr>
          <t>Live formula: days left to file a reconsideration or appeal, counted from whichever date the carrier uses - see Appeal From. Blank means either no window is on file or, on a processed-date carrier, that Processed Date is still empty.</t>
        </r>
      </text>
    </comment>
    <comment ref="O1" authorId="0" shapeId="0" xr:uid="{00000000-0006-0000-0200-000007000000}">
      <text>
        <r>
          <rPr>
            <sz val="11"/>
            <color theme="1"/>
            <rFont val="Calibri"/>
            <family val="2"/>
            <scheme val="minor"/>
          </rPr>
          <t>Date of Service plus the primary payer's timely filing limit, from Carrier_Timely_Filing_Reference.xlsx. Blank means no limit is on file for that payer.</t>
        </r>
      </text>
    </comment>
    <comment ref="P1" authorId="0" shapeId="0" xr:uid="{00000000-0006-0000-0200-000008000000}">
      <text>
        <r>
          <rPr>
            <sz val="11"/>
            <color theme="1"/>
            <rFont val="Calibri"/>
            <family val="2"/>
            <scheme val="minor"/>
          </rPr>
          <t>The limit applied to this row, as days or calendar months.</t>
        </r>
      </text>
    </comment>
    <comment ref="Q1" authorId="0" shapeId="0" xr:uid="{00000000-0006-0000-0200-000009000000}">
      <text>
        <r>
          <rPr>
            <sz val="11"/>
            <color theme="1"/>
            <rFont val="Calibri"/>
            <family val="2"/>
            <scheme val="minor"/>
          </rPr>
          <t>The carrier row in Carrier_Timely_Filing_Reference.xlsx that the primary payer was matched to.</t>
        </r>
      </text>
    </comment>
    <comment ref="R1" authorId="0" shapeId="0" xr:uid="{00000000-0006-0000-0200-00000A000000}">
      <text>
        <r>
          <rPr>
            <sz val="11"/>
            <color theme="1"/>
            <rFont val="Calibri"/>
            <family val="2"/>
            <scheme val="minor"/>
          </rPr>
          <t>Corrected claim window from Carrier_Timely_Filing_Reference.xlsx.</t>
        </r>
      </text>
    </comment>
    <comment ref="S1" authorId="0" shapeId="0" xr:uid="{00000000-0006-0000-0200-00000B000000}">
      <text>
        <r>
          <rPr>
            <sz val="11"/>
            <color theme="1"/>
            <rFont val="Calibri"/>
            <family val="2"/>
            <scheme val="minor"/>
          </rPr>
          <t>Whether the carrier counts the corrected claim window from the date of service or from the processed date.</t>
        </r>
      </text>
    </comment>
    <comment ref="T1" authorId="0" shapeId="0" xr:uid="{00000000-0006-0000-0200-00000C000000}">
      <text>
        <r>
          <rPr>
            <sz val="11"/>
            <color theme="1"/>
            <rFont val="Calibri"/>
            <family val="2"/>
            <scheme val="minor"/>
          </rPr>
          <t>Reconsideration / appeal window from Carrier_Timely_Filing_Reference.xlsx.</t>
        </r>
      </text>
    </comment>
    <comment ref="U1" authorId="0" shapeId="0" xr:uid="{00000000-0006-0000-0200-00000D000000}">
      <text>
        <r>
          <rPr>
            <sz val="11"/>
            <color theme="1"/>
            <rFont val="Calibri"/>
            <family val="2"/>
            <scheme val="minor"/>
          </rPr>
          <t>Whether the carrier counts the appeal window from the date of service or from the processed date.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Claims workbook</author>
  </authors>
  <commentList>
    <comment ref="C1" authorId="0" shapeId="0" xr:uid="{00000000-0006-0000-0300-000001000000}">
      <text>
        <r>
          <rPr>
            <sz val="11"/>
            <color theme="1"/>
            <rFont val="Calibri"/>
            <family val="2"/>
            <scheme val="minor"/>
          </rPr>
          <t>Date the claim was processed, shown MM/DD/YYYY. Pre-filled where a Note recorded one; blank otherwise for you to fill in.</t>
        </r>
      </text>
    </comment>
    <comment ref="D1" authorId="0" shapeId="0" xr:uid="{00000000-0006-0000-0300-000002000000}">
      <text>
        <r>
          <rPr>
            <sz val="11"/>
            <color theme="1"/>
            <rFont val="Calibri"/>
            <family val="2"/>
            <scheme val="minor"/>
          </rPr>
          <t>The master workbook matches on this column to pull Claim Status, Notes, Processed Date and Latest Date Worked back from this file with INDEX/MATCH, so you can freely sort or filter these rows without breaking the link. Do not edit it.</t>
        </r>
      </text>
    </comment>
    <comment ref="K1" authorId="0" shapeId="0" xr:uid="{6413749E-1DC1-4C69-A485-74B035E66748}">
      <text>
        <r>
          <rPr>
            <sz val="11"/>
            <color theme="1"/>
            <rFont val="Calibri"/>
            <family val="2"/>
            <scheme val="minor"/>
          </rPr>
          <t>Date you worked this claim, shown MM/DD/YYYY. Blank for you to fill in.</t>
        </r>
      </text>
    </comment>
    <comment ref="L1" authorId="0" shapeId="0" xr:uid="{00000000-0006-0000-0300-000004000000}">
      <text>
        <r>
          <rPr>
            <sz val="11"/>
            <color theme="1"/>
            <rFont val="Calibri"/>
            <family val="2"/>
            <scheme val="minor"/>
          </rPr>
          <t>Live formula: Filing Deadline minus TODAY(). Negative means the filing window has already closed; blank means no limit is on file. Rows were sorted on 12 August 2026 - sort ascending on this column to bring the order back up to date.</t>
        </r>
      </text>
    </comment>
    <comment ref="M1" authorId="0" shapeId="0" xr:uid="{00000000-0006-0000-0300-000005000000}">
      <text>
        <r>
          <rPr>
            <sz val="11"/>
            <color theme="1"/>
            <rFont val="Calibri"/>
            <family val="2"/>
            <scheme val="minor"/>
          </rPr>
          <t>Live formula: days left to resubmit a corrected claim, counted from whichever date the carrier uses - see Corrected Claim From. Blank means either no window is on file for the carrier or, on a processed-date carrier, that Processed Date is still empty; fill that in and this fills itself.</t>
        </r>
      </text>
    </comment>
    <comment ref="N1" authorId="0" shapeId="0" xr:uid="{00000000-0006-0000-0300-000006000000}">
      <text>
        <r>
          <rPr>
            <sz val="11"/>
            <color theme="1"/>
            <rFont val="Calibri"/>
            <family val="2"/>
            <scheme val="minor"/>
          </rPr>
          <t>Live formula: days left to file a reconsideration or appeal, counted from whichever date the carrier uses - see Appeal From. Blank means either no window is on file or, on a processed-date carrier, that Processed Date is still empty.</t>
        </r>
      </text>
    </comment>
    <comment ref="O1" authorId="0" shapeId="0" xr:uid="{00000000-0006-0000-0300-000007000000}">
      <text>
        <r>
          <rPr>
            <sz val="11"/>
            <color theme="1"/>
            <rFont val="Calibri"/>
            <family val="2"/>
            <scheme val="minor"/>
          </rPr>
          <t>Date of Service plus the primary payer's timely filing limit, from Carrier_Timely_Filing_Reference.xlsx. Blank means no limit is on file for that payer.</t>
        </r>
      </text>
    </comment>
    <comment ref="P1" authorId="0" shapeId="0" xr:uid="{00000000-0006-0000-0300-000008000000}">
      <text>
        <r>
          <rPr>
            <sz val="11"/>
            <color theme="1"/>
            <rFont val="Calibri"/>
            <family val="2"/>
            <scheme val="minor"/>
          </rPr>
          <t>The limit applied to this row, as days or calendar months.</t>
        </r>
      </text>
    </comment>
    <comment ref="Q1" authorId="0" shapeId="0" xr:uid="{00000000-0006-0000-0300-000009000000}">
      <text>
        <r>
          <rPr>
            <sz val="11"/>
            <color theme="1"/>
            <rFont val="Calibri"/>
            <family val="2"/>
            <scheme val="minor"/>
          </rPr>
          <t>The carrier row in Carrier_Timely_Filing_Reference.xlsx that the primary payer was matched to.</t>
        </r>
      </text>
    </comment>
    <comment ref="R1" authorId="0" shapeId="0" xr:uid="{00000000-0006-0000-0300-00000A000000}">
      <text>
        <r>
          <rPr>
            <sz val="11"/>
            <color theme="1"/>
            <rFont val="Calibri"/>
            <family val="2"/>
            <scheme val="minor"/>
          </rPr>
          <t>Corrected claim window from Carrier_Timely_Filing_Reference.xlsx.</t>
        </r>
      </text>
    </comment>
    <comment ref="S1" authorId="0" shapeId="0" xr:uid="{00000000-0006-0000-0300-00000B000000}">
      <text>
        <r>
          <rPr>
            <sz val="11"/>
            <color theme="1"/>
            <rFont val="Calibri"/>
            <family val="2"/>
            <scheme val="minor"/>
          </rPr>
          <t>Whether the carrier counts the corrected claim window from the date of service or from the processed date.</t>
        </r>
      </text>
    </comment>
    <comment ref="T1" authorId="0" shapeId="0" xr:uid="{00000000-0006-0000-0300-00000C000000}">
      <text>
        <r>
          <rPr>
            <sz val="11"/>
            <color theme="1"/>
            <rFont val="Calibri"/>
            <family val="2"/>
            <scheme val="minor"/>
          </rPr>
          <t>Reconsideration / appeal window from Carrier_Timely_Filing_Reference.xlsx.</t>
        </r>
      </text>
    </comment>
    <comment ref="U1" authorId="0" shapeId="0" xr:uid="{00000000-0006-0000-0300-00000D000000}">
      <text>
        <r>
          <rPr>
            <sz val="11"/>
            <color theme="1"/>
            <rFont val="Calibri"/>
            <family val="2"/>
            <scheme val="minor"/>
          </rPr>
          <t>Whether the carrier counts the appeal window from the date of service or from the processed date.</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Claims workbook</author>
  </authors>
  <commentList>
    <comment ref="C1" authorId="0" shapeId="0" xr:uid="{00000000-0006-0000-0400-000001000000}">
      <text>
        <r>
          <rPr>
            <sz val="11"/>
            <color theme="1"/>
            <rFont val="Calibri"/>
            <family val="2"/>
            <scheme val="minor"/>
          </rPr>
          <t>Date the claim was processed, shown MM/DD/YYYY. Pre-filled where a Note recorded one; blank otherwise for you to fill in.</t>
        </r>
      </text>
    </comment>
    <comment ref="D1" authorId="0" shapeId="0" xr:uid="{00000000-0006-0000-0400-000002000000}">
      <text>
        <r>
          <rPr>
            <sz val="11"/>
            <color theme="1"/>
            <rFont val="Calibri"/>
            <family val="2"/>
            <scheme val="minor"/>
          </rPr>
          <t>The master workbook matches on this column to pull Claim Status, Notes, Processed Date and Latest Date Worked back from this file with INDEX/MATCH, so you can freely sort or filter these rows without breaking the link. Do not edit it.</t>
        </r>
      </text>
    </comment>
    <comment ref="K1" authorId="0" shapeId="0" xr:uid="{57D2F582-EF28-4314-90C2-673038635B7E}">
      <text>
        <r>
          <rPr>
            <sz val="11"/>
            <color theme="1"/>
            <rFont val="Calibri"/>
            <family val="2"/>
            <scheme val="minor"/>
          </rPr>
          <t>Date you worked this claim, shown MM/DD/YYYY. Blank for you to fill in.</t>
        </r>
      </text>
    </comment>
    <comment ref="L1" authorId="0" shapeId="0" xr:uid="{00000000-0006-0000-0400-000004000000}">
      <text>
        <r>
          <rPr>
            <sz val="11"/>
            <color theme="1"/>
            <rFont val="Calibri"/>
            <family val="2"/>
            <scheme val="minor"/>
          </rPr>
          <t>Live formula: Filing Deadline minus TODAY(). Negative means the filing window has already closed; blank means no limit is on file. Rows were sorted on 12 August 2026 - sort ascending on this column to bring the order back up to date.</t>
        </r>
      </text>
    </comment>
    <comment ref="M1" authorId="0" shapeId="0" xr:uid="{00000000-0006-0000-0400-000005000000}">
      <text>
        <r>
          <rPr>
            <sz val="11"/>
            <color theme="1"/>
            <rFont val="Calibri"/>
            <family val="2"/>
            <scheme val="minor"/>
          </rPr>
          <t>Live formula: days left to resubmit a corrected claim, counted from whichever date the carrier uses - see Corrected Claim From. Blank means either no window is on file for the carrier or, on a processed-date carrier, that Processed Date is still empty; fill that in and this fills itself.</t>
        </r>
      </text>
    </comment>
    <comment ref="N1" authorId="0" shapeId="0" xr:uid="{00000000-0006-0000-0400-000006000000}">
      <text>
        <r>
          <rPr>
            <sz val="11"/>
            <color theme="1"/>
            <rFont val="Calibri"/>
            <family val="2"/>
            <scheme val="minor"/>
          </rPr>
          <t>Live formula: days left to file a reconsideration or appeal, counted from whichever date the carrier uses - see Appeal From. Blank means either no window is on file or, on a processed-date carrier, that Processed Date is still empty.</t>
        </r>
      </text>
    </comment>
    <comment ref="O1" authorId="0" shapeId="0" xr:uid="{00000000-0006-0000-0400-000007000000}">
      <text>
        <r>
          <rPr>
            <sz val="11"/>
            <color theme="1"/>
            <rFont val="Calibri"/>
            <family val="2"/>
            <scheme val="minor"/>
          </rPr>
          <t>Date of Service plus the primary payer's timely filing limit, from Carrier_Timely_Filing_Reference.xlsx. Blank means no limit is on file for that payer.</t>
        </r>
      </text>
    </comment>
    <comment ref="P1" authorId="0" shapeId="0" xr:uid="{00000000-0006-0000-0400-000008000000}">
      <text>
        <r>
          <rPr>
            <sz val="11"/>
            <color theme="1"/>
            <rFont val="Calibri"/>
            <family val="2"/>
            <scheme val="minor"/>
          </rPr>
          <t>The limit applied to this row, as days or calendar months.</t>
        </r>
      </text>
    </comment>
    <comment ref="Q1" authorId="0" shapeId="0" xr:uid="{00000000-0006-0000-0400-000009000000}">
      <text>
        <r>
          <rPr>
            <sz val="11"/>
            <color theme="1"/>
            <rFont val="Calibri"/>
            <family val="2"/>
            <scheme val="minor"/>
          </rPr>
          <t>The carrier row in Carrier_Timely_Filing_Reference.xlsx that the primary payer was matched to.</t>
        </r>
      </text>
    </comment>
    <comment ref="R1" authorId="0" shapeId="0" xr:uid="{00000000-0006-0000-0400-00000A000000}">
      <text>
        <r>
          <rPr>
            <sz val="11"/>
            <color theme="1"/>
            <rFont val="Calibri"/>
            <family val="2"/>
            <scheme val="minor"/>
          </rPr>
          <t>Corrected claim window from Carrier_Timely_Filing_Reference.xlsx.</t>
        </r>
      </text>
    </comment>
    <comment ref="S1" authorId="0" shapeId="0" xr:uid="{00000000-0006-0000-0400-00000B000000}">
      <text>
        <r>
          <rPr>
            <sz val="11"/>
            <color theme="1"/>
            <rFont val="Calibri"/>
            <family val="2"/>
            <scheme val="minor"/>
          </rPr>
          <t>Whether the carrier counts the corrected claim window from the date of service or from the processed date.</t>
        </r>
      </text>
    </comment>
    <comment ref="T1" authorId="0" shapeId="0" xr:uid="{00000000-0006-0000-0400-00000C000000}">
      <text>
        <r>
          <rPr>
            <sz val="11"/>
            <color theme="1"/>
            <rFont val="Calibri"/>
            <family val="2"/>
            <scheme val="minor"/>
          </rPr>
          <t>Reconsideration / appeal window from Carrier_Timely_Filing_Reference.xlsx.</t>
        </r>
      </text>
    </comment>
    <comment ref="U1" authorId="0" shapeId="0" xr:uid="{00000000-0006-0000-0400-00000D000000}">
      <text>
        <r>
          <rPr>
            <sz val="11"/>
            <color theme="1"/>
            <rFont val="Calibri"/>
            <family val="2"/>
            <scheme val="minor"/>
          </rPr>
          <t>Whether the carrier counts the appeal window from the date of service or from the processed date.</t>
        </r>
      </text>
    </comment>
  </commentList>
</comments>
</file>

<file path=xl/sharedStrings.xml><?xml version="1.0" encoding="utf-8"?>
<sst xmlns="http://schemas.openxmlformats.org/spreadsheetml/2006/main" count="1057" uniqueCount="359">
  <si>
    <t>Claim Status</t>
  </si>
  <si>
    <t>Notes</t>
  </si>
  <si>
    <t>Processed Date</t>
  </si>
  <si>
    <t>Primary Claim ID</t>
  </si>
  <si>
    <t>Chart Number</t>
  </si>
  <si>
    <t>Date of Service</t>
  </si>
  <si>
    <t>Responsible Payer</t>
  </si>
  <si>
    <t>Primary Payer Name</t>
  </si>
  <si>
    <t>Secondary Payer Name</t>
  </si>
  <si>
    <t>Procedure Code</t>
  </si>
  <si>
    <t>Latest Date Worked</t>
  </si>
  <si>
    <t>Days Until Deadline</t>
  </si>
  <si>
    <t>Days Until Corrected Claim Deadline</t>
  </si>
  <si>
    <t>Days Until Appeal Deadline</t>
  </si>
  <si>
    <t>Filing Deadline</t>
  </si>
  <si>
    <t>Filing Limit</t>
  </si>
  <si>
    <t>Limit Carrier</t>
  </si>
  <si>
    <t>Corrected Claim Limit</t>
  </si>
  <si>
    <t>Corrected Claim From</t>
  </si>
  <si>
    <t>Appeal Limit</t>
  </si>
  <si>
    <t>Appeal From</t>
  </si>
  <si>
    <t>Modifier 1</t>
  </si>
  <si>
    <t>Modifier 2</t>
  </si>
  <si>
    <t>Modifier 3</t>
  </si>
  <si>
    <t>Units</t>
  </si>
  <si>
    <t>Charge Amount</t>
  </si>
  <si>
    <t>Adjustment</t>
  </si>
  <si>
    <t>Insurance Payment</t>
  </si>
  <si>
    <t>Insurance Check Date</t>
  </si>
  <si>
    <t>Insurance Balance</t>
  </si>
  <si>
    <t>AR Age by Service Date</t>
  </si>
  <si>
    <t>Diagnosis Code 1</t>
  </si>
  <si>
    <t>Diagnosis Code 2</t>
  </si>
  <si>
    <t>Diagnosis Code 3</t>
  </si>
  <si>
    <t>Diagnosis Code 4</t>
  </si>
  <si>
    <t>Secondary Claim ID</t>
  </si>
  <si>
    <t>Rendering Provider</t>
  </si>
  <si>
    <t>Location Name</t>
  </si>
  <si>
    <t>Created Date</t>
  </si>
  <si>
    <t>Specialty</t>
  </si>
  <si>
    <t>Source Line IDs</t>
  </si>
  <si>
    <t>Denied</t>
  </si>
  <si>
    <t>Rep Briana - Jarrett Leathem is not contracted with member's Focus Network - Reference number 11216220</t>
  </si>
  <si>
    <t>HF499806568</t>
  </si>
  <si>
    <t>Blue Cross Blue Shield of Arizona (BCBS AZ)</t>
  </si>
  <si>
    <t>No Payer</t>
  </si>
  <si>
    <t>99494 x1; 99493 x1</t>
  </si>
  <si>
    <t>90 days</t>
  </si>
  <si>
    <t>BCBS</t>
  </si>
  <si>
    <t>365 days</t>
  </si>
  <si>
    <t>Processed date</t>
  </si>
  <si>
    <t>1</t>
  </si>
  <si>
    <t>F4320</t>
  </si>
  <si>
    <t>LEATHEM, JARRETT</t>
  </si>
  <si>
    <t>ASAP - Goodyear</t>
  </si>
  <si>
    <t>BH</t>
  </si>
  <si>
    <t>611, 612</t>
  </si>
  <si>
    <t>DND - Non contracted provider</t>
  </si>
  <si>
    <t>HF527306886</t>
  </si>
  <si>
    <t>99493 x1; 99494 x1</t>
  </si>
  <si>
    <t>KALLGREN, MARK</t>
  </si>
  <si>
    <t>ASAP Peoria</t>
  </si>
  <si>
    <t>447, 448</t>
  </si>
  <si>
    <t>Finalized</t>
  </si>
  <si>
    <t>HF359780591</t>
  </si>
  <si>
    <t>TRIADA GAP BENEFITS</t>
  </si>
  <si>
    <t>F411</t>
  </si>
  <si>
    <t>ASAP - DEER VALLEY</t>
  </si>
  <si>
    <t>100, 101</t>
  </si>
  <si>
    <t>Added Date of Current Illness, claim note, and resubmitted</t>
  </si>
  <si>
    <t>HF434792716</t>
  </si>
  <si>
    <t>Optum Care Medical Network of Arizona, Utah, &amp; Washington (LifePrint)</t>
  </si>
  <si>
    <t>99493 x1</t>
  </si>
  <si>
    <t>OPTUM</t>
  </si>
  <si>
    <t>F1190</t>
  </si>
  <si>
    <t>ASAP - Gilbert</t>
  </si>
  <si>
    <t>109</t>
  </si>
  <si>
    <t>HF431164004</t>
  </si>
  <si>
    <t>F331</t>
  </si>
  <si>
    <t>O'NEIL, ROY</t>
  </si>
  <si>
    <t>432</t>
  </si>
  <si>
    <t>Rep Muthamma - Under review - Ref # 11253575</t>
  </si>
  <si>
    <t>HF331718997</t>
  </si>
  <si>
    <t>99494 x2; 99492 x1</t>
  </si>
  <si>
    <t>2, 1</t>
  </si>
  <si>
    <t>F4323</t>
  </si>
  <si>
    <t>SARKAR, AWNIK</t>
  </si>
  <si>
    <t>654, 655</t>
  </si>
  <si>
    <t>Edited service line 1 - Used cpt 99492, and resubmitted - The reconsideration option is unavailable on portal because the claim has already been adjusted - 99493 paid on claim 26A074466600, DOS 12/12/2025, under prior member ID 1718676 - current claim was billed with member ID 906162197 currently active - DND Subsequent psychiatric CoCM code 99493 is reported on 02/20/2026 and there is no line within the previous 6 months history with psychiatric CoCM codes 99492 or 99493 - Added Date of Current Illness, claim note, and resubmitted</t>
  </si>
  <si>
    <t>HF443112560</t>
  </si>
  <si>
    <t>464</t>
  </si>
  <si>
    <t>Changed primary code - Used 99492, and resubmitted</t>
  </si>
  <si>
    <t>HF460603685</t>
  </si>
  <si>
    <t>797</t>
  </si>
  <si>
    <t>Peoria</t>
  </si>
  <si>
    <t>HF540630932</t>
  </si>
  <si>
    <t>Tricare for Life (All Regions)</t>
  </si>
  <si>
    <t>DME Region D</t>
  </si>
  <si>
    <t>A6010+A1 x20</t>
  </si>
  <si>
    <t>MEDICARE</t>
  </si>
  <si>
    <t>120 days</t>
  </si>
  <si>
    <t>A1</t>
  </si>
  <si>
    <t>20</t>
  </si>
  <si>
    <t>G894</t>
  </si>
  <si>
    <t>Advanced Spine and Pain LLC DME PEO</t>
  </si>
  <si>
    <t>Advanced Spine and Pain LLC DME - Peoria</t>
  </si>
  <si>
    <t>DME</t>
  </si>
  <si>
    <t>169</t>
  </si>
  <si>
    <t>Peoria - No DME Contract</t>
  </si>
  <si>
    <t>HF537353546</t>
  </si>
  <si>
    <t>A6010+A2 x20</t>
  </si>
  <si>
    <t>A2</t>
  </si>
  <si>
    <t>545</t>
  </si>
  <si>
    <t>HF497918792</t>
  </si>
  <si>
    <t>A6023+A2 x40</t>
  </si>
  <si>
    <t>40</t>
  </si>
  <si>
    <t>M5417</t>
  </si>
  <si>
    <t>M961</t>
  </si>
  <si>
    <t>503</t>
  </si>
  <si>
    <t>HF499790971</t>
  </si>
  <si>
    <t>AARP United Healthcare</t>
  </si>
  <si>
    <t>L3916+KX+RT x1; L3916+KX+LT x1</t>
  </si>
  <si>
    <t>KX</t>
  </si>
  <si>
    <t>RT, LT</t>
  </si>
  <si>
    <t>G5601, G5602</t>
  </si>
  <si>
    <t>M25531, G589</t>
  </si>
  <si>
    <t>G589</t>
  </si>
  <si>
    <t>66, 67</t>
  </si>
  <si>
    <t>PAID</t>
  </si>
  <si>
    <t xml:space="preserve">Surprise Reems - Pending check secondary - Waiting on PTAN issue to be solved - Payment on hold </t>
  </si>
  <si>
    <t>HF435406148</t>
  </si>
  <si>
    <t>SILAC INSURANCE</t>
  </si>
  <si>
    <t>A6023+A2 x10</t>
  </si>
  <si>
    <t>10</t>
  </si>
  <si>
    <t>Advanced Spine and Pain LLC DME SUR</t>
  </si>
  <si>
    <t>Advanced Spine and Pain LLC DME - Surprise Reems</t>
  </si>
  <si>
    <t>120</t>
  </si>
  <si>
    <t>Greenway</t>
  </si>
  <si>
    <t>HF433355246</t>
  </si>
  <si>
    <t>Mercy Care RBHA</t>
  </si>
  <si>
    <t>L0650+KX x1</t>
  </si>
  <si>
    <t>M4306</t>
  </si>
  <si>
    <t>Advanced Spine and Pain LLC DME GWY</t>
  </si>
  <si>
    <t>Advanced Spine and Pain LLC DME - Greenway</t>
  </si>
  <si>
    <t>44</t>
  </si>
  <si>
    <t>Gilbert</t>
  </si>
  <si>
    <t>HF498304433</t>
  </si>
  <si>
    <t>DME Region C</t>
  </si>
  <si>
    <t>Advanced Spine and Pain LLC DME GIL</t>
  </si>
  <si>
    <t>Advanced Spine and Pain LLC DME - Gilbert</t>
  </si>
  <si>
    <t>796</t>
  </si>
  <si>
    <t xml:space="preserve">Auth issue - Denied payment again - Bri resubmitted - Provider TAX ID/NPI Combination is not on file with BCBS AZ. </t>
  </si>
  <si>
    <t>HF513477727</t>
  </si>
  <si>
    <t>L0648+KX x1</t>
  </si>
  <si>
    <t>M4316</t>
  </si>
  <si>
    <t>M51362</t>
  </si>
  <si>
    <t>MAYURAN, VIKRAM</t>
  </si>
  <si>
    <t>ASAP - Mesa</t>
  </si>
  <si>
    <t>594</t>
  </si>
  <si>
    <t>No authorization found or requested - Checking if we need auth on Curo portal # 19801266 - Pending - Review</t>
  </si>
  <si>
    <t>HF544828362</t>
  </si>
  <si>
    <t>UHC Group Medicare Advantage</t>
  </si>
  <si>
    <t>UHC MA</t>
  </si>
  <si>
    <t>180 days</t>
  </si>
  <si>
    <t>L97529</t>
  </si>
  <si>
    <t>MEARS, CHAD</t>
  </si>
  <si>
    <t>128</t>
  </si>
  <si>
    <t>Denied again - Edited charges per unit to 271.22 based on cms fee schedule 2026</t>
  </si>
  <si>
    <t>HF539993491</t>
  </si>
  <si>
    <t>Alignment Health Care</t>
  </si>
  <si>
    <t>A6023+A2 x20</t>
  </si>
  <si>
    <t>Not on reference list</t>
  </si>
  <si>
    <t>TONDINI, JENISE</t>
  </si>
  <si>
    <t>637</t>
  </si>
  <si>
    <t>Rep Keran - Escalate claim - Call ref # REQ0679770 - TAT 30 days</t>
  </si>
  <si>
    <t>HF548333203</t>
  </si>
  <si>
    <t>A6023+A1 x10</t>
  </si>
  <si>
    <t>M4326</t>
  </si>
  <si>
    <t>MCMURDIE, TODD</t>
  </si>
  <si>
    <t>ASAP - Surprise - Reems</t>
  </si>
  <si>
    <t>137</t>
  </si>
  <si>
    <t>Received</t>
  </si>
  <si>
    <t>HF455471322</t>
  </si>
  <si>
    <t>COMBINED INSURANCE CO OF AMERICA</t>
  </si>
  <si>
    <t>Medicare Part B Arizona *</t>
  </si>
  <si>
    <t>75774+26+XU x3; 76937+26 x1; 36248+59 x1; 37242 x1; 36245+59 x1; 36246+59+LT x1; 75710+26+XU+LT x1</t>
  </si>
  <si>
    <t>26, 59</t>
  </si>
  <si>
    <t>XU, LT</t>
  </si>
  <si>
    <t>LT</t>
  </si>
  <si>
    <t>3, 1</t>
  </si>
  <si>
    <t>M1712</t>
  </si>
  <si>
    <t>I798</t>
  </si>
  <si>
    <t>M25562</t>
  </si>
  <si>
    <t>HUNTER, DREW</t>
  </si>
  <si>
    <t>ASAP Surgery Centers North Valley LLC</t>
  </si>
  <si>
    <t>GAE</t>
  </si>
  <si>
    <t>494, 495, 496, 497, 498, 499, 500</t>
  </si>
  <si>
    <t>Uploaded MR - PIQ-83274799</t>
  </si>
  <si>
    <t>HF460854286</t>
  </si>
  <si>
    <t>United HealthCare Dual Complete</t>
  </si>
  <si>
    <t>Mercy Care Health Plan Advantage (AHCCCS)</t>
  </si>
  <si>
    <t>75710+26+XU+LT x1; 76937+26 x1; 75774+26+XU x4; 36245+59 x1; 36248+59 x3</t>
  </si>
  <si>
    <t>UHC DUAL COMPLETE</t>
  </si>
  <si>
    <t>XU</t>
  </si>
  <si>
    <t>1, 4, 3</t>
  </si>
  <si>
    <t>695, 696, 754, 755, 756</t>
  </si>
  <si>
    <t xml:space="preserve">Corrected units from 3 to 2 on portal - Confirmation Number: 4726236494120 - 76937 Medicare MUE is 2 per DOS - DND 76937 - Payer deems the information submitted does not support this many/frequency of services - Pending secondary claim correction for when medicare pays </t>
  </si>
  <si>
    <t>HF538917701</t>
  </si>
  <si>
    <t>76937+26 x3</t>
  </si>
  <si>
    <t>26</t>
  </si>
  <si>
    <t>3</t>
  </si>
  <si>
    <t>Premier Endoscopy Center, LLC</t>
  </si>
  <si>
    <t>127</t>
  </si>
  <si>
    <t>Uploaded MR - PIQ-83275318</t>
  </si>
  <si>
    <t>75774+26+XU x5; 75710+26+XU+RT x1; 36245+59 x1</t>
  </si>
  <si>
    <t>RT</t>
  </si>
  <si>
    <t>5, 1</t>
  </si>
  <si>
    <t>M1711</t>
  </si>
  <si>
    <t>M25561</t>
  </si>
  <si>
    <t>297, 298, 299</t>
  </si>
  <si>
    <t>Provider active, resubmitted</t>
  </si>
  <si>
    <t>HF489558936</t>
  </si>
  <si>
    <t>36246+59+RT x1; 75710+XU+RT x1; 76937 x1; 75774+XU x4; 36248+59 x3; 37242 x1</t>
  </si>
  <si>
    <t>59, XU</t>
  </si>
  <si>
    <t>481, 482, 483, 484, 485, 486</t>
  </si>
  <si>
    <t>HF546941796</t>
  </si>
  <si>
    <t>Physicians Mutual Insurance Company - ENS</t>
  </si>
  <si>
    <t>63685 x1</t>
  </si>
  <si>
    <t>G90523</t>
  </si>
  <si>
    <t>KRAUSE, JEFFREY</t>
  </si>
  <si>
    <t>ORTHO</t>
  </si>
  <si>
    <t>316</t>
  </si>
  <si>
    <t>Pending</t>
  </si>
  <si>
    <t>secondary - Added primary claim ID and submitted electronically</t>
  </si>
  <si>
    <t>HF444976688</t>
  </si>
  <si>
    <t>CURRIE, DAVID</t>
  </si>
  <si>
    <t>284</t>
  </si>
  <si>
    <t>Added service line with 63030 - Split bilateral service with mod RT and LT, and resubmitted</t>
  </si>
  <si>
    <t>HF544045379</t>
  </si>
  <si>
    <t>Mutual of Omaha Medicare Advantage OFAP</t>
  </si>
  <si>
    <t>63030+LT x1; 63047 x1; 63030+RT x1</t>
  </si>
  <si>
    <t>LT, RT</t>
  </si>
  <si>
    <t>M48062</t>
  </si>
  <si>
    <t>M5416</t>
  </si>
  <si>
    <t>M5126</t>
  </si>
  <si>
    <t>LUKE, TIMOTHY</t>
  </si>
  <si>
    <t>21, 22, 23</t>
  </si>
  <si>
    <t>Deanne is reviewing this one - Rep Jessie - Claim contains a non anesthesia service, and rendering is listed as an anesthesiologist on ins end</t>
  </si>
  <si>
    <t>HF540909294</t>
  </si>
  <si>
    <t>Humana Gold Plus HMO</t>
  </si>
  <si>
    <t>63048 x1; 63047 x1</t>
  </si>
  <si>
    <t>HUMANA MA</t>
  </si>
  <si>
    <t>Date of service</t>
  </si>
  <si>
    <t>60 days</t>
  </si>
  <si>
    <t>106, 107</t>
  </si>
  <si>
    <t>Uploaded MR - PIQ-86018866</t>
  </si>
  <si>
    <t>HF500464709</t>
  </si>
  <si>
    <t>63030+50 x1</t>
  </si>
  <si>
    <t>50</t>
  </si>
  <si>
    <t>449</t>
  </si>
  <si>
    <t>Provider TAX ID/NPI Combination is not on file with BCBS AZ.</t>
  </si>
  <si>
    <t>22845+59 x1; 22853 x1</t>
  </si>
  <si>
    <t>59</t>
  </si>
  <si>
    <t>M4807</t>
  </si>
  <si>
    <t>Banner Desert Medical Center</t>
  </si>
  <si>
    <t>892, 893</t>
  </si>
  <si>
    <t>We need to reprocess when claim 568613230 gets adjusted - Added mod 58, and resubmitted</t>
  </si>
  <si>
    <t>HF334213960</t>
  </si>
  <si>
    <t>63047+58 x1</t>
  </si>
  <si>
    <t>58</t>
  </si>
  <si>
    <t>518</t>
  </si>
  <si>
    <t>HF496014369</t>
  </si>
  <si>
    <t>Arizona Complete Health (Centene)</t>
  </si>
  <si>
    <t>63048 x1</t>
  </si>
  <si>
    <t>AZ COMPLETE</t>
  </si>
  <si>
    <t>M51370</t>
  </si>
  <si>
    <t>MCCUNNIFF, PETER</t>
  </si>
  <si>
    <t>947</t>
  </si>
  <si>
    <t>Uploaded MR - PIQ-86126921</t>
  </si>
  <si>
    <t>HF349133597</t>
  </si>
  <si>
    <t>AARP MedicareComplete (SecureHorizons &amp; Oxford Network)</t>
  </si>
  <si>
    <t>63048 x1; 63047 x1; 64708 x1</t>
  </si>
  <si>
    <t>AARP MA CHOICE / MEDICARE COMPLETE</t>
  </si>
  <si>
    <t>M4696, G59</t>
  </si>
  <si>
    <t>86, 87, 88</t>
  </si>
  <si>
    <t>Sent mailed auth appeal request to PO Box 64 Huntingdon Valley, PA 19006 - Auth # 20260114-002504 Denied</t>
  </si>
  <si>
    <t>HF532203609</t>
  </si>
  <si>
    <t>UMR Wausau / UHIS</t>
  </si>
  <si>
    <t>22853 x1</t>
  </si>
  <si>
    <t>UMR / WAUSAU</t>
  </si>
  <si>
    <t>M21371</t>
  </si>
  <si>
    <t>461</t>
  </si>
  <si>
    <t>secondary - pending posting - Primary paid - Edited referring provider, and resubmitted</t>
  </si>
  <si>
    <t>HF544172142</t>
  </si>
  <si>
    <t>93970 x1</t>
  </si>
  <si>
    <t>R600</t>
  </si>
  <si>
    <t>M79672</t>
  </si>
  <si>
    <t>Z86718</t>
  </si>
  <si>
    <t>Z8781</t>
  </si>
  <si>
    <t>BURGHER, ABRAM</t>
  </si>
  <si>
    <t>US</t>
  </si>
  <si>
    <t>HF467995431</t>
  </si>
  <si>
    <t>93970 x1; 93925 x1</t>
  </si>
  <si>
    <t>I872, I70213</t>
  </si>
  <si>
    <t>TURLEY, TODD</t>
  </si>
  <si>
    <t>41, 42</t>
  </si>
  <si>
    <t>HF497596195</t>
  </si>
  <si>
    <t>I872</t>
  </si>
  <si>
    <t>318</t>
  </si>
  <si>
    <t>93923 x1</t>
  </si>
  <si>
    <t>I739</t>
  </si>
  <si>
    <t>281</t>
  </si>
  <si>
    <t>secondary - Added primary claim ID and submitted electronically - Medicare paid as primary - Resubmitted to Medicare</t>
  </si>
  <si>
    <t>HF548452117</t>
  </si>
  <si>
    <t>Humana</t>
  </si>
  <si>
    <t>HUMANA COMMERCIAL</t>
  </si>
  <si>
    <t>E785</t>
  </si>
  <si>
    <t>G9050</t>
  </si>
  <si>
    <t>I10</t>
  </si>
  <si>
    <t>233</t>
  </si>
  <si>
    <t>2026-02 February - Specialty Claims</t>
  </si>
  <si>
    <t>39 claim lines with a date of service in 2026-02 February, split into one sheet per specialty: BH, DME, GAE, ORTHO, US.</t>
  </si>
  <si>
    <t>Row order - timely filing deadline</t>
  </si>
  <si>
    <t>Every specialty sheet is sorted by how close the claim is to its primary payer's timely filing deadline. Days Until Deadline (column J) carries the count: claims with five days or less left sit at the top of each sheet in red, a negative number means the filing window has already closed, and a blank means no limit is on file for that payer.</t>
  </si>
  <si>
    <t>Order down the sheet, with the colour band each row gets:</t>
  </si>
  <si>
    <t xml:space="preserve">    1 - Due in 5 days or less: 0</t>
  </si>
  <si>
    <t xml:space="preserve">    2 - Due in 6-30 days: 0</t>
  </si>
  <si>
    <t xml:space="preserve">    3 - Due in 31+ days: 18</t>
  </si>
  <si>
    <t xml:space="preserve">    4 - Past deadline: 17</t>
  </si>
  <si>
    <t xml:space="preserve">    5 - No limit on file: 4</t>
  </si>
  <si>
    <t>Past due rows sit below the claims that can still be filed on time rather than at the very top, so the actionable work stays first. That is why the numbers run up to the longest window and then restart at the negatives.</t>
  </si>
  <si>
    <t>Filing Deadline is the date of service plus the primary payer's limit, taken from 'Carrier_Timely_Filing_Reference.xlsx'. Days Until Deadline is a live formula, so the count stays true as time passes - but the row order is a snapshot taken on 12 August 2026. Sort ascending on Days Until Deadline to bring the order up to date; that puts the past due rows first.</t>
  </si>
  <si>
    <t>Where a payer had two possible limits the shorter one was used, so the real deadline can only be later, never earlier. Filing Limit and Limit Carrier name the figure applied and the carrier row it came from.</t>
  </si>
  <si>
    <t>Deadlines are counted from the date of service. Secondary claims are often counted from the primary payer's remittance date instead - that is not reflected here.</t>
  </si>
  <si>
    <t>Cells you edit</t>
  </si>
  <si>
    <t>Four columns are shaded pale yellow and are the ones meant to be edited here: Claim Status (A), Notes (B), Processed Date (C) and Latest Date Worked (K). Claim Status has a drop-down of the statuses already in use - it is a suggestion, not a restriction, so you can type anything.</t>
  </si>
  <si>
    <t>Statuses currently in use: Denied, Finalized, PAID, Pending, Received, Rejected.</t>
  </si>
  <si>
    <t>Example of the expected format - Claim Status: "Denied";  Notes: "Corrected service line 1 - resubmitted";  Processed Date: "06/25/2026";  Latest Date Worked: "08/12/2026".</t>
  </si>
  <si>
    <t>Processed Date and Latest Date Worked</t>
  </si>
  <si>
    <t>Both are real dates displayed MM/DD/YYYY, the same order as every other date column in these files and as the source data. Latest Date Worked starts empty.</t>
  </si>
  <si>
    <t>Processed Date is filled in wherever the row had something to fill it with: the date written into the Notes where there was one, otherwise the Insurance Check Date. A date from the Notes is never overwritten by a check date. Where the row has neither, it is blank for you to fill in.</t>
  </si>
  <si>
    <t>Corrected claim and appeal countdowns</t>
  </si>
  <si>
    <t>Days Until Corrected Claim Deadline (M) and Days Until Appeal Deadline (N) sit next to the filing countdown. Each carrier counts its window either from the date of service or from the processed date - the Corrected Claim From and Appeal From columns say which, and each countdown is built off whichever date that is. Both come from Carrier_Timely_Filing_Reference.xlsx.</t>
  </si>
  <si>
    <t>A blank means one of two things: the carrier has no window on file, or the carrier counts from the processed date and Processed Date is still empty on that row. In the second case the countdown fills itself in as soon as you enter a Processed Date - both columns are live formulas.</t>
  </si>
  <si>
    <t>These windows matter most on the rows whose initial filing deadline has already passed. Note the traps the reference calls out: Cigna does not restart the clock for a corrected claim, and Medicare separates reopening from redetermination.</t>
  </si>
  <si>
    <t>How this file feeds the master</t>
  </si>
  <si>
    <t>'ALL Claims 2026-S1 - Master.xlsx' (same folder) holds all 1,086 claim lines for 2026 S1. Its Claim Status and Notes columns are formulas that read this file, so anything you type in columns A and B here shows up there. Keep both files in the same folder, keep the file name unchanged, and save this file before opening the master.</t>
  </si>
  <si>
    <t>The link is matched on Primary Claim ID, not on row position, so sorting and filtering these sheets is safe. Do not edit that column, and do not rename the specialty sheet tabs.</t>
  </si>
  <si>
    <t>Everything else in this file is a static copy of the source data from 'Specialty Claims Pending 2026-S1.xlsx' (sheet 'Merged').</t>
  </si>
  <si>
    <t xml:space="preserve">Under Review</t>
  </si>
  <si>
    <t xml:space="preserve">Auth issue - Denied payment again - Bri resubmitted - Provider TAX ID/NPI Combination is not on file with BCBS AZ. </t>
  </si>
  <si>
    <t xml:space="preserve">Statuses currently in use: Denied, Finalized, PAID, Pending, Received, Rejected, Under Review.</t>
  </si>
  <si>
    <t xml:space="preserve">540 days</t>
  </si>
  <si>
    <t xml:space="preserve">39 claims with a date of service in 2026-02 February, split into one sheet per specialty: BH, DME, GAE, ORTHO, US.</t>
  </si>
  <si>
    <t xml:space="preserve">Every specialty sheet is sorted by how close the claim is to its primary payer's timely filing deadline. Days Until Deadline (column L) carries the count: claims with five days or less left sit at the top of each sheet in red, a negative number means the filing window has already closed, and a blank means no limit is on file for that payer.</t>
  </si>
  <si>
    <t xml:space="preserve">Order down the sheet, with the colour band each row gets, counted on 19 September 2026:</t>
  </si>
  <si>
    <t xml:space="preserve">    3 - Due in 31+ days: 19</t>
  </si>
  <si>
    <t xml:space="preserve">    5 - No limit on file: 3</t>
  </si>
  <si>
    <t xml:space="preserve">'ALL Claims 2026-S1 - Master.xlsx' (same folder) holds all 482 claims for 2026 S1. Its Claim Status and Notes columns are formulas that read this file, so anything you type in columns A and B here shows up there. Keep both files in the same folder, keep the file name unchanged, and save this file before opening the master.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</si>
</sst>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yy"/>
  </numFmts>
  <fonts count="5">
    <font>
      <sz val="11"/>
      <color theme="1"/>
      <name val="Calibri"/>
      <family val="2"/>
      <scheme val="minor"/>
    </font>
    <font>
      <b/>
      <sz val="11"/>
      <color rgb="FFFFFFFF"/>
      <name val="Calibri"/>
    </font>
    <font>
      <sz val="11"/>
      <name val="Calibri"/>
    </font>
    <font>
      <b/>
      <sz val="14"/>
      <color rgb="FF1F4E79"/>
      <name val="Calibri"/>
    </font>
    <font>
      <b/>
      <sz val="11"/>
      <color rgb="FF1F4E79"/>
      <name val="Calibri"/>
    </font>
  </fonts>
  <fills count="4">
    <fill>
      <patternFill patternType="none"/>
    </fill>
    <fill>
      <patternFill patternType="gray125"/>
    </fill>
    <fill>
      <patternFill patternType="solid">
        <fgColor rgb="FF1F4E79"/>
      </patternFill>
    </fill>
    <fill>
      <patternFill patternType="solid">
        <fgColor rgb="FFFFF2CC"/>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13">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vertical="top"/>
    </xf>
    <xf numFmtId="164" fontId="2" fillId="3" borderId="1" xfId="0" applyNumberFormat="1" applyFont="1" applyFill="1" applyBorder="1" applyAlignment="1">
      <alignment vertical="top"/>
    </xf>
    <xf numFmtId="1" fontId="2" fillId="0" borderId="1" xfId="0" applyNumberFormat="1" applyFont="1" applyBorder="1" applyAlignment="1">
      <alignment vertical="top"/>
    </xf>
    <xf numFmtId="0" fontId="2" fillId="0" borderId="1" xfId="0" applyFont="1" applyBorder="1" applyAlignment="1">
      <alignment vertical="top"/>
    </xf>
    <xf numFmtId="164" fontId="2" fillId="0" borderId="1" xfId="0" applyNumberFormat="1" applyFont="1" applyBorder="1" applyAlignment="1">
      <alignment vertical="top"/>
    </xf>
    <xf numFmtId="4" fontId="2" fillId="0" borderId="1" xfId="0" applyNumberFormat="1" applyFont="1" applyBorder="1" applyAlignment="1">
      <alignment vertical="top"/>
    </xf>
    <xf numFmtId="0" fontId="3" fillId="0" borderId="0" xfId="0" applyFont="1" applyAlignment="1">
      <alignment vertical="top" wrapText="1"/>
    </xf>
    <xf numFmtId="0" fontId="2" fillId="0" borderId="0" xfId="0" applyFont="1" applyAlignment="1">
      <alignment vertical="top" wrapText="1"/>
    </xf>
    <xf numFmtId="0" fontId="4" fillId="0" borderId="0" xfId="0" applyFont="1" applyAlignment="1">
      <alignment vertical="top" wrapText="1"/>
    </xf>
    <xf numFmtId="0" fontId="1" fillId="2" borderId="1" xfId="0" applyFont="1" applyFill="1" applyBorder="1" applyAlignment="1">
      <alignment horizontal="center" vertical="center"/>
    </xf>
    <xf numFmtId="1" fontId="2" fillId="0" borderId="1" xfId="0" applyNumberFormat="1" applyFont="1" applyBorder="1" applyAlignment="1">
      <alignment horizontal="left" vertical="top"/>
    </xf>
  </cellXfs>
  <cellStyles count="1">
    <cellStyle name="Normal" xfId="0" builtinId="0"/>
  </cellStyles>
  <dxfs count="100">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N9"/>
  <sheetViews>
    <sheetView tabSelected="1" zoomScale="90" workbookViewId="0">
      <pane xSplit="2" ySplit="1" topLeftCell="C2" activePane="bottomRight" state="frozen"/>
      <selection pane="bottomRight" activeCell="F5" sqref="F5"/>
      <selection pane="bottomLeft"/>
      <selection pane="topRight"/>
    </sheetView>
  </sheetViews>
  <sheetFormatPr defaultRowHeight="15"/>
  <cols>
    <col min="1" max="1" width="14" customWidth="1"/>
    <col min="2" max="2" width="55" customWidth="1"/>
    <col min="3" max="3" width="15" customWidth="1"/>
    <col min="4" max="4" width="18" customWidth="1"/>
    <col min="5" max="5" width="14" customWidth="1"/>
    <col min="6" max="6" width="17" customWidth="1"/>
    <col min="7" max="8" width="40.42578125" customWidth="1"/>
    <col min="9" max="9" width="40" hidden="1" customWidth="1"/>
    <col min="10" max="10" width="22.42578125" customWidth="1"/>
    <col min="11" max="11" width="13.28515625" customWidth="1"/>
    <col min="12" max="12" width="12" customWidth="1"/>
    <col min="13" max="13" width="19.42578125" customWidth="1"/>
    <col min="14" max="14" width="16" customWidth="1"/>
    <col min="15" max="15" width="17" hidden="1" customWidth="1"/>
    <col min="16" max="16" width="14" hidden="1" customWidth="1"/>
    <col min="17" max="17" width="30" hidden="1" customWidth="1"/>
    <col min="18" max="18" width="14" hidden="1" customWidth="1"/>
    <col min="19" max="19" width="16" hidden="1" customWidth="1"/>
    <col min="20" max="20" width="13" hidden="1" customWidth="1"/>
    <col min="21" max="21" width="16" hidden="1" customWidth="1"/>
    <col min="22" max="24" width="11" customWidth="1"/>
    <col min="25" max="25" width="10" customWidth="1"/>
    <col min="26" max="26" width="15" customWidth="1"/>
    <col min="27" max="27" width="12" customWidth="1"/>
    <col min="28" max="28" width="19" customWidth="1"/>
    <col min="29" max="29" width="22" customWidth="1"/>
    <col min="30" max="30" width="19" customWidth="1"/>
    <col min="31" max="31" width="24" customWidth="1"/>
    <col min="32" max="35" width="16" customWidth="1"/>
    <col min="36" max="36" width="20" customWidth="1"/>
    <col min="37" max="37" width="22" customWidth="1"/>
    <col min="38" max="38" width="24" customWidth="1"/>
    <col min="39" max="39" width="14" customWidth="1"/>
    <col min="40" max="40" width="11" customWidth="1"/>
  </cols>
  <sheetData>
    <row r="1" spans="1:40" ht="30" customHeight="1">
      <c r="A1" s="11" t="s">
        <v>0</v>
      </c>
      <c r="B1" s="11" t="s">
        <v>1</v>
      </c>
      <c r="C1" s="11" t="s">
        <v>2</v>
      </c>
      <c r="D1" s="11" t="s">
        <v>3</v>
      </c>
      <c r="E1" s="11" t="s">
        <v>4</v>
      </c>
      <c r="F1" s="11" t="s">
        <v>5</v>
      </c>
      <c r="G1" s="11" t="s">
        <v>6</v>
      </c>
      <c r="H1" s="11" t="s">
        <v>7</v>
      </c>
      <c r="I1" s="11" t="s">
        <v>8</v>
      </c>
      <c r="J1" s="11" t="s">
        <v>9</v>
      </c>
      <c r="K1" s="1" t="s">
        <v>10</v>
      </c>
      <c r="L1" s="1" t="s">
        <v>11</v>
      </c>
      <c r="M1" s="1" t="s">
        <v>12</v>
      </c>
      <c r="N1" s="1" t="s">
        <v>13</v>
      </c>
      <c r="O1" s="11" t="s">
        <v>14</v>
      </c>
      <c r="P1" s="11" t="s">
        <v>15</v>
      </c>
      <c r="Q1" s="11" t="s">
        <v>16</v>
      </c>
      <c r="R1" s="11" t="s">
        <v>17</v>
      </c>
      <c r="S1" s="11" t="s">
        <v>18</v>
      </c>
      <c r="T1" s="11" t="s">
        <v>19</v>
      </c>
      <c r="U1" s="11" t="s">
        <v>20</v>
      </c>
      <c r="V1" s="11" t="s">
        <v>21</v>
      </c>
      <c r="W1" s="11" t="s">
        <v>22</v>
      </c>
      <c r="X1" s="11" t="s">
        <v>23</v>
      </c>
      <c r="Y1" s="11" t="s">
        <v>24</v>
      </c>
      <c r="Z1" s="11" t="s">
        <v>25</v>
      </c>
      <c r="AA1" s="11" t="s">
        <v>26</v>
      </c>
      <c r="AB1" s="11" t="s">
        <v>27</v>
      </c>
      <c r="AC1" s="11" t="s">
        <v>28</v>
      </c>
      <c r="AD1" s="11" t="s">
        <v>29</v>
      </c>
      <c r="AE1" s="11" t="s">
        <v>30</v>
      </c>
      <c r="AF1" s="11" t="s">
        <v>31</v>
      </c>
      <c r="AG1" s="11" t="s">
        <v>32</v>
      </c>
      <c r="AH1" s="11" t="s">
        <v>33</v>
      </c>
      <c r="AI1" s="11" t="s">
        <v>34</v>
      </c>
      <c r="AJ1" s="11" t="s">
        <v>35</v>
      </c>
      <c r="AK1" s="11" t="s">
        <v>36</v>
      </c>
      <c r="AL1" s="11" t="s">
        <v>37</v>
      </c>
      <c r="AM1" s="11" t="s">
        <v>38</v>
      </c>
      <c r="AN1" s="11" t="s">
        <v>39</v>
      </c>
    </row>
    <row r="2" spans="1:40">
      <c r="A2" s="2" t="s">
        <v>41</v>
      </c>
      <c r="B2" s="2" t="s">
        <v>42</v>
      </c>
      <c r="C2" s="3">
        <v>46098</v>
      </c>
      <c r="D2" s="4">
        <v>548676737</v>
      </c>
      <c r="E2" s="5" t="s">
        <v>43</v>
      </c>
      <c r="F2" s="6">
        <v>46056</v>
      </c>
      <c r="G2" s="5" t="s">
        <v>44</v>
      </c>
      <c r="H2" s="5" t="s">
        <v>44</v>
      </c>
      <c r="I2" s="5" t="s">
        <v>45</v>
      </c>
      <c r="J2" s="5" t="s">
        <v>46</v>
      </c>
      <c r="K2" s="3">
        <v>46183</v>
      </c>
      <c r="L2" s="12">
        <f ca="1">IF($O2="","",$O2-TODAY())</f>
        <v>-134</v>
      </c>
      <c r="M2" s="12">
        <f ca="1">IF($F2="","",$F2+90-TODAY())</f>
        <v>-137</v>
      </c>
      <c r="N2" s="12">
        <f ca="1">IF($C2="","",$C2+365-TODAY())</f>
        <v>180</v>
      </c>
      <c r="O2" s="6">
        <v>46146</v>
      </c>
      <c r="P2" s="5" t="s">
        <v>47</v>
      </c>
      <c r="Q2" s="5" t="s">
        <v>48</v>
      </c>
      <c r="R2" s="5" t="s">
        <v>47</v>
      </c>
      <c r="S2" s="5" t="s">
        <v>252</v>
      </c>
      <c r="T2" s="5" t="s">
        <v>49</v>
      </c>
      <c r="U2" s="5" t="s">
        <v>50</v>
      </c>
      <c r="V2" s="5"/>
      <c r="W2" s="5"/>
      <c r="X2" s="5"/>
      <c r="Y2" s="5" t="s">
        <v>51</v>
      </c>
      <c r="Z2" s="7">
        <v>1372.91</v>
      </c>
      <c r="AA2" s="7">
        <v>0</v>
      </c>
      <c r="AB2" s="7">
        <v>0</v>
      </c>
      <c r="AC2" s="6">
        <v>46098</v>
      </c>
      <c r="AD2" s="7">
        <v>1372.91</v>
      </c>
      <c r="AE2" s="4">
        <v>186</v>
      </c>
      <c r="AF2" s="5" t="s">
        <v>52</v>
      </c>
      <c r="AG2" s="5"/>
      <c r="AH2" s="5"/>
      <c r="AI2" s="5"/>
      <c r="AJ2" s="4"/>
      <c r="AK2" s="5" t="s">
        <v>53</v>
      </c>
      <c r="AL2" s="5" t="s">
        <v>54</v>
      </c>
      <c r="AM2" s="6">
        <v>46086</v>
      </c>
      <c r="AN2" s="5" t="s">
        <v>55</v>
      </c>
    </row>
    <row r="3" spans="1:40">
      <c r="A3" s="2" t="s">
        <v>41</v>
      </c>
      <c r="B3" s="2" t="s">
        <v>57</v>
      </c>
      <c r="C3" s="3">
        <v>46148</v>
      </c>
      <c r="D3" s="4">
        <v>548979329</v>
      </c>
      <c r="E3" s="5" t="s">
        <v>58</v>
      </c>
      <c r="F3" s="6">
        <v>46062</v>
      </c>
      <c r="G3" s="5" t="s">
        <v>44</v>
      </c>
      <c r="H3" s="5" t="s">
        <v>44</v>
      </c>
      <c r="I3" s="5" t="s">
        <v>45</v>
      </c>
      <c r="J3" s="5" t="s">
        <v>59</v>
      </c>
      <c r="K3" s="3">
        <v>46183</v>
      </c>
      <c r="L3" s="12">
        <f ca="1">IF($O3="","",$O3-TODAY())</f>
        <v>-128</v>
      </c>
      <c r="M3" s="12">
        <f ca="1">IF($F3="","",$F3+90-TODAY())</f>
        <v>-131</v>
      </c>
      <c r="N3" s="12">
        <f ca="1">IF($C3="","",$C3+365-TODAY())</f>
        <v>230</v>
      </c>
      <c r="O3" s="6">
        <v>46152</v>
      </c>
      <c r="P3" s="5" t="s">
        <v>47</v>
      </c>
      <c r="Q3" s="5" t="s">
        <v>48</v>
      </c>
      <c r="R3" s="5" t="s">
        <v>47</v>
      </c>
      <c r="S3" s="5" t="s">
        <v>252</v>
      </c>
      <c r="T3" s="5" t="s">
        <v>49</v>
      </c>
      <c r="U3" s="5" t="s">
        <v>50</v>
      </c>
      <c r="V3" s="5"/>
      <c r="W3" s="5"/>
      <c r="X3" s="5"/>
      <c r="Y3" s="5" t="s">
        <v>51</v>
      </c>
      <c r="Z3" s="7">
        <v>1372.91</v>
      </c>
      <c r="AA3" s="7">
        <v>0</v>
      </c>
      <c r="AB3" s="7">
        <v>0</v>
      </c>
      <c r="AC3" s="6">
        <v>46148</v>
      </c>
      <c r="AD3" s="7">
        <v>1372.91</v>
      </c>
      <c r="AE3" s="4">
        <v>180</v>
      </c>
      <c r="AF3" s="5" t="s">
        <v>52</v>
      </c>
      <c r="AG3" s="5"/>
      <c r="AH3" s="5"/>
      <c r="AI3" s="5"/>
      <c r="AJ3" s="4"/>
      <c r="AK3" s="5" t="s">
        <v>60</v>
      </c>
      <c r="AL3" s="5" t="s">
        <v>61</v>
      </c>
      <c r="AM3" s="6">
        <v>46090</v>
      </c>
      <c r="AN3" s="5" t="s">
        <v>55</v>
      </c>
    </row>
    <row r="4" spans="1:40">
      <c r="A4" s="2" t="s">
        <v>63</v>
      </c>
      <c r="B4" s="2"/>
      <c r="C4" s="3">
        <v>46119</v>
      </c>
      <c r="D4" s="4">
        <v>549765437</v>
      </c>
      <c r="E4" s="5" t="s">
        <v>64</v>
      </c>
      <c r="F4" s="6">
        <v>46065</v>
      </c>
      <c r="G4" s="5" t="s">
        <v>65</v>
      </c>
      <c r="H4" s="5" t="s">
        <v>44</v>
      </c>
      <c r="I4" s="5" t="s">
        <v>65</v>
      </c>
      <c r="J4" s="5" t="s">
        <v>59</v>
      </c>
      <c r="K4" s="3"/>
      <c r="L4" s="12">
        <f ca="1">IF($O4="","",$O4-TODAY())</f>
        <v>-125</v>
      </c>
      <c r="M4" s="12">
        <f ca="1">IF($F4="","",$F4+90-TODAY())</f>
        <v>-128</v>
      </c>
      <c r="N4" s="12">
        <f ca="1">IF($C4="","",$C4+365-TODAY())</f>
        <v>201</v>
      </c>
      <c r="O4" s="6">
        <v>46155</v>
      </c>
      <c r="P4" s="5" t="s">
        <v>47</v>
      </c>
      <c r="Q4" s="5" t="s">
        <v>48</v>
      </c>
      <c r="R4" s="5" t="s">
        <v>47</v>
      </c>
      <c r="S4" s="5" t="s">
        <v>252</v>
      </c>
      <c r="T4" s="5" t="s">
        <v>49</v>
      </c>
      <c r="U4" s="5" t="s">
        <v>50</v>
      </c>
      <c r="V4" s="5"/>
      <c r="W4" s="5"/>
      <c r="X4" s="5"/>
      <c r="Y4" s="5" t="s">
        <v>51</v>
      </c>
      <c r="Z4" s="7">
        <v>1372.91</v>
      </c>
      <c r="AA4" s="7">
        <v>1179.8900000000001</v>
      </c>
      <c r="AB4" s="7">
        <v>0</v>
      </c>
      <c r="AC4" s="6">
        <v>46119</v>
      </c>
      <c r="AD4" s="7">
        <v>193.02</v>
      </c>
      <c r="AE4" s="4">
        <v>177</v>
      </c>
      <c r="AF4" s="5" t="s">
        <v>66</v>
      </c>
      <c r="AG4" s="5"/>
      <c r="AH4" s="5"/>
      <c r="AI4" s="5"/>
      <c r="AJ4" s="4">
        <v>558453526</v>
      </c>
      <c r="AK4" s="5" t="s">
        <v>53</v>
      </c>
      <c r="AL4" s="5" t="s">
        <v>67</v>
      </c>
      <c r="AM4" s="6">
        <v>46086</v>
      </c>
      <c r="AN4" s="5" t="s">
        <v>55</v>
      </c>
    </row>
    <row r="5" spans="1:40">
      <c r="A5" s="2" t="s">
        <v>41</v>
      </c>
      <c r="B5" s="2" t="s">
        <v>69</v>
      </c>
      <c r="C5" s="3">
        <v>46147</v>
      </c>
      <c r="D5" s="4">
        <v>557794433</v>
      </c>
      <c r="E5" s="5" t="s">
        <v>70</v>
      </c>
      <c r="F5" s="6">
        <v>46066</v>
      </c>
      <c r="G5" s="5" t="s">
        <v>71</v>
      </c>
      <c r="H5" s="5" t="s">
        <v>71</v>
      </c>
      <c r="I5" s="5" t="s">
        <v>45</v>
      </c>
      <c r="J5" s="5" t="s">
        <v>72</v>
      </c>
      <c r="K5" s="3">
        <v>46142</v>
      </c>
      <c r="L5" s="12">
        <f ca="1">IF($O5="","",$O5-TODAY())</f>
        <v>-124</v>
      </c>
      <c r="M5" s="12">
        <f ca="1">IF($C5="","",$C5+365-TODAY())</f>
        <v>232</v>
      </c>
      <c r="N5" s="12">
        <f ca="1">IF($C5="","",$C5+365-TODAY())</f>
        <v>232</v>
      </c>
      <c r="O5" s="6">
        <v>46156</v>
      </c>
      <c r="P5" s="5" t="s">
        <v>47</v>
      </c>
      <c r="Q5" s="5" t="s">
        <v>73</v>
      </c>
      <c r="R5" s="5" t="s">
        <v>49</v>
      </c>
      <c r="S5" s="5" t="s">
        <v>50</v>
      </c>
      <c r="T5" s="5" t="s">
        <v>49</v>
      </c>
      <c r="U5" s="5" t="s">
        <v>50</v>
      </c>
      <c r="V5" s="5"/>
      <c r="W5" s="5"/>
      <c r="X5" s="5"/>
      <c r="Y5" s="5" t="s">
        <v>51</v>
      </c>
      <c r="Z5" s="7">
        <v>976.64</v>
      </c>
      <c r="AA5" s="7">
        <v>0</v>
      </c>
      <c r="AB5" s="7">
        <v>0</v>
      </c>
      <c r="AC5" s="6">
        <v>46147</v>
      </c>
      <c r="AD5" s="7">
        <v>976.64</v>
      </c>
      <c r="AE5" s="4">
        <v>176</v>
      </c>
      <c r="AF5" s="5" t="s">
        <v>74</v>
      </c>
      <c r="AG5" s="5"/>
      <c r="AH5" s="5"/>
      <c r="AI5" s="5"/>
      <c r="AJ5" s="4"/>
      <c r="AK5" s="5" t="s">
        <v>53</v>
      </c>
      <c r="AL5" s="5" t="s">
        <v>75</v>
      </c>
      <c r="AM5" s="6">
        <v>46086</v>
      </c>
      <c r="AN5" s="5" t="s">
        <v>55</v>
      </c>
    </row>
    <row r="6" spans="1:40">
      <c r="A6" s="2" t="s">
        <v>41</v>
      </c>
      <c r="B6" s="2" t="s">
        <v>69</v>
      </c>
      <c r="C6" s="3">
        <v>46147</v>
      </c>
      <c r="D6" s="4">
        <v>557794882</v>
      </c>
      <c r="E6" s="5" t="s">
        <v>77</v>
      </c>
      <c r="F6" s="6">
        <v>46070</v>
      </c>
      <c r="G6" s="5" t="s">
        <v>71</v>
      </c>
      <c r="H6" s="5" t="s">
        <v>71</v>
      </c>
      <c r="I6" s="5" t="s">
        <v>45</v>
      </c>
      <c r="J6" s="5" t="s">
        <v>72</v>
      </c>
      <c r="K6" s="3">
        <v>46142</v>
      </c>
      <c r="L6" s="12">
        <f ca="1">IF($O6="","",$O6-TODAY())</f>
        <v>-120</v>
      </c>
      <c r="M6" s="12">
        <f ca="1">IF($C6="","",$C6+365-TODAY())</f>
        <v>232</v>
      </c>
      <c r="N6" s="12">
        <f ca="1">IF($C6="","",$C6+365-TODAY())</f>
        <v>232</v>
      </c>
      <c r="O6" s="6">
        <v>46160</v>
      </c>
      <c r="P6" s="5" t="s">
        <v>47</v>
      </c>
      <c r="Q6" s="5" t="s">
        <v>73</v>
      </c>
      <c r="R6" s="5" t="s">
        <v>49</v>
      </c>
      <c r="S6" s="5" t="s">
        <v>50</v>
      </c>
      <c r="T6" s="5" t="s">
        <v>49</v>
      </c>
      <c r="U6" s="5" t="s">
        <v>50</v>
      </c>
      <c r="V6" s="5"/>
      <c r="W6" s="5"/>
      <c r="X6" s="5"/>
      <c r="Y6" s="5" t="s">
        <v>51</v>
      </c>
      <c r="Z6" s="7">
        <v>976.64</v>
      </c>
      <c r="AA6" s="7">
        <v>0</v>
      </c>
      <c r="AB6" s="7">
        <v>0</v>
      </c>
      <c r="AC6" s="6">
        <v>46147</v>
      </c>
      <c r="AD6" s="7">
        <v>976.64</v>
      </c>
      <c r="AE6" s="4">
        <v>172</v>
      </c>
      <c r="AF6" s="5" t="s">
        <v>78</v>
      </c>
      <c r="AG6" s="5" t="s">
        <v>66</v>
      </c>
      <c r="AH6" s="5"/>
      <c r="AI6" s="5"/>
      <c r="AJ6" s="4"/>
      <c r="AK6" s="5" t="s">
        <v>79</v>
      </c>
      <c r="AL6" s="5" t="s">
        <v>54</v>
      </c>
      <c r="AM6" s="6">
        <v>46086</v>
      </c>
      <c r="AN6" s="5" t="s">
        <v>55</v>
      </c>
    </row>
    <row r="7" spans="1:40">
      <c r="A7" s="2" t="s">
        <v>41</v>
      </c>
      <c r="B7" s="2" t="s">
        <v>81</v>
      </c>
      <c r="C7" s="3">
        <v>46101</v>
      </c>
      <c r="D7" s="4">
        <v>550288006</v>
      </c>
      <c r="E7" s="5" t="s">
        <v>82</v>
      </c>
      <c r="F7" s="6">
        <v>46071</v>
      </c>
      <c r="G7" s="5" t="s">
        <v>44</v>
      </c>
      <c r="H7" s="5" t="s">
        <v>44</v>
      </c>
      <c r="I7" s="5" t="s">
        <v>45</v>
      </c>
      <c r="J7" s="5" t="s">
        <v>83</v>
      </c>
      <c r="K7" s="3">
        <v>46183</v>
      </c>
      <c r="L7" s="12">
        <f ca="1">IF($O7="","",$O7-TODAY())</f>
        <v>-119</v>
      </c>
      <c r="M7" s="12">
        <f ca="1">IF($F7="","",$F7+90-TODAY())</f>
        <v>-122</v>
      </c>
      <c r="N7" s="12">
        <f ca="1">IF($C7="","",$C7+365-TODAY())</f>
        <v>183</v>
      </c>
      <c r="O7" s="6">
        <v>46161</v>
      </c>
      <c r="P7" s="5" t="s">
        <v>47</v>
      </c>
      <c r="Q7" s="5" t="s">
        <v>48</v>
      </c>
      <c r="R7" s="5" t="s">
        <v>47</v>
      </c>
      <c r="S7" s="5" t="s">
        <v>252</v>
      </c>
      <c r="T7" s="5" t="s">
        <v>49</v>
      </c>
      <c r="U7" s="5" t="s">
        <v>50</v>
      </c>
      <c r="V7" s="5"/>
      <c r="W7" s="5"/>
      <c r="X7" s="5"/>
      <c r="Y7" s="5" t="s">
        <v>84</v>
      </c>
      <c r="Z7" s="7">
        <v>1822.52</v>
      </c>
      <c r="AA7" s="7">
        <v>0</v>
      </c>
      <c r="AB7" s="7">
        <v>0</v>
      </c>
      <c r="AC7" s="6">
        <v>46101</v>
      </c>
      <c r="AD7" s="7">
        <v>1822.52</v>
      </c>
      <c r="AE7" s="4">
        <v>171</v>
      </c>
      <c r="AF7" s="5" t="s">
        <v>85</v>
      </c>
      <c r="AG7" s="5"/>
      <c r="AH7" s="5"/>
      <c r="AI7" s="5"/>
      <c r="AJ7" s="4"/>
      <c r="AK7" s="5" t="s">
        <v>86</v>
      </c>
      <c r="AL7" s="5" t="s">
        <v>67</v>
      </c>
      <c r="AM7" s="6">
        <v>46086</v>
      </c>
      <c r="AN7" s="5" t="s">
        <v>55</v>
      </c>
    </row>
    <row r="8" spans="1:40">
      <c r="A8" s="2" t="s">
        <v>41</v>
      </c>
      <c r="B8" s="2" t="s">
        <v>88</v>
      </c>
      <c r="C8" s="3">
        <v>46147</v>
      </c>
      <c r="D8" s="4">
        <v>557793858</v>
      </c>
      <c r="E8" s="5" t="s">
        <v>89</v>
      </c>
      <c r="F8" s="6">
        <v>46073</v>
      </c>
      <c r="G8" s="5" t="s">
        <v>71</v>
      </c>
      <c r="H8" s="5" t="s">
        <v>71</v>
      </c>
      <c r="I8" s="5" t="s">
        <v>45</v>
      </c>
      <c r="J8" s="5" t="s">
        <v>72</v>
      </c>
      <c r="K8" s="3">
        <v>46266</v>
      </c>
      <c r="L8" s="12">
        <f ca="1">IF($O8="","",$O8-TODAY())</f>
        <v>-117</v>
      </c>
      <c r="M8" s="12">
        <f ca="1">IF($C8="","",$C8+365-TODAY())</f>
        <v>232</v>
      </c>
      <c r="N8" s="12">
        <f ca="1">IF($C8="","",$C8+365-TODAY())</f>
        <v>232</v>
      </c>
      <c r="O8" s="6">
        <v>46163</v>
      </c>
      <c r="P8" s="5" t="s">
        <v>47</v>
      </c>
      <c r="Q8" s="5" t="s">
        <v>73</v>
      </c>
      <c r="R8" s="5" t="s">
        <v>49</v>
      </c>
      <c r="S8" s="5" t="s">
        <v>50</v>
      </c>
      <c r="T8" s="5" t="s">
        <v>49</v>
      </c>
      <c r="U8" s="5" t="s">
        <v>50</v>
      </c>
      <c r="V8" s="5"/>
      <c r="W8" s="5"/>
      <c r="X8" s="5"/>
      <c r="Y8" s="5" t="s">
        <v>51</v>
      </c>
      <c r="Z8" s="7">
        <v>976.64</v>
      </c>
      <c r="AA8" s="7">
        <v>0</v>
      </c>
      <c r="AB8" s="7">
        <v>0</v>
      </c>
      <c r="AC8" s="6">
        <v>46147</v>
      </c>
      <c r="AD8" s="7">
        <v>976.64</v>
      </c>
      <c r="AE8" s="4">
        <v>169</v>
      </c>
      <c r="AF8" s="5" t="s">
        <v>74</v>
      </c>
      <c r="AG8" s="5"/>
      <c r="AH8" s="5"/>
      <c r="AI8" s="5"/>
      <c r="AJ8" s="4"/>
      <c r="AK8" s="5" t="s">
        <v>53</v>
      </c>
      <c r="AL8" s="5" t="s">
        <v>75</v>
      </c>
      <c r="AM8" s="6">
        <v>46086</v>
      </c>
      <c r="AN8" s="5" t="s">
        <v>55</v>
      </c>
    </row>
    <row r="9" spans="1:40">
      <c r="A9" s="2" t="s">
        <v>41</v>
      </c>
      <c r="B9" s="2" t="s">
        <v>91</v>
      </c>
      <c r="C9" s="3">
        <v>46147</v>
      </c>
      <c r="D9" s="4">
        <v>557794229</v>
      </c>
      <c r="E9" s="5" t="s">
        <v>92</v>
      </c>
      <c r="F9" s="6">
        <v>46073</v>
      </c>
      <c r="G9" s="5" t="s">
        <v>71</v>
      </c>
      <c r="H9" s="5" t="s">
        <v>71</v>
      </c>
      <c r="I9" s="5" t="s">
        <v>45</v>
      </c>
      <c r="J9" s="5" t="s">
        <v>72</v>
      </c>
      <c r="K9" s="3">
        <v>46247</v>
      </c>
      <c r="L9" s="12">
        <f ca="1">IF($O9="","",$O9-TODAY())</f>
        <v>-117</v>
      </c>
      <c r="M9" s="12">
        <f ca="1">IF($C9="","",$C9+365-TODAY())</f>
        <v>232</v>
      </c>
      <c r="N9" s="12">
        <f ca="1">IF($C9="","",$C9+365-TODAY())</f>
        <v>232</v>
      </c>
      <c r="O9" s="6">
        <v>46163</v>
      </c>
      <c r="P9" s="5" t="s">
        <v>47</v>
      </c>
      <c r="Q9" s="5" t="s">
        <v>73</v>
      </c>
      <c r="R9" s="5" t="s">
        <v>49</v>
      </c>
      <c r="S9" s="5" t="s">
        <v>50</v>
      </c>
      <c r="T9" s="5" t="s">
        <v>49</v>
      </c>
      <c r="U9" s="5" t="s">
        <v>50</v>
      </c>
      <c r="V9" s="5"/>
      <c r="W9" s="5"/>
      <c r="X9" s="5"/>
      <c r="Y9" s="5" t="s">
        <v>51</v>
      </c>
      <c r="Z9" s="7">
        <v>976.64</v>
      </c>
      <c r="AA9" s="7">
        <v>0</v>
      </c>
      <c r="AB9" s="7">
        <v>0</v>
      </c>
      <c r="AC9" s="6">
        <v>46147</v>
      </c>
      <c r="AD9" s="7">
        <v>976.64</v>
      </c>
      <c r="AE9" s="4">
        <v>169</v>
      </c>
      <c r="AF9" s="5" t="s">
        <v>74</v>
      </c>
      <c r="AG9" s="5"/>
      <c r="AH9" s="5"/>
      <c r="AI9" s="5"/>
      <c r="AJ9" s="4"/>
      <c r="AK9" s="5" t="s">
        <v>60</v>
      </c>
      <c r="AL9" s="5" t="s">
        <v>75</v>
      </c>
      <c r="AM9" s="6">
        <v>46086</v>
      </c>
      <c r="AN9" s="5" t="s">
        <v>55</v>
      </c>
    </row>
  </sheetData>
  <autoFilter ref="A1:AN9" xr:uid="{00000000-0009-0000-0000-000000000000}"/>
  <conditionalFormatting sqref="L2:L9">
    <cfRule type="expression" dxfId="99" priority="1">
      <formula>AND($L2&lt;&gt;"", $L2&gt;=0, $L2&lt;=5)</formula>
    </cfRule>
    <cfRule type="expression" dxfId="98" priority="2">
      <formula>AND($L2&lt;&gt;"", $L2&gt;5, $L2&lt;=30)</formula>
    </cfRule>
    <cfRule type="expression" dxfId="97" priority="3">
      <formula>AND($L2&lt;&gt;"", $L2&gt;30)</formula>
    </cfRule>
    <cfRule type="expression" dxfId="96" priority="4">
      <formula>AND($L2&lt;&gt;"", $L2&lt;0)</formula>
    </cfRule>
    <cfRule type="expression" dxfId="95" priority="5">
      <formula>$L2=""</formula>
    </cfRule>
  </conditionalFormatting>
  <conditionalFormatting sqref="M2:M9">
    <cfRule type="expression" dxfId="94" priority="6">
      <formula>AND($M2&lt;&gt;"", $M2&gt;=0, $M2&lt;=5)</formula>
    </cfRule>
    <cfRule type="expression" dxfId="93" priority="7">
      <formula>AND($M2&lt;&gt;"", $M2&gt;5, $M2&lt;=30)</formula>
    </cfRule>
    <cfRule type="expression" dxfId="92" priority="8">
      <formula>AND($M2&lt;&gt;"", $M2&gt;30)</formula>
    </cfRule>
    <cfRule type="expression" dxfId="91" priority="9">
      <formula>AND($M2&lt;&gt;"", $M2&lt;0)</formula>
    </cfRule>
    <cfRule type="expression" dxfId="90" priority="10">
      <formula>$M2=""</formula>
    </cfRule>
  </conditionalFormatting>
  <conditionalFormatting sqref="N2:N9">
    <cfRule type="expression" dxfId="89" priority="11">
      <formula>AND($N2&lt;&gt;"", $N2&gt;=0, $N2&lt;=5)</formula>
    </cfRule>
    <cfRule type="expression" dxfId="88" priority="12">
      <formula>AND($N2&lt;&gt;"", $N2&gt;5, $N2&lt;=30)</formula>
    </cfRule>
    <cfRule type="expression" dxfId="87" priority="13">
      <formula>AND($N2&lt;&gt;"", $N2&gt;30)</formula>
    </cfRule>
    <cfRule type="expression" dxfId="86" priority="14">
      <formula>AND($N2&lt;&gt;"", $N2&lt;0)</formula>
    </cfRule>
    <cfRule type="expression" dxfId="85" priority="15">
      <formula>$N2=""</formula>
    </cfRule>
  </conditionalFormatting>
  <conditionalFormatting sqref="O2:U9">
    <cfRule type="expression" dxfId="84" priority="16">
      <formula>AND($L2&lt;&gt;"", $L2&gt;=0, $L2&lt;=5)</formula>
    </cfRule>
    <cfRule type="expression" dxfId="83" priority="17">
      <formula>AND($L2&lt;&gt;"", $L2&gt;5, $L2&lt;=30)</formula>
    </cfRule>
    <cfRule type="expression" dxfId="82" priority="18">
      <formula>AND($L2&lt;&gt;"", $L2&gt;30)</formula>
    </cfRule>
    <cfRule type="expression" dxfId="81" priority="19">
      <formula>AND($L2&lt;&gt;"", $L2&lt;0)</formula>
    </cfRule>
    <cfRule type="expression" dxfId="80" priority="20">
      <formula>$L2=""</formula>
    </cfRule>
  </conditionalFormatting>
  <dataValidations count="1">
    <dataValidation type="list" allowBlank="1" showInputMessage="1" promptTitle="Claim Status" prompt="Pick a status, or type a new one." sqref="A2:A9" xr:uid="{00000000-0002-0000-0000-000000000000}">
      <formula1>"Denied,Finalized,PAID,Pending,Received,Rejected,Under Review"</formula1>
    </dataValidation>
  </dataValidations>
  <pageMargins left="0.75" right="0.75" top="1" bottom="1" header="0.5" footer="0.5"/>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N12"/>
  <sheetViews>
    <sheetView zoomScale="90" workbookViewId="0">
      <pane xSplit="2" ySplit="1" topLeftCell="C2" activePane="bottomRight" state="frozen"/>
      <selection pane="bottomRight"/>
      <selection pane="bottomLeft"/>
      <selection pane="topRight"/>
    </sheetView>
  </sheetViews>
  <sheetFormatPr defaultRowHeight="15"/>
  <cols>
    <col min="1" max="1" width="14" customWidth="1"/>
    <col min="2" max="2" width="55" customWidth="1"/>
    <col min="3" max="3" width="15" customWidth="1"/>
    <col min="4" max="4" width="18" customWidth="1"/>
    <col min="5" max="5" width="14" customWidth="1"/>
    <col min="6" max="6" width="17" customWidth="1"/>
    <col min="7" max="7" width="40" customWidth="1"/>
    <col min="8" max="8" width="34" customWidth="1"/>
    <col min="9" max="9" width="40" hidden="1" customWidth="1"/>
    <col min="10" max="10" width="26.42578125" customWidth="1"/>
    <col min="11" max="11" width="14" customWidth="1"/>
    <col min="12" max="12" width="12" customWidth="1"/>
    <col min="13" max="13" width="19.140625" customWidth="1"/>
    <col min="14" max="14" width="18" customWidth="1"/>
    <col min="15" max="15" width="17" hidden="1" customWidth="1"/>
    <col min="16" max="16" width="14" hidden="1" customWidth="1"/>
    <col min="17" max="17" width="30" hidden="1" customWidth="1"/>
    <col min="18" max="18" width="14" hidden="1" customWidth="1"/>
    <col min="19" max="19" width="16" hidden="1" customWidth="1"/>
    <col min="20" max="20" width="13" hidden="1" customWidth="1"/>
    <col min="21" max="21" width="16" hidden="1" customWidth="1"/>
    <col min="22" max="24" width="11" customWidth="1"/>
    <col min="25" max="25" width="10" customWidth="1"/>
    <col min="26" max="26" width="15" customWidth="1"/>
    <col min="27" max="27" width="12" customWidth="1"/>
    <col min="28" max="28" width="19" customWidth="1"/>
    <col min="29" max="29" width="22" customWidth="1"/>
    <col min="30" max="30" width="19" customWidth="1"/>
    <col min="31" max="31" width="24" customWidth="1"/>
    <col min="32" max="35" width="16" customWidth="1"/>
    <col min="36" max="36" width="20" customWidth="1"/>
    <col min="37" max="37" width="22" customWidth="1"/>
    <col min="38" max="38" width="24" customWidth="1"/>
    <col min="39" max="39" width="14" customWidth="1"/>
    <col min="40" max="40" width="11" customWidth="1"/>
  </cols>
  <sheetData>
    <row r="1" spans="1:40" ht="30" customHeight="1">
      <c r="A1" s="11" t="s">
        <v>0</v>
      </c>
      <c r="B1" s="11" t="s">
        <v>1</v>
      </c>
      <c r="C1" s="11" t="s">
        <v>2</v>
      </c>
      <c r="D1" s="11" t="s">
        <v>3</v>
      </c>
      <c r="E1" s="11" t="s">
        <v>4</v>
      </c>
      <c r="F1" s="11" t="s">
        <v>5</v>
      </c>
      <c r="G1" s="11" t="s">
        <v>6</v>
      </c>
      <c r="H1" s="11" t="s">
        <v>7</v>
      </c>
      <c r="I1" s="11" t="s">
        <v>8</v>
      </c>
      <c r="J1" s="11" t="s">
        <v>9</v>
      </c>
      <c r="K1" s="1" t="s">
        <v>10</v>
      </c>
      <c r="L1" s="1" t="s">
        <v>11</v>
      </c>
      <c r="M1" s="1" t="s">
        <v>12</v>
      </c>
      <c r="N1" s="1" t="s">
        <v>13</v>
      </c>
      <c r="O1" s="11" t="s">
        <v>14</v>
      </c>
      <c r="P1" s="11" t="s">
        <v>15</v>
      </c>
      <c r="Q1" s="11" t="s">
        <v>16</v>
      </c>
      <c r="R1" s="11" t="s">
        <v>17</v>
      </c>
      <c r="S1" s="11" t="s">
        <v>18</v>
      </c>
      <c r="T1" s="11" t="s">
        <v>19</v>
      </c>
      <c r="U1" s="11" t="s">
        <v>20</v>
      </c>
      <c r="V1" s="11" t="s">
        <v>21</v>
      </c>
      <c r="W1" s="11" t="s">
        <v>22</v>
      </c>
      <c r="X1" s="11" t="s">
        <v>23</v>
      </c>
      <c r="Y1" s="11" t="s">
        <v>24</v>
      </c>
      <c r="Z1" s="11" t="s">
        <v>25</v>
      </c>
      <c r="AA1" s="11" t="s">
        <v>26</v>
      </c>
      <c r="AB1" s="11" t="s">
        <v>27</v>
      </c>
      <c r="AC1" s="11" t="s">
        <v>28</v>
      </c>
      <c r="AD1" s="11" t="s">
        <v>29</v>
      </c>
      <c r="AE1" s="11" t="s">
        <v>30</v>
      </c>
      <c r="AF1" s="11" t="s">
        <v>31</v>
      </c>
      <c r="AG1" s="11" t="s">
        <v>32</v>
      </c>
      <c r="AH1" s="11" t="s">
        <v>33</v>
      </c>
      <c r="AI1" s="11" t="s">
        <v>34</v>
      </c>
      <c r="AJ1" s="11" t="s">
        <v>35</v>
      </c>
      <c r="AK1" s="11" t="s">
        <v>36</v>
      </c>
      <c r="AL1" s="11" t="s">
        <v>37</v>
      </c>
      <c r="AM1" s="11" t="s">
        <v>38</v>
      </c>
      <c r="AN1" s="11" t="s">
        <v>39</v>
      </c>
    </row>
    <row r="2" spans="1:40">
      <c r="A2" s="2" t="s">
        <v>41</v>
      </c>
      <c r="B2" s="2" t="s">
        <v>94</v>
      </c>
      <c r="C2" s="3">
        <v>46105</v>
      </c>
      <c r="D2" s="4">
        <v>553137846</v>
      </c>
      <c r="E2" s="5" t="s">
        <v>95</v>
      </c>
      <c r="F2" s="6">
        <v>46063</v>
      </c>
      <c r="G2" s="5" t="s">
        <v>96</v>
      </c>
      <c r="H2" s="5" t="s">
        <v>97</v>
      </c>
      <c r="I2" s="5" t="s">
        <v>96</v>
      </c>
      <c r="J2" s="5" t="s">
        <v>98</v>
      </c>
      <c r="K2" s="3"/>
      <c r="L2" s="12">
        <f ca="1">IF($O2="","",$O2-TODAY())</f>
        <v>148</v>
      </c>
      <c r="M2" s="12">
        <f ca="1">IF($C2="","",$C2+365-TODAY())</f>
        <v>190</v>
      </c>
      <c r="N2" s="12">
        <f ca="1">IF($C2="","",$C2+120-TODAY())</f>
        <v>-55</v>
      </c>
      <c r="O2" s="6">
        <v>46428</v>
      </c>
      <c r="P2" s="5" t="s">
        <v>49</v>
      </c>
      <c r="Q2" s="5" t="s">
        <v>99</v>
      </c>
      <c r="R2" s="5" t="s">
        <v>49</v>
      </c>
      <c r="S2" s="5" t="s">
        <v>50</v>
      </c>
      <c r="T2" s="5" t="s">
        <v>100</v>
      </c>
      <c r="U2" s="5" t="s">
        <v>50</v>
      </c>
      <c r="V2" s="5" t="s">
        <v>101</v>
      </c>
      <c r="W2" s="5"/>
      <c r="X2" s="5"/>
      <c r="Y2" s="5" t="s">
        <v>102</v>
      </c>
      <c r="Z2" s="7">
        <v>5916.4</v>
      </c>
      <c r="AA2" s="7">
        <v>5047.72</v>
      </c>
      <c r="AB2" s="7">
        <v>692.12</v>
      </c>
      <c r="AC2" s="6">
        <v>46105</v>
      </c>
      <c r="AD2" s="7">
        <v>176.56</v>
      </c>
      <c r="AE2" s="4">
        <v>179</v>
      </c>
      <c r="AF2" s="5" t="s">
        <v>103</v>
      </c>
      <c r="AG2" s="5"/>
      <c r="AH2" s="5"/>
      <c r="AI2" s="5"/>
      <c r="AJ2" s="4">
        <v>564731184</v>
      </c>
      <c r="AK2" s="5" t="s">
        <v>104</v>
      </c>
      <c r="AL2" s="5" t="s">
        <v>105</v>
      </c>
      <c r="AM2" s="6">
        <v>46099</v>
      </c>
      <c r="AN2" s="5" t="s">
        <v>106</v>
      </c>
    </row>
    <row r="3" spans="1:40">
      <c r="A3" s="2" t="s">
        <v>41</v>
      </c>
      <c r="B3" s="2" t="s">
        <v>108</v>
      </c>
      <c r="C3" s="3">
        <v>46133</v>
      </c>
      <c r="D3" s="4">
        <v>553677900</v>
      </c>
      <c r="E3" s="5" t="s">
        <v>109</v>
      </c>
      <c r="F3" s="6">
        <v>46063</v>
      </c>
      <c r="G3" s="5" t="s">
        <v>97</v>
      </c>
      <c r="H3" s="5" t="s">
        <v>97</v>
      </c>
      <c r="I3" s="5" t="s">
        <v>44</v>
      </c>
      <c r="J3" s="5" t="s">
        <v>110</v>
      </c>
      <c r="K3" s="3"/>
      <c r="L3" s="12">
        <f ca="1">IF($O3="","",$O3-TODAY())</f>
        <v>148</v>
      </c>
      <c r="M3" s="12">
        <f ca="1">IF($C3="","",$C3+365-TODAY())</f>
        <v>218</v>
      </c>
      <c r="N3" s="12">
        <f ca="1">IF($C3="","",$C3+120-TODAY())</f>
        <v>-27</v>
      </c>
      <c r="O3" s="6">
        <v>46428</v>
      </c>
      <c r="P3" s="5" t="s">
        <v>49</v>
      </c>
      <c r="Q3" s="5" t="s">
        <v>99</v>
      </c>
      <c r="R3" s="5" t="s">
        <v>49</v>
      </c>
      <c r="S3" s="5" t="s">
        <v>50</v>
      </c>
      <c r="T3" s="5" t="s">
        <v>100</v>
      </c>
      <c r="U3" s="5" t="s">
        <v>50</v>
      </c>
      <c r="V3" s="5" t="s">
        <v>111</v>
      </c>
      <c r="W3" s="5"/>
      <c r="X3" s="5"/>
      <c r="Y3" s="5" t="s">
        <v>102</v>
      </c>
      <c r="Z3" s="7">
        <v>5916.4</v>
      </c>
      <c r="AA3" s="7">
        <v>0</v>
      </c>
      <c r="AB3" s="7">
        <v>0</v>
      </c>
      <c r="AC3" s="6">
        <v>46133</v>
      </c>
      <c r="AD3" s="7">
        <v>5916.4</v>
      </c>
      <c r="AE3" s="4">
        <v>179</v>
      </c>
      <c r="AF3" s="5" t="s">
        <v>103</v>
      </c>
      <c r="AG3" s="5"/>
      <c r="AH3" s="5"/>
      <c r="AI3" s="5"/>
      <c r="AJ3" s="4"/>
      <c r="AK3" s="5" t="s">
        <v>104</v>
      </c>
      <c r="AL3" s="5" t="s">
        <v>105</v>
      </c>
      <c r="AM3" s="6">
        <v>46105</v>
      </c>
      <c r="AN3" s="5" t="s">
        <v>106</v>
      </c>
    </row>
    <row r="4" spans="1:40">
      <c r="A4" s="2" t="s">
        <v>41</v>
      </c>
      <c r="B4" s="2" t="s">
        <v>94</v>
      </c>
      <c r="C4" s="3">
        <v>46133</v>
      </c>
      <c r="D4" s="4">
        <v>550531610</v>
      </c>
      <c r="E4" s="5" t="s">
        <v>113</v>
      </c>
      <c r="F4" s="6">
        <v>46066</v>
      </c>
      <c r="G4" s="5" t="s">
        <v>96</v>
      </c>
      <c r="H4" s="5" t="s">
        <v>97</v>
      </c>
      <c r="I4" s="5" t="s">
        <v>96</v>
      </c>
      <c r="J4" s="5" t="s">
        <v>114</v>
      </c>
      <c r="K4" s="3"/>
      <c r="L4" s="12">
        <f ca="1">IF($O4="","",$O4-TODAY())</f>
        <v>151</v>
      </c>
      <c r="M4" s="12">
        <f ca="1">IF($C4="","",$C4+365-TODAY())</f>
        <v>218</v>
      </c>
      <c r="N4" s="12">
        <f ca="1">IF($C4="","",$C4+120-TODAY())</f>
        <v>-27</v>
      </c>
      <c r="O4" s="6">
        <v>46431</v>
      </c>
      <c r="P4" s="5" t="s">
        <v>49</v>
      </c>
      <c r="Q4" s="5" t="s">
        <v>99</v>
      </c>
      <c r="R4" s="5" t="s">
        <v>49</v>
      </c>
      <c r="S4" s="5" t="s">
        <v>50</v>
      </c>
      <c r="T4" s="5" t="s">
        <v>100</v>
      </c>
      <c r="U4" s="5" t="s">
        <v>50</v>
      </c>
      <c r="V4" s="5" t="s">
        <v>111</v>
      </c>
      <c r="W4" s="5"/>
      <c r="X4" s="5"/>
      <c r="Y4" s="5" t="s">
        <v>115</v>
      </c>
      <c r="Z4" s="7">
        <v>72707.600000000006</v>
      </c>
      <c r="AA4" s="7">
        <v>62032.38</v>
      </c>
      <c r="AB4" s="7">
        <v>8505.4599999999991</v>
      </c>
      <c r="AC4" s="6">
        <v>46133</v>
      </c>
      <c r="AD4" s="7">
        <v>2169.7600000000002</v>
      </c>
      <c r="AE4" s="4">
        <v>176</v>
      </c>
      <c r="AF4" s="5" t="s">
        <v>103</v>
      </c>
      <c r="AG4" s="5" t="s">
        <v>116</v>
      </c>
      <c r="AH4" s="5" t="s">
        <v>117</v>
      </c>
      <c r="AI4" s="5"/>
      <c r="AJ4" s="4">
        <v>563428910</v>
      </c>
      <c r="AK4" s="5" t="s">
        <v>104</v>
      </c>
      <c r="AL4" s="5" t="s">
        <v>105</v>
      </c>
      <c r="AM4" s="6">
        <v>46077</v>
      </c>
      <c r="AN4" s="5" t="s">
        <v>106</v>
      </c>
    </row>
    <row r="5" spans="1:40">
      <c r="A5" s="2" t="s">
        <v>41</v>
      </c>
      <c r="B5" s="2" t="s">
        <v>94</v>
      </c>
      <c r="C5" s="3">
        <v>46133</v>
      </c>
      <c r="D5" s="4">
        <v>551104780</v>
      </c>
      <c r="E5" s="5" t="s">
        <v>119</v>
      </c>
      <c r="F5" s="6">
        <v>46069</v>
      </c>
      <c r="G5" s="5" t="s">
        <v>120</v>
      </c>
      <c r="H5" s="5" t="s">
        <v>97</v>
      </c>
      <c r="I5" s="5" t="s">
        <v>120</v>
      </c>
      <c r="J5" s="5" t="s">
        <v>121</v>
      </c>
      <c r="K5" s="3"/>
      <c r="L5" s="12">
        <f ca="1">IF($O5="","",$O5-TODAY())</f>
        <v>154</v>
      </c>
      <c r="M5" s="12">
        <f ca="1">IF($C5="","",$C5+365-TODAY())</f>
        <v>218</v>
      </c>
      <c r="N5" s="12">
        <f ca="1">IF($C5="","",$C5+120-TODAY())</f>
        <v>-27</v>
      </c>
      <c r="O5" s="6">
        <v>46434</v>
      </c>
      <c r="P5" s="5" t="s">
        <v>49</v>
      </c>
      <c r="Q5" s="5" t="s">
        <v>99</v>
      </c>
      <c r="R5" s="5" t="s">
        <v>49</v>
      </c>
      <c r="S5" s="5" t="s">
        <v>50</v>
      </c>
      <c r="T5" s="5" t="s">
        <v>100</v>
      </c>
      <c r="U5" s="5" t="s">
        <v>50</v>
      </c>
      <c r="V5" s="5" t="s">
        <v>122</v>
      </c>
      <c r="W5" s="5" t="s">
        <v>123</v>
      </c>
      <c r="X5" s="5"/>
      <c r="Y5" s="5" t="s">
        <v>51</v>
      </c>
      <c r="Z5" s="7">
        <v>1082.98</v>
      </c>
      <c r="AA5" s="7">
        <v>17.32</v>
      </c>
      <c r="AB5" s="7">
        <v>849.06</v>
      </c>
      <c r="AC5" s="6">
        <v>46133</v>
      </c>
      <c r="AD5" s="7">
        <v>216.6</v>
      </c>
      <c r="AE5" s="4">
        <v>173</v>
      </c>
      <c r="AF5" s="5" t="s">
        <v>124</v>
      </c>
      <c r="AG5" s="5" t="s">
        <v>125</v>
      </c>
      <c r="AH5" s="5" t="s">
        <v>126</v>
      </c>
      <c r="AI5" s="5"/>
      <c r="AJ5" s="4">
        <v>566111704</v>
      </c>
      <c r="AK5" s="5" t="s">
        <v>104</v>
      </c>
      <c r="AL5" s="5" t="s">
        <v>105</v>
      </c>
      <c r="AM5" s="6">
        <v>46080</v>
      </c>
      <c r="AN5" s="5" t="s">
        <v>106</v>
      </c>
    </row>
    <row r="6" spans="1:40">
      <c r="A6" s="2" t="s">
        <v>128</v>
      </c>
      <c r="B6" s="2" t="s">
        <v>129</v>
      </c>
      <c r="C6" s="3">
        <v>46121</v>
      </c>
      <c r="D6" s="4">
        <v>553095408</v>
      </c>
      <c r="E6" s="5" t="s">
        <v>130</v>
      </c>
      <c r="F6" s="6">
        <v>46069</v>
      </c>
      <c r="G6" s="5" t="s">
        <v>131</v>
      </c>
      <c r="H6" s="5" t="s">
        <v>97</v>
      </c>
      <c r="I6" s="5" t="s">
        <v>131</v>
      </c>
      <c r="J6" s="5" t="s">
        <v>132</v>
      </c>
      <c r="K6" s="3">
        <v>46246</v>
      </c>
      <c r="L6" s="12">
        <f ca="1">IF($O6="","",$O6-TODAY())</f>
        <v>154</v>
      </c>
      <c r="M6" s="12">
        <f ca="1">IF($C6="","",$C6+365-TODAY())</f>
        <v>206</v>
      </c>
      <c r="N6" s="12">
        <f ca="1">IF($C6="","",$C6+120-TODAY())</f>
        <v>-39</v>
      </c>
      <c r="O6" s="6">
        <v>46434</v>
      </c>
      <c r="P6" s="5" t="s">
        <v>49</v>
      </c>
      <c r="Q6" s="5" t="s">
        <v>99</v>
      </c>
      <c r="R6" s="5" t="s">
        <v>49</v>
      </c>
      <c r="S6" s="5" t="s">
        <v>50</v>
      </c>
      <c r="T6" s="5" t="s">
        <v>100</v>
      </c>
      <c r="U6" s="5" t="s">
        <v>50</v>
      </c>
      <c r="V6" s="5" t="s">
        <v>111</v>
      </c>
      <c r="W6" s="5"/>
      <c r="X6" s="5"/>
      <c r="Y6" s="5" t="s">
        <v>133</v>
      </c>
      <c r="Z6" s="7">
        <v>18176.900000000001</v>
      </c>
      <c r="AA6" s="7">
        <v>15508.1</v>
      </c>
      <c r="AB6" s="7">
        <v>542.44000000000005</v>
      </c>
      <c r="AC6" s="6">
        <v>46121</v>
      </c>
      <c r="AD6" s="7">
        <v>2126.36</v>
      </c>
      <c r="AE6" s="4">
        <v>173</v>
      </c>
      <c r="AF6" s="5" t="s">
        <v>103</v>
      </c>
      <c r="AG6" s="5" t="s">
        <v>117</v>
      </c>
      <c r="AH6" s="5"/>
      <c r="AI6" s="5"/>
      <c r="AJ6" s="4">
        <v>557144068</v>
      </c>
      <c r="AK6" s="5" t="s">
        <v>134</v>
      </c>
      <c r="AL6" s="5" t="s">
        <v>135</v>
      </c>
      <c r="AM6" s="6">
        <v>46099</v>
      </c>
      <c r="AN6" s="5" t="s">
        <v>106</v>
      </c>
    </row>
    <row r="7" spans="1:40">
      <c r="A7" s="2" t="s">
        <v>41</v>
      </c>
      <c r="B7" s="2" t="s">
        <v>137</v>
      </c>
      <c r="C7" s="3">
        <v>46101</v>
      </c>
      <c r="D7" s="4">
        <v>550127169</v>
      </c>
      <c r="E7" s="5" t="s">
        <v>138</v>
      </c>
      <c r="F7" s="6">
        <v>46071</v>
      </c>
      <c r="G7" s="5" t="s">
        <v>97</v>
      </c>
      <c r="H7" s="5" t="s">
        <v>97</v>
      </c>
      <c r="I7" s="5" t="s">
        <v>139</v>
      </c>
      <c r="J7" s="5" t="s">
        <v>140</v>
      </c>
      <c r="K7" s="3"/>
      <c r="L7" s="12">
        <f ca="1">IF($O7="","",$O7-TODAY())</f>
        <v>156</v>
      </c>
      <c r="M7" s="12">
        <f ca="1">IF($C7="","",$C7+365-TODAY())</f>
        <v>186</v>
      </c>
      <c r="N7" s="12">
        <f ca="1">IF($C7="","",$C7+120-TODAY())</f>
        <v>-59</v>
      </c>
      <c r="O7" s="6">
        <v>46436</v>
      </c>
      <c r="P7" s="5" t="s">
        <v>49</v>
      </c>
      <c r="Q7" s="5" t="s">
        <v>99</v>
      </c>
      <c r="R7" s="5" t="s">
        <v>49</v>
      </c>
      <c r="S7" s="5" t="s">
        <v>50</v>
      </c>
      <c r="T7" s="5" t="s">
        <v>100</v>
      </c>
      <c r="U7" s="5" t="s">
        <v>50</v>
      </c>
      <c r="V7" s="5" t="s">
        <v>122</v>
      </c>
      <c r="W7" s="5"/>
      <c r="X7" s="5"/>
      <c r="Y7" s="5" t="s">
        <v>51</v>
      </c>
      <c r="Z7" s="7">
        <v>6392.96</v>
      </c>
      <c r="AA7" s="7">
        <v>0</v>
      </c>
      <c r="AB7" s="7">
        <v>0</v>
      </c>
      <c r="AC7" s="6">
        <v>46101</v>
      </c>
      <c r="AD7" s="7">
        <v>6392.96</v>
      </c>
      <c r="AE7" s="4">
        <v>171</v>
      </c>
      <c r="AF7" s="5" t="s">
        <v>141</v>
      </c>
      <c r="AG7" s="5"/>
      <c r="AH7" s="5"/>
      <c r="AI7" s="5"/>
      <c r="AJ7" s="4"/>
      <c r="AK7" s="5" t="s">
        <v>142</v>
      </c>
      <c r="AL7" s="5" t="s">
        <v>143</v>
      </c>
      <c r="AM7" s="6">
        <v>46093</v>
      </c>
      <c r="AN7" s="5" t="s">
        <v>106</v>
      </c>
    </row>
    <row r="8" spans="1:40">
      <c r="A8" s="2" t="s">
        <v>41</v>
      </c>
      <c r="B8" s="2" t="s">
        <v>145</v>
      </c>
      <c r="C8" s="3">
        <v>46147</v>
      </c>
      <c r="D8" s="4">
        <v>557715576</v>
      </c>
      <c r="E8" s="5" t="s">
        <v>146</v>
      </c>
      <c r="F8" s="6">
        <v>46076</v>
      </c>
      <c r="G8" s="5" t="s">
        <v>147</v>
      </c>
      <c r="H8" s="5" t="s">
        <v>147</v>
      </c>
      <c r="I8" s="5" t="s">
        <v>44</v>
      </c>
      <c r="J8" s="5" t="s">
        <v>114</v>
      </c>
      <c r="K8" s="3"/>
      <c r="L8" s="12">
        <f ca="1">IF($O8="","",$O8-TODAY())</f>
        <v>161</v>
      </c>
      <c r="M8" s="12">
        <f ca="1">IF($C8="","",$C8+365-TODAY())</f>
        <v>232</v>
      </c>
      <c r="N8" s="12">
        <f ca="1">IF($C8="","",$C8+120-TODAY())</f>
        <v>-13</v>
      </c>
      <c r="O8" s="6">
        <v>46441</v>
      </c>
      <c r="P8" s="5" t="s">
        <v>49</v>
      </c>
      <c r="Q8" s="5" t="s">
        <v>99</v>
      </c>
      <c r="R8" s="5" t="s">
        <v>49</v>
      </c>
      <c r="S8" s="5" t="s">
        <v>50</v>
      </c>
      <c r="T8" s="5" t="s">
        <v>100</v>
      </c>
      <c r="U8" s="5" t="s">
        <v>50</v>
      </c>
      <c r="V8" s="5" t="s">
        <v>111</v>
      </c>
      <c r="W8" s="5"/>
      <c r="X8" s="5"/>
      <c r="Y8" s="5" t="s">
        <v>115</v>
      </c>
      <c r="Z8" s="7">
        <v>72707.600000000006</v>
      </c>
      <c r="AA8" s="7">
        <v>0</v>
      </c>
      <c r="AB8" s="7">
        <v>0</v>
      </c>
      <c r="AC8" s="6">
        <v>46147</v>
      </c>
      <c r="AD8" s="7">
        <v>72707.600000000006</v>
      </c>
      <c r="AE8" s="4">
        <v>166</v>
      </c>
      <c r="AF8" s="5" t="s">
        <v>103</v>
      </c>
      <c r="AG8" s="5" t="s">
        <v>117</v>
      </c>
      <c r="AH8" s="5"/>
      <c r="AI8" s="5"/>
      <c r="AJ8" s="4"/>
      <c r="AK8" s="5" t="s">
        <v>148</v>
      </c>
      <c r="AL8" s="5" t="s">
        <v>149</v>
      </c>
      <c r="AM8" s="6">
        <v>46085</v>
      </c>
      <c r="AN8" s="5" t="s">
        <v>106</v>
      </c>
    </row>
    <row r="9" spans="1:40">
      <c r="A9" s="2" t="s">
        <v>349</v>
      </c>
      <c r="B9" s="2" t="s">
        <v>350</v>
      </c>
      <c r="C9" s="3">
        <v>46227</v>
      </c>
      <c r="D9" s="4">
        <v>565140993</v>
      </c>
      <c r="E9" s="5" t="s">
        <v>152</v>
      </c>
      <c r="F9" s="6">
        <v>46069</v>
      </c>
      <c r="G9" s="5" t="s">
        <v>44</v>
      </c>
      <c r="H9" s="5" t="s">
        <v>44</v>
      </c>
      <c r="I9" s="5" t="s">
        <v>45</v>
      </c>
      <c r="J9" s="5" t="s">
        <v>153</v>
      </c>
      <c r="K9" s="3">
        <v>46196</v>
      </c>
      <c r="L9" s="12">
        <f ca="1">IF($O9="","",$O9-TODAY())</f>
        <v>-121</v>
      </c>
      <c r="M9" s="12">
        <f ca="1">IF($F9="","",$F9+90-TODAY())</f>
        <v>-124</v>
      </c>
      <c r="N9" s="12">
        <f ca="1">IF($C9="","",$C9+365-TODAY())</f>
        <v>309</v>
      </c>
      <c r="O9" s="6">
        <v>46159</v>
      </c>
      <c r="P9" s="5" t="s">
        <v>47</v>
      </c>
      <c r="Q9" s="5" t="s">
        <v>48</v>
      </c>
      <c r="R9" s="5" t="s">
        <v>47</v>
      </c>
      <c r="S9" s="5" t="s">
        <v>252</v>
      </c>
      <c r="T9" s="5" t="s">
        <v>49</v>
      </c>
      <c r="U9" s="5" t="s">
        <v>50</v>
      </c>
      <c r="V9" s="5" t="s">
        <v>122</v>
      </c>
      <c r="W9" s="5"/>
      <c r="X9" s="5"/>
      <c r="Y9" s="5" t="s">
        <v>51</v>
      </c>
      <c r="Z9" s="7">
        <v>5492.55</v>
      </c>
      <c r="AA9" s="7">
        <v>0</v>
      </c>
      <c r="AB9" s="7">
        <v>0</v>
      </c>
      <c r="AC9" s="6"/>
      <c r="AD9" s="7">
        <v>5492.55</v>
      </c>
      <c r="AE9" s="4">
        <v>173</v>
      </c>
      <c r="AF9" s="5" t="s">
        <v>154</v>
      </c>
      <c r="AG9" s="5" t="s">
        <v>155</v>
      </c>
      <c r="AH9" s="5"/>
      <c r="AI9" s="5"/>
      <c r="AJ9" s="4"/>
      <c r="AK9" s="5" t="s">
        <v>156</v>
      </c>
      <c r="AL9" s="5" t="s">
        <v>157</v>
      </c>
      <c r="AM9" s="6">
        <v>46080</v>
      </c>
      <c r="AN9" s="5" t="s">
        <v>106</v>
      </c>
    </row>
    <row r="10" spans="1:40">
      <c r="A10" s="2" t="s">
        <v>41</v>
      </c>
      <c r="B10" s="2" t="s">
        <v>159</v>
      </c>
      <c r="C10" s="3">
        <v>46106</v>
      </c>
      <c r="D10" s="4">
        <v>550530483</v>
      </c>
      <c r="E10" s="5" t="s">
        <v>160</v>
      </c>
      <c r="F10" s="6">
        <v>46072</v>
      </c>
      <c r="G10" s="5" t="s">
        <v>161</v>
      </c>
      <c r="H10" s="5" t="s">
        <v>161</v>
      </c>
      <c r="I10" s="5" t="s">
        <v>45</v>
      </c>
      <c r="J10" s="5" t="s">
        <v>98</v>
      </c>
      <c r="K10" s="3">
        <v>46197</v>
      </c>
      <c r="L10" s="12">
        <f ca="1">IF($O10="","",$O10-TODAY())</f>
        <v>-118</v>
      </c>
      <c r="M10" s="12">
        <f ca="1">IF($C10="","",$C10+180-TODAY())</f>
        <v>6</v>
      </c>
      <c r="N10" s="12">
        <f ca="1">IF($C10="","",$C10+365-TODAY())</f>
        <v>191</v>
      </c>
      <c r="O10" s="6">
        <v>46162</v>
      </c>
      <c r="P10" s="5" t="s">
        <v>47</v>
      </c>
      <c r="Q10" s="5" t="s">
        <v>162</v>
      </c>
      <c r="R10" s="5" t="s">
        <v>163</v>
      </c>
      <c r="S10" s="5" t="s">
        <v>50</v>
      </c>
      <c r="T10" s="5" t="s">
        <v>49</v>
      </c>
      <c r="U10" s="5" t="s">
        <v>50</v>
      </c>
      <c r="V10" s="5" t="s">
        <v>101</v>
      </c>
      <c r="W10" s="5"/>
      <c r="X10" s="5"/>
      <c r="Y10" s="5" t="s">
        <v>102</v>
      </c>
      <c r="Z10" s="7">
        <v>5916.4</v>
      </c>
      <c r="AA10" s="7">
        <v>0</v>
      </c>
      <c r="AB10" s="7">
        <v>0</v>
      </c>
      <c r="AC10" s="6">
        <v>46106</v>
      </c>
      <c r="AD10" s="7">
        <v>5916.4</v>
      </c>
      <c r="AE10" s="4">
        <v>170</v>
      </c>
      <c r="AF10" s="5" t="s">
        <v>103</v>
      </c>
      <c r="AG10" s="5" t="s">
        <v>164</v>
      </c>
      <c r="AH10" s="5"/>
      <c r="AI10" s="5"/>
      <c r="AJ10" s="4"/>
      <c r="AK10" s="5" t="s">
        <v>165</v>
      </c>
      <c r="AL10" s="5" t="s">
        <v>61</v>
      </c>
      <c r="AM10" s="6">
        <v>46077</v>
      </c>
      <c r="AN10" s="5" t="s">
        <v>106</v>
      </c>
    </row>
    <row r="11" spans="1:40">
      <c r="A11" s="2" t="s">
        <v>41</v>
      </c>
      <c r="B11" s="2" t="s">
        <v>167</v>
      </c>
      <c r="C11" s="3">
        <v>46149</v>
      </c>
      <c r="D11" s="4">
        <v>556897081</v>
      </c>
      <c r="E11" s="5" t="s">
        <v>168</v>
      </c>
      <c r="F11" s="6">
        <v>46062</v>
      </c>
      <c r="G11" s="5" t="s">
        <v>169</v>
      </c>
      <c r="H11" s="5" t="s">
        <v>169</v>
      </c>
      <c r="I11" s="5" t="s">
        <v>45</v>
      </c>
      <c r="J11" s="5" t="s">
        <v>170</v>
      </c>
      <c r="K11" s="3">
        <v>46134</v>
      </c>
      <c r="L11" s="12" t="str">
        <f ca="1">IF($O11="","",$O11-TODAY())</f>
        <v/>
      </c>
      <c r="M11" s="12"/>
      <c r="N11" s="12"/>
      <c r="O11" s="6"/>
      <c r="P11" s="5"/>
      <c r="Q11" s="5" t="s">
        <v>171</v>
      </c>
      <c r="R11" s="5"/>
      <c r="S11" s="5"/>
      <c r="T11" s="5"/>
      <c r="U11" s="5"/>
      <c r="V11" s="5" t="s">
        <v>111</v>
      </c>
      <c r="W11" s="5"/>
      <c r="X11" s="5"/>
      <c r="Y11" s="5" t="s">
        <v>102</v>
      </c>
      <c r="Z11" s="7">
        <v>5424.4</v>
      </c>
      <c r="AA11" s="7">
        <v>0</v>
      </c>
      <c r="AB11" s="7">
        <v>0</v>
      </c>
      <c r="AC11" s="6">
        <v>46149</v>
      </c>
      <c r="AD11" s="7">
        <v>5424.4</v>
      </c>
      <c r="AE11" s="4">
        <v>180</v>
      </c>
      <c r="AF11" s="5" t="s">
        <v>103</v>
      </c>
      <c r="AG11" s="5"/>
      <c r="AH11" s="5"/>
      <c r="AI11" s="5"/>
      <c r="AJ11" s="4"/>
      <c r="AK11" s="5" t="s">
        <v>172</v>
      </c>
      <c r="AL11" s="5" t="s">
        <v>54</v>
      </c>
      <c r="AM11" s="6">
        <v>46063</v>
      </c>
      <c r="AN11" s="5" t="s">
        <v>106</v>
      </c>
    </row>
    <row r="12" spans="1:40">
      <c r="A12" s="2" t="s">
        <v>41</v>
      </c>
      <c r="B12" s="2" t="s">
        <v>174</v>
      </c>
      <c r="C12" s="3">
        <v>46112</v>
      </c>
      <c r="D12" s="4">
        <v>553079628</v>
      </c>
      <c r="E12" s="5" t="s">
        <v>175</v>
      </c>
      <c r="F12" s="6">
        <v>46064</v>
      </c>
      <c r="G12" s="5" t="s">
        <v>169</v>
      </c>
      <c r="H12" s="5" t="s">
        <v>169</v>
      </c>
      <c r="I12" s="5" t="s">
        <v>45</v>
      </c>
      <c r="J12" s="5" t="s">
        <v>176</v>
      </c>
      <c r="K12" s="3">
        <v>46244</v>
      </c>
      <c r="L12" s="12" t="str">
        <f ca="1">IF($O12="","",$O12-TODAY())</f>
        <v/>
      </c>
      <c r="M12" s="12"/>
      <c r="N12" s="12"/>
      <c r="O12" s="6"/>
      <c r="P12" s="5"/>
      <c r="Q12" s="5" t="s">
        <v>171</v>
      </c>
      <c r="R12" s="5"/>
      <c r="S12" s="5"/>
      <c r="T12" s="5"/>
      <c r="U12" s="5"/>
      <c r="V12" s="5" t="s">
        <v>101</v>
      </c>
      <c r="W12" s="5"/>
      <c r="X12" s="5"/>
      <c r="Y12" s="5" t="s">
        <v>133</v>
      </c>
      <c r="Z12" s="7">
        <v>18176.900000000001</v>
      </c>
      <c r="AA12" s="7">
        <v>0</v>
      </c>
      <c r="AB12" s="7">
        <v>0</v>
      </c>
      <c r="AC12" s="6">
        <v>46112</v>
      </c>
      <c r="AD12" s="7">
        <v>18176.900000000001</v>
      </c>
      <c r="AE12" s="4">
        <v>178</v>
      </c>
      <c r="AF12" s="5" t="s">
        <v>103</v>
      </c>
      <c r="AG12" s="5" t="s">
        <v>177</v>
      </c>
      <c r="AH12" s="5"/>
      <c r="AI12" s="5"/>
      <c r="AJ12" s="4"/>
      <c r="AK12" s="5" t="s">
        <v>178</v>
      </c>
      <c r="AL12" s="5" t="s">
        <v>179</v>
      </c>
      <c r="AM12" s="6">
        <v>46099</v>
      </c>
      <c r="AN12" s="5" t="s">
        <v>106</v>
      </c>
    </row>
  </sheetData>
  <autoFilter ref="A1:AN12" xr:uid="{00000000-0009-0000-0000-000001000000}"/>
  <conditionalFormatting sqref="L2:L12">
    <cfRule type="expression" dxfId="79" priority="1">
      <formula>AND($L2&lt;&gt;"", $L2&gt;=0, $L2&lt;=5)</formula>
    </cfRule>
    <cfRule type="expression" dxfId="78" priority="2">
      <formula>AND($L2&lt;&gt;"", $L2&gt;5, $L2&lt;=30)</formula>
    </cfRule>
    <cfRule type="expression" dxfId="77" priority="3">
      <formula>AND($L2&lt;&gt;"", $L2&gt;30)</formula>
    </cfRule>
    <cfRule type="expression" dxfId="76" priority="4">
      <formula>AND($L2&lt;&gt;"", $L2&lt;0)</formula>
    </cfRule>
    <cfRule type="expression" dxfId="75" priority="5">
      <formula>$L2=""</formula>
    </cfRule>
  </conditionalFormatting>
  <conditionalFormatting sqref="M2:M12">
    <cfRule type="expression" dxfId="74" priority="6">
      <formula>AND($M2&lt;&gt;"", $M2&gt;=0, $M2&lt;=5)</formula>
    </cfRule>
    <cfRule type="expression" dxfId="73" priority="7">
      <formula>AND($M2&lt;&gt;"", $M2&gt;5, $M2&lt;=30)</formula>
    </cfRule>
    <cfRule type="expression" dxfId="72" priority="8">
      <formula>AND($M2&lt;&gt;"", $M2&gt;30)</formula>
    </cfRule>
    <cfRule type="expression" dxfId="71" priority="9">
      <formula>AND($M2&lt;&gt;"", $M2&lt;0)</formula>
    </cfRule>
    <cfRule type="expression" dxfId="70" priority="10">
      <formula>$M2=""</formula>
    </cfRule>
  </conditionalFormatting>
  <conditionalFormatting sqref="N2:N12">
    <cfRule type="expression" dxfId="69" priority="11">
      <formula>AND($N2&lt;&gt;"", $N2&gt;=0, $N2&lt;=5)</formula>
    </cfRule>
    <cfRule type="expression" dxfId="68" priority="12">
      <formula>AND($N2&lt;&gt;"", $N2&gt;5, $N2&lt;=30)</formula>
    </cfRule>
    <cfRule type="expression" dxfId="67" priority="13">
      <formula>AND($N2&lt;&gt;"", $N2&gt;30)</formula>
    </cfRule>
    <cfRule type="expression" dxfId="66" priority="14">
      <formula>AND($N2&lt;&gt;"", $N2&lt;0)</formula>
    </cfRule>
    <cfRule type="expression" dxfId="65" priority="15">
      <formula>$N2=""</formula>
    </cfRule>
  </conditionalFormatting>
  <conditionalFormatting sqref="O2:U12">
    <cfRule type="expression" dxfId="64" priority="16">
      <formula>AND($L2&lt;&gt;"", $L2&gt;=0, $L2&lt;=5)</formula>
    </cfRule>
    <cfRule type="expression" dxfId="63" priority="17">
      <formula>AND($L2&lt;&gt;"", $L2&gt;5, $L2&lt;=30)</formula>
    </cfRule>
    <cfRule type="expression" dxfId="62" priority="18">
      <formula>AND($L2&lt;&gt;"", $L2&gt;30)</formula>
    </cfRule>
    <cfRule type="expression" dxfId="61" priority="19">
      <formula>AND($L2&lt;&gt;"", $L2&lt;0)</formula>
    </cfRule>
    <cfRule type="expression" dxfId="60" priority="20">
      <formula>$L2=""</formula>
    </cfRule>
  </conditionalFormatting>
  <dataValidations count="1">
    <dataValidation type="list" allowBlank="1" showInputMessage="1" promptTitle="Claim Status" prompt="Pick a status, or type a new one." sqref="A2:A12" xr:uid="{00000000-0002-0000-0100-000000000000}">
      <formula1>"Denied,Finalized,PAID,Pending,Received,Rejected,Under Review"</formula1>
    </dataValidation>
  </dataValidations>
  <pageMargins left="0.75" right="0.75" top="1" bottom="1" header="0.5" footer="0.5"/>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N6"/>
  <sheetViews>
    <sheetView zoomScale="90" workbookViewId="0">
      <pane xSplit="2" ySplit="1" topLeftCell="C2" activePane="bottomRight" state="frozen"/>
      <selection pane="bottomRight"/>
      <selection pane="bottomLeft"/>
      <selection pane="topRight"/>
    </sheetView>
  </sheetViews>
  <sheetFormatPr defaultRowHeight="15"/>
  <cols>
    <col min="1" max="1" width="14" customWidth="1"/>
    <col min="2" max="2" width="55" customWidth="1"/>
    <col min="3" max="3" width="15" customWidth="1"/>
    <col min="4" max="4" width="18" customWidth="1"/>
    <col min="5" max="5" width="14" customWidth="1"/>
    <col min="6" max="6" width="17" customWidth="1"/>
    <col min="7" max="7" width="31.28515625" customWidth="1"/>
    <col min="8" max="8" width="30.85546875" customWidth="1"/>
    <col min="9" max="9" width="40" hidden="1" customWidth="1"/>
    <col min="10" max="10" width="42" customWidth="1"/>
    <col min="11" max="11" width="14" customWidth="1"/>
    <col min="12" max="12" width="12" customWidth="1"/>
    <col min="13" max="13" width="18.5703125" customWidth="1"/>
    <col min="14" max="14" width="14.85546875" customWidth="1"/>
    <col min="15" max="15" width="17" hidden="1" customWidth="1"/>
    <col min="16" max="16" width="14" hidden="1" customWidth="1"/>
    <col min="17" max="17" width="30" hidden="1" customWidth="1"/>
    <col min="18" max="18" width="14" hidden="1" customWidth="1"/>
    <col min="19" max="19" width="16" hidden="1" customWidth="1"/>
    <col min="20" max="20" width="13" hidden="1" customWidth="1"/>
    <col min="21" max="21" width="16" hidden="1" customWidth="1"/>
    <col min="22" max="24" width="11" customWidth="1"/>
    <col min="25" max="25" width="10" customWidth="1"/>
    <col min="26" max="26" width="15" customWidth="1"/>
    <col min="27" max="27" width="12" customWidth="1"/>
    <col min="28" max="28" width="19" customWidth="1"/>
    <col min="29" max="29" width="22" customWidth="1"/>
    <col min="30" max="30" width="19" customWidth="1"/>
    <col min="31" max="31" width="24" customWidth="1"/>
    <col min="32" max="35" width="16" customWidth="1"/>
    <col min="36" max="36" width="20" customWidth="1"/>
    <col min="37" max="37" width="22" customWidth="1"/>
    <col min="38" max="38" width="24" customWidth="1"/>
    <col min="39" max="39" width="14" customWidth="1"/>
    <col min="40" max="40" width="11" customWidth="1"/>
  </cols>
  <sheetData>
    <row r="1" spans="1:40" ht="30" customHeight="1">
      <c r="A1" s="11" t="s">
        <v>0</v>
      </c>
      <c r="B1" s="11" t="s">
        <v>1</v>
      </c>
      <c r="C1" s="11" t="s">
        <v>2</v>
      </c>
      <c r="D1" s="11" t="s">
        <v>3</v>
      </c>
      <c r="E1" s="11" t="s">
        <v>4</v>
      </c>
      <c r="F1" s="11" t="s">
        <v>5</v>
      </c>
      <c r="G1" s="11" t="s">
        <v>6</v>
      </c>
      <c r="H1" s="11" t="s">
        <v>7</v>
      </c>
      <c r="I1" s="11" t="s">
        <v>8</v>
      </c>
      <c r="J1" s="11" t="s">
        <v>9</v>
      </c>
      <c r="K1" s="1" t="s">
        <v>10</v>
      </c>
      <c r="L1" s="1" t="s">
        <v>11</v>
      </c>
      <c r="M1" s="1" t="s">
        <v>12</v>
      </c>
      <c r="N1" s="1" t="s">
        <v>13</v>
      </c>
      <c r="O1" s="11" t="s">
        <v>14</v>
      </c>
      <c r="P1" s="11" t="s">
        <v>15</v>
      </c>
      <c r="Q1" s="11" t="s">
        <v>16</v>
      </c>
      <c r="R1" s="11" t="s">
        <v>17</v>
      </c>
      <c r="S1" s="11" t="s">
        <v>18</v>
      </c>
      <c r="T1" s="11" t="s">
        <v>19</v>
      </c>
      <c r="U1" s="11" t="s">
        <v>20</v>
      </c>
      <c r="V1" s="11" t="s">
        <v>21</v>
      </c>
      <c r="W1" s="11" t="s">
        <v>22</v>
      </c>
      <c r="X1" s="11" t="s">
        <v>23</v>
      </c>
      <c r="Y1" s="11" t="s">
        <v>24</v>
      </c>
      <c r="Z1" s="11" t="s">
        <v>25</v>
      </c>
      <c r="AA1" s="11" t="s">
        <v>26</v>
      </c>
      <c r="AB1" s="11" t="s">
        <v>27</v>
      </c>
      <c r="AC1" s="11" t="s">
        <v>28</v>
      </c>
      <c r="AD1" s="11" t="s">
        <v>29</v>
      </c>
      <c r="AE1" s="11" t="s">
        <v>30</v>
      </c>
      <c r="AF1" s="11" t="s">
        <v>31</v>
      </c>
      <c r="AG1" s="11" t="s">
        <v>32</v>
      </c>
      <c r="AH1" s="11" t="s">
        <v>33</v>
      </c>
      <c r="AI1" s="11" t="s">
        <v>34</v>
      </c>
      <c r="AJ1" s="11" t="s">
        <v>35</v>
      </c>
      <c r="AK1" s="11" t="s">
        <v>36</v>
      </c>
      <c r="AL1" s="11" t="s">
        <v>37</v>
      </c>
      <c r="AM1" s="11" t="s">
        <v>38</v>
      </c>
      <c r="AN1" s="11" t="s">
        <v>39</v>
      </c>
    </row>
    <row r="2" spans="1:40">
      <c r="A2" s="2" t="s">
        <v>181</v>
      </c>
      <c r="B2" s="2"/>
      <c r="C2" s="3">
        <v>46135</v>
      </c>
      <c r="D2" s="4">
        <v>549217008</v>
      </c>
      <c r="E2" s="5" t="s">
        <v>182</v>
      </c>
      <c r="F2" s="6">
        <v>46055</v>
      </c>
      <c r="G2" s="5" t="s">
        <v>183</v>
      </c>
      <c r="H2" s="5" t="s">
        <v>184</v>
      </c>
      <c r="I2" s="5" t="s">
        <v>183</v>
      </c>
      <c r="J2" s="5" t="s">
        <v>185</v>
      </c>
      <c r="K2" s="3"/>
      <c r="L2" s="12">
        <f ca="1">IF($O2="","",$O2-TODAY())</f>
        <v>140</v>
      </c>
      <c r="M2" s="12">
        <f ca="1">IF($C2="","",$C2+365-TODAY())</f>
        <v>220</v>
      </c>
      <c r="N2" s="12">
        <f ca="1">IF($C2="","",$C2+120-TODAY())</f>
        <v>-25</v>
      </c>
      <c r="O2" s="6">
        <v>46420</v>
      </c>
      <c r="P2" s="5" t="s">
        <v>49</v>
      </c>
      <c r="Q2" s="5" t="s">
        <v>99</v>
      </c>
      <c r="R2" s="5" t="s">
        <v>49</v>
      </c>
      <c r="S2" s="5" t="s">
        <v>50</v>
      </c>
      <c r="T2" s="5" t="s">
        <v>100</v>
      </c>
      <c r="U2" s="5" t="s">
        <v>50</v>
      </c>
      <c r="V2" s="5" t="s">
        <v>186</v>
      </c>
      <c r="W2" s="5" t="s">
        <v>187</v>
      </c>
      <c r="X2" s="5" t="s">
        <v>188</v>
      </c>
      <c r="Y2" s="5" t="s">
        <v>189</v>
      </c>
      <c r="Z2" s="7">
        <v>67599.91</v>
      </c>
      <c r="AA2" s="7">
        <v>66731.289999999994</v>
      </c>
      <c r="AB2" s="7">
        <v>867.75</v>
      </c>
      <c r="AC2" s="6">
        <v>46135</v>
      </c>
      <c r="AD2" s="7">
        <v>0.87</v>
      </c>
      <c r="AE2" s="4">
        <v>187</v>
      </c>
      <c r="AF2" s="5" t="s">
        <v>190</v>
      </c>
      <c r="AG2" s="5" t="s">
        <v>191</v>
      </c>
      <c r="AH2" s="5" t="s">
        <v>192</v>
      </c>
      <c r="AI2" s="5"/>
      <c r="AJ2" s="4">
        <v>551630132</v>
      </c>
      <c r="AK2" s="5" t="s">
        <v>193</v>
      </c>
      <c r="AL2" s="5" t="s">
        <v>194</v>
      </c>
      <c r="AM2" s="6">
        <v>46064</v>
      </c>
      <c r="AN2" s="5" t="s">
        <v>195</v>
      </c>
    </row>
    <row r="3" spans="1:40">
      <c r="A3" s="2" t="s">
        <v>41</v>
      </c>
      <c r="B3" s="2" t="s">
        <v>197</v>
      </c>
      <c r="C3" s="3">
        <v>46155</v>
      </c>
      <c r="D3" s="4">
        <v>549217692</v>
      </c>
      <c r="E3" s="5" t="s">
        <v>198</v>
      </c>
      <c r="F3" s="6">
        <v>46055</v>
      </c>
      <c r="G3" s="5" t="s">
        <v>199</v>
      </c>
      <c r="H3" s="5" t="s">
        <v>199</v>
      </c>
      <c r="I3" s="5" t="s">
        <v>200</v>
      </c>
      <c r="J3" s="5" t="s">
        <v>201</v>
      </c>
      <c r="K3" s="3">
        <v>46142</v>
      </c>
      <c r="L3" s="12">
        <f ca="1">IF($O3="","",$O3-TODAY())</f>
        <v>140</v>
      </c>
      <c r="M3" s="12">
        <f ca="1">IF($C3="","",$C3+180-TODAY())</f>
        <v>55</v>
      </c>
      <c r="N3" s="12">
        <f ca="1">IF($C3="","",$C3+365-TODAY())</f>
        <v>240</v>
      </c>
      <c r="O3" s="6">
        <v>46420</v>
      </c>
      <c r="P3" s="5" t="s">
        <v>49</v>
      </c>
      <c r="Q3" s="5" t="s">
        <v>202</v>
      </c>
      <c r="R3" s="5" t="s">
        <v>163</v>
      </c>
      <c r="S3" s="5" t="s">
        <v>50</v>
      </c>
      <c r="T3" s="5" t="s">
        <v>49</v>
      </c>
      <c r="U3" s="5" t="s">
        <v>50</v>
      </c>
      <c r="V3" s="5" t="s">
        <v>186</v>
      </c>
      <c r="W3" s="5" t="s">
        <v>203</v>
      </c>
      <c r="X3" s="5" t="s">
        <v>188</v>
      </c>
      <c r="Y3" s="5" t="s">
        <v>204</v>
      </c>
      <c r="Z3" s="7">
        <v>14982.38</v>
      </c>
      <c r="AA3" s="7">
        <v>0</v>
      </c>
      <c r="AB3" s="7">
        <v>0</v>
      </c>
      <c r="AC3" s="6">
        <v>46155</v>
      </c>
      <c r="AD3" s="7">
        <v>14982.38</v>
      </c>
      <c r="AE3" s="4">
        <v>187</v>
      </c>
      <c r="AF3" s="5" t="s">
        <v>190</v>
      </c>
      <c r="AG3" s="5" t="s">
        <v>191</v>
      </c>
      <c r="AH3" s="5" t="s">
        <v>192</v>
      </c>
      <c r="AI3" s="5"/>
      <c r="AJ3" s="4"/>
      <c r="AK3" s="5" t="s">
        <v>193</v>
      </c>
      <c r="AL3" s="5" t="s">
        <v>194</v>
      </c>
      <c r="AM3" s="6">
        <v>46064</v>
      </c>
      <c r="AN3" s="5" t="s">
        <v>195</v>
      </c>
    </row>
    <row r="4" spans="1:40">
      <c r="A4" s="2" t="s">
        <v>41</v>
      </c>
      <c r="B4" s="2" t="s">
        <v>206</v>
      </c>
      <c r="C4" s="3">
        <v>46126</v>
      </c>
      <c r="D4" s="4">
        <v>549219539</v>
      </c>
      <c r="E4" s="5" t="s">
        <v>207</v>
      </c>
      <c r="F4" s="6">
        <v>46062</v>
      </c>
      <c r="G4" s="5" t="s">
        <v>184</v>
      </c>
      <c r="H4" s="5" t="s">
        <v>184</v>
      </c>
      <c r="I4" s="5" t="s">
        <v>120</v>
      </c>
      <c r="J4" s="5" t="s">
        <v>208</v>
      </c>
      <c r="K4" s="3">
        <v>46258</v>
      </c>
      <c r="L4" s="12">
        <f ca="1">IF($O4="","",$O4-TODAY())</f>
        <v>147</v>
      </c>
      <c r="M4" s="12">
        <f ca="1">IF($C4="","",$C4+365-TODAY())</f>
        <v>211</v>
      </c>
      <c r="N4" s="12">
        <f ca="1">IF($C4="","",$C4+120-TODAY())</f>
        <v>-34</v>
      </c>
      <c r="O4" s="6">
        <v>46427</v>
      </c>
      <c r="P4" s="5" t="s">
        <v>49</v>
      </c>
      <c r="Q4" s="5" t="s">
        <v>99</v>
      </c>
      <c r="R4" s="5" t="s">
        <v>49</v>
      </c>
      <c r="S4" s="5" t="s">
        <v>50</v>
      </c>
      <c r="T4" s="5" t="s">
        <v>100</v>
      </c>
      <c r="U4" s="5" t="s">
        <v>50</v>
      </c>
      <c r="V4" s="5" t="s">
        <v>209</v>
      </c>
      <c r="W4" s="5"/>
      <c r="X4" s="5"/>
      <c r="Y4" s="5" t="s">
        <v>210</v>
      </c>
      <c r="Z4" s="7">
        <v>813.54</v>
      </c>
      <c r="AA4" s="7">
        <v>0</v>
      </c>
      <c r="AB4" s="7">
        <v>0</v>
      </c>
      <c r="AC4" s="6">
        <v>46126</v>
      </c>
      <c r="AD4" s="7">
        <v>813.54</v>
      </c>
      <c r="AE4" s="4">
        <v>180</v>
      </c>
      <c r="AF4" s="5" t="s">
        <v>192</v>
      </c>
      <c r="AG4" s="5" t="s">
        <v>191</v>
      </c>
      <c r="AH4" s="5"/>
      <c r="AI4" s="5"/>
      <c r="AJ4" s="4"/>
      <c r="AK4" s="5" t="s">
        <v>193</v>
      </c>
      <c r="AL4" s="5" t="s">
        <v>211</v>
      </c>
      <c r="AM4" s="6">
        <v>46065</v>
      </c>
      <c r="AN4" s="5" t="s">
        <v>195</v>
      </c>
    </row>
    <row r="5" spans="1:40">
      <c r="A5" s="2" t="s">
        <v>41</v>
      </c>
      <c r="B5" s="2" t="s">
        <v>213</v>
      </c>
      <c r="C5" s="3">
        <v>46155</v>
      </c>
      <c r="D5" s="4">
        <v>551974048</v>
      </c>
      <c r="E5" s="5" t="s">
        <v>198</v>
      </c>
      <c r="F5" s="6">
        <v>46069</v>
      </c>
      <c r="G5" s="5" t="s">
        <v>199</v>
      </c>
      <c r="H5" s="5" t="s">
        <v>199</v>
      </c>
      <c r="I5" s="5" t="s">
        <v>200</v>
      </c>
      <c r="J5" s="5" t="s">
        <v>214</v>
      </c>
      <c r="K5" s="3">
        <v>46142</v>
      </c>
      <c r="L5" s="12">
        <f ca="1">IF($O5="","",$O5-TODAY())</f>
        <v>154</v>
      </c>
      <c r="M5" s="12">
        <f ca="1">IF($C5="","",$C5+180-TODAY())</f>
        <v>55</v>
      </c>
      <c r="N5" s="12">
        <f ca="1">IF($C5="","",$C5+365-TODAY())</f>
        <v>240</v>
      </c>
      <c r="O5" s="6">
        <v>46434</v>
      </c>
      <c r="P5" s="5" t="s">
        <v>49</v>
      </c>
      <c r="Q5" s="5" t="s">
        <v>202</v>
      </c>
      <c r="R5" s="5" t="s">
        <v>163</v>
      </c>
      <c r="S5" s="5" t="s">
        <v>50</v>
      </c>
      <c r="T5" s="5" t="s">
        <v>49</v>
      </c>
      <c r="U5" s="5" t="s">
        <v>50</v>
      </c>
      <c r="V5" s="5" t="s">
        <v>186</v>
      </c>
      <c r="W5" s="5" t="s">
        <v>203</v>
      </c>
      <c r="X5" s="5" t="s">
        <v>215</v>
      </c>
      <c r="Y5" s="5" t="s">
        <v>216</v>
      </c>
      <c r="Z5" s="7">
        <v>12959.73</v>
      </c>
      <c r="AA5" s="7">
        <v>0</v>
      </c>
      <c r="AB5" s="7">
        <v>0</v>
      </c>
      <c r="AC5" s="6">
        <v>46155</v>
      </c>
      <c r="AD5" s="7">
        <v>12959.73</v>
      </c>
      <c r="AE5" s="4">
        <v>173</v>
      </c>
      <c r="AF5" s="5" t="s">
        <v>217</v>
      </c>
      <c r="AG5" s="5" t="s">
        <v>191</v>
      </c>
      <c r="AH5" s="5" t="s">
        <v>218</v>
      </c>
      <c r="AI5" s="5"/>
      <c r="AJ5" s="4"/>
      <c r="AK5" s="5" t="s">
        <v>193</v>
      </c>
      <c r="AL5" s="5" t="s">
        <v>194</v>
      </c>
      <c r="AM5" s="6">
        <v>46090</v>
      </c>
      <c r="AN5" s="5" t="s">
        <v>195</v>
      </c>
    </row>
    <row r="6" spans="1:40">
      <c r="A6" s="2" t="s">
        <v>41</v>
      </c>
      <c r="B6" s="2" t="s">
        <v>220</v>
      </c>
      <c r="C6" s="3">
        <v>46154</v>
      </c>
      <c r="D6" s="4">
        <v>557784595</v>
      </c>
      <c r="E6" s="5" t="s">
        <v>221</v>
      </c>
      <c r="F6" s="6">
        <v>46069</v>
      </c>
      <c r="G6" s="5" t="s">
        <v>44</v>
      </c>
      <c r="H6" s="5" t="s">
        <v>44</v>
      </c>
      <c r="I6" s="5" t="s">
        <v>45</v>
      </c>
      <c r="J6" s="5" t="s">
        <v>222</v>
      </c>
      <c r="K6" s="3">
        <v>46142</v>
      </c>
      <c r="L6" s="12">
        <f ca="1">IF($O6="","",$O6-TODAY())</f>
        <v>-121</v>
      </c>
      <c r="M6" s="12">
        <f ca="1">IF($F6="","",$F6+90-TODAY())</f>
        <v>-124</v>
      </c>
      <c r="N6" s="12">
        <f ca="1">IF($C6="","",$C6+365-TODAY())</f>
        <v>236</v>
      </c>
      <c r="O6" s="6">
        <v>46159</v>
      </c>
      <c r="P6" s="5" t="s">
        <v>47</v>
      </c>
      <c r="Q6" s="5" t="s">
        <v>48</v>
      </c>
      <c r="R6" s="5" t="s">
        <v>47</v>
      </c>
      <c r="S6" s="5" t="s">
        <v>252</v>
      </c>
      <c r="T6" s="5" t="s">
        <v>49</v>
      </c>
      <c r="U6" s="5" t="s">
        <v>50</v>
      </c>
      <c r="V6" s="5" t="s">
        <v>223</v>
      </c>
      <c r="W6" s="5" t="s">
        <v>215</v>
      </c>
      <c r="X6" s="5"/>
      <c r="Y6" s="5" t="s">
        <v>204</v>
      </c>
      <c r="Z6" s="7">
        <v>61320.35</v>
      </c>
      <c r="AA6" s="7">
        <v>0</v>
      </c>
      <c r="AB6" s="7">
        <v>0</v>
      </c>
      <c r="AC6" s="6">
        <v>46154</v>
      </c>
      <c r="AD6" s="7">
        <v>61320.35</v>
      </c>
      <c r="AE6" s="4">
        <v>173</v>
      </c>
      <c r="AF6" s="5" t="s">
        <v>217</v>
      </c>
      <c r="AG6" s="5" t="s">
        <v>191</v>
      </c>
      <c r="AH6" s="5" t="s">
        <v>218</v>
      </c>
      <c r="AI6" s="5"/>
      <c r="AJ6" s="4"/>
      <c r="AK6" s="5" t="s">
        <v>193</v>
      </c>
      <c r="AL6" s="5" t="s">
        <v>67</v>
      </c>
      <c r="AM6" s="6">
        <v>46090</v>
      </c>
      <c r="AN6" s="5" t="s">
        <v>195</v>
      </c>
    </row>
  </sheetData>
  <autoFilter ref="A1:AN6" xr:uid="{00000000-0009-0000-0000-000002000000}"/>
  <conditionalFormatting sqref="L2:L6">
    <cfRule type="expression" dxfId="59" priority="1">
      <formula>AND($L2&lt;&gt;"", $L2&gt;=0, $L2&lt;=5)</formula>
    </cfRule>
    <cfRule type="expression" dxfId="58" priority="2">
      <formula>AND($L2&lt;&gt;"", $L2&gt;5, $L2&lt;=30)</formula>
    </cfRule>
    <cfRule type="expression" dxfId="57" priority="3">
      <formula>AND($L2&lt;&gt;"", $L2&gt;30)</formula>
    </cfRule>
    <cfRule type="expression" dxfId="56" priority="4">
      <formula>AND($L2&lt;&gt;"", $L2&lt;0)</formula>
    </cfRule>
    <cfRule type="expression" dxfId="55" priority="5">
      <formula>$L2=""</formula>
    </cfRule>
  </conditionalFormatting>
  <conditionalFormatting sqref="M2:M6">
    <cfRule type="expression" dxfId="54" priority="6">
      <formula>AND($M2&lt;&gt;"", $M2&gt;=0, $M2&lt;=5)</formula>
    </cfRule>
    <cfRule type="expression" dxfId="53" priority="7">
      <formula>AND($M2&lt;&gt;"", $M2&gt;5, $M2&lt;=30)</formula>
    </cfRule>
    <cfRule type="expression" dxfId="52" priority="8">
      <formula>AND($M2&lt;&gt;"", $M2&gt;30)</formula>
    </cfRule>
    <cfRule type="expression" dxfId="51" priority="9">
      <formula>AND($M2&lt;&gt;"", $M2&lt;0)</formula>
    </cfRule>
    <cfRule type="expression" dxfId="50" priority="10">
      <formula>$M2=""</formula>
    </cfRule>
  </conditionalFormatting>
  <conditionalFormatting sqref="N2:N6">
    <cfRule type="expression" dxfId="49" priority="11">
      <formula>AND($N2&lt;&gt;"", $N2&gt;=0, $N2&lt;=5)</formula>
    </cfRule>
    <cfRule type="expression" dxfId="48" priority="12">
      <formula>AND($N2&lt;&gt;"", $N2&gt;5, $N2&lt;=30)</formula>
    </cfRule>
    <cfRule type="expression" dxfId="47" priority="13">
      <formula>AND($N2&lt;&gt;"", $N2&gt;30)</formula>
    </cfRule>
    <cfRule type="expression" dxfId="46" priority="14">
      <formula>AND($N2&lt;&gt;"", $N2&lt;0)</formula>
    </cfRule>
    <cfRule type="expression" dxfId="45" priority="15">
      <formula>$N2=""</formula>
    </cfRule>
  </conditionalFormatting>
  <conditionalFormatting sqref="O2:U6">
    <cfRule type="expression" dxfId="44" priority="16">
      <formula>AND($L2&lt;&gt;"", $L2&gt;=0, $L2&lt;=5)</formula>
    </cfRule>
    <cfRule type="expression" dxfId="43" priority="17">
      <formula>AND($L2&lt;&gt;"", $L2&gt;5, $L2&lt;=30)</formula>
    </cfRule>
    <cfRule type="expression" dxfId="42" priority="18">
      <formula>AND($L2&lt;&gt;"", $L2&gt;30)</formula>
    </cfRule>
    <cfRule type="expression" dxfId="41" priority="19">
      <formula>AND($L2&lt;&gt;"", $L2&lt;0)</formula>
    </cfRule>
    <cfRule type="expression" dxfId="40" priority="20">
      <formula>$L2=""</formula>
    </cfRule>
  </conditionalFormatting>
  <dataValidations count="1">
    <dataValidation type="list" allowBlank="1" showInputMessage="1" promptTitle="Claim Status" prompt="Pick a status, or type a new one." sqref="A2:A6" xr:uid="{00000000-0002-0000-0200-000000000000}">
      <formula1>"Denied,Finalized,PAID,Pending,Received,Rejected,Under Review"</formula1>
    </dataValidation>
  </dataValidations>
  <pageMargins left="0.75" right="0.75" top="1" bottom="1" header="0.5" footer="0.5"/>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N11"/>
  <sheetViews>
    <sheetView zoomScale="90" workbookViewId="0">
      <pane xSplit="2" ySplit="1" topLeftCell="C2" activePane="bottomRight" state="frozen"/>
      <selection pane="bottomRight" activeCell="I15" sqref="I15"/>
      <selection pane="bottomLeft"/>
      <selection pane="topRight"/>
    </sheetView>
  </sheetViews>
  <sheetFormatPr defaultRowHeight="15"/>
  <cols>
    <col min="1" max="1" width="14" customWidth="1"/>
    <col min="2" max="2" width="55" customWidth="1"/>
    <col min="3" max="3" width="15" customWidth="1"/>
    <col min="4" max="4" width="18" customWidth="1"/>
    <col min="5" max="5" width="14" customWidth="1"/>
    <col min="6" max="6" width="17" customWidth="1"/>
    <col min="7" max="7" width="37.5703125" customWidth="1"/>
    <col min="8" max="8" width="34" customWidth="1"/>
    <col min="9" max="9" width="40" hidden="1" customWidth="1"/>
    <col min="10" max="10" width="30.85546875" customWidth="1"/>
    <col min="11" max="11" width="14" customWidth="1"/>
    <col min="12" max="12" width="12" customWidth="1"/>
    <col min="13" max="13" width="18.7109375" customWidth="1"/>
    <col min="14" max="14" width="16.140625" customWidth="1"/>
    <col min="15" max="15" width="17" hidden="1" customWidth="1"/>
    <col min="16" max="16" width="14" hidden="1" customWidth="1"/>
    <col min="17" max="17" width="30" hidden="1" customWidth="1"/>
    <col min="18" max="18" width="14" hidden="1" customWidth="1"/>
    <col min="19" max="19" width="16" hidden="1" customWidth="1"/>
    <col min="20" max="20" width="13" hidden="1" customWidth="1"/>
    <col min="21" max="21" width="16" hidden="1" customWidth="1"/>
    <col min="22" max="24" width="11" customWidth="1"/>
    <col min="25" max="25" width="10" customWidth="1"/>
    <col min="26" max="26" width="15" customWidth="1"/>
    <col min="27" max="27" width="12" customWidth="1"/>
    <col min="28" max="28" width="19" customWidth="1"/>
    <col min="29" max="29" width="22" customWidth="1"/>
    <col min="30" max="30" width="19" customWidth="1"/>
    <col min="31" max="31" width="24" customWidth="1"/>
    <col min="32" max="35" width="16" customWidth="1"/>
    <col min="36" max="36" width="20" customWidth="1"/>
    <col min="37" max="37" width="22" customWidth="1"/>
    <col min="38" max="38" width="24" customWidth="1"/>
    <col min="39" max="39" width="14" customWidth="1"/>
    <col min="40" max="40" width="11" customWidth="1"/>
  </cols>
  <sheetData>
    <row r="1" spans="1:40" ht="30" customHeight="1">
      <c r="A1" s="11" t="s">
        <v>0</v>
      </c>
      <c r="B1" s="11" t="s">
        <v>1</v>
      </c>
      <c r="C1" s="11" t="s">
        <v>2</v>
      </c>
      <c r="D1" s="11" t="s">
        <v>3</v>
      </c>
      <c r="E1" s="11" t="s">
        <v>4</v>
      </c>
      <c r="F1" s="11" t="s">
        <v>5</v>
      </c>
      <c r="G1" s="11" t="s">
        <v>6</v>
      </c>
      <c r="H1" s="11" t="s">
        <v>7</v>
      </c>
      <c r="I1" s="11" t="s">
        <v>8</v>
      </c>
      <c r="J1" s="11" t="s">
        <v>9</v>
      </c>
      <c r="K1" s="1" t="s">
        <v>10</v>
      </c>
      <c r="L1" s="1" t="s">
        <v>11</v>
      </c>
      <c r="M1" s="1" t="s">
        <v>12</v>
      </c>
      <c r="N1" s="1" t="s">
        <v>13</v>
      </c>
      <c r="O1" s="11" t="s">
        <v>14</v>
      </c>
      <c r="P1" s="11" t="s">
        <v>15</v>
      </c>
      <c r="Q1" s="11" t="s">
        <v>16</v>
      </c>
      <c r="R1" s="11" t="s">
        <v>17</v>
      </c>
      <c r="S1" s="11" t="s">
        <v>18</v>
      </c>
      <c r="T1" s="11" t="s">
        <v>19</v>
      </c>
      <c r="U1" s="11" t="s">
        <v>20</v>
      </c>
      <c r="V1" s="11" t="s">
        <v>21</v>
      </c>
      <c r="W1" s="11" t="s">
        <v>22</v>
      </c>
      <c r="X1" s="11" t="s">
        <v>23</v>
      </c>
      <c r="Y1" s="11" t="s">
        <v>24</v>
      </c>
      <c r="Z1" s="11" t="s">
        <v>25</v>
      </c>
      <c r="AA1" s="11" t="s">
        <v>26</v>
      </c>
      <c r="AB1" s="11" t="s">
        <v>27</v>
      </c>
      <c r="AC1" s="11" t="s">
        <v>28</v>
      </c>
      <c r="AD1" s="11" t="s">
        <v>29</v>
      </c>
      <c r="AE1" s="11" t="s">
        <v>30</v>
      </c>
      <c r="AF1" s="11" t="s">
        <v>31</v>
      </c>
      <c r="AG1" s="11" t="s">
        <v>32</v>
      </c>
      <c r="AH1" s="11" t="s">
        <v>33</v>
      </c>
      <c r="AI1" s="11" t="s">
        <v>34</v>
      </c>
      <c r="AJ1" s="11" t="s">
        <v>35</v>
      </c>
      <c r="AK1" s="11" t="s">
        <v>36</v>
      </c>
      <c r="AL1" s="11" t="s">
        <v>37</v>
      </c>
      <c r="AM1" s="11" t="s">
        <v>38</v>
      </c>
      <c r="AN1" s="11" t="s">
        <v>39</v>
      </c>
    </row>
    <row r="2" spans="1:40">
      <c r="A2" s="2" t="s">
        <v>63</v>
      </c>
      <c r="B2" s="2"/>
      <c r="C2" s="3">
        <v>46128</v>
      </c>
      <c r="D2" s="4">
        <v>549835748</v>
      </c>
      <c r="E2" s="5" t="s">
        <v>225</v>
      </c>
      <c r="F2" s="6">
        <v>46070</v>
      </c>
      <c r="G2" s="5" t="s">
        <v>226</v>
      </c>
      <c r="H2" s="5" t="s">
        <v>184</v>
      </c>
      <c r="I2" s="5" t="s">
        <v>226</v>
      </c>
      <c r="J2" s="5" t="s">
        <v>227</v>
      </c>
      <c r="K2" s="3"/>
      <c r="L2" s="12">
        <f ca="1">IF($O2="","",$O2-TODAY())</f>
        <v>155</v>
      </c>
      <c r="M2" s="12">
        <f ca="1">IF($C2="","",$C2+365-TODAY())</f>
        <v>213</v>
      </c>
      <c r="N2" s="12">
        <f ca="1">IF($C2="","",$C2+120-TODAY())</f>
        <v>-32</v>
      </c>
      <c r="O2" s="6">
        <v>46435</v>
      </c>
      <c r="P2" s="5" t="s">
        <v>49</v>
      </c>
      <c r="Q2" s="5" t="s">
        <v>99</v>
      </c>
      <c r="R2" s="5" t="s">
        <v>49</v>
      </c>
      <c r="S2" s="5" t="s">
        <v>50</v>
      </c>
      <c r="T2" s="5" t="s">
        <v>100</v>
      </c>
      <c r="U2" s="5" t="s">
        <v>50</v>
      </c>
      <c r="V2" s="5"/>
      <c r="W2" s="5"/>
      <c r="X2" s="5"/>
      <c r="Y2" s="5" t="s">
        <v>51</v>
      </c>
      <c r="Z2" s="7">
        <v>2493.33</v>
      </c>
      <c r="AA2" s="7">
        <v>2340.02</v>
      </c>
      <c r="AB2" s="7">
        <v>153.15</v>
      </c>
      <c r="AC2" s="6">
        <v>46128</v>
      </c>
      <c r="AD2" s="7">
        <v>0.16</v>
      </c>
      <c r="AE2" s="4">
        <v>172</v>
      </c>
      <c r="AF2" s="5" t="s">
        <v>117</v>
      </c>
      <c r="AG2" s="5" t="s">
        <v>228</v>
      </c>
      <c r="AH2" s="5"/>
      <c r="AI2" s="5"/>
      <c r="AJ2" s="4">
        <v>557765015</v>
      </c>
      <c r="AK2" s="5" t="s">
        <v>229</v>
      </c>
      <c r="AL2" s="5" t="s">
        <v>194</v>
      </c>
      <c r="AM2" s="6">
        <v>46072</v>
      </c>
      <c r="AN2" s="5" t="s">
        <v>230</v>
      </c>
    </row>
    <row r="3" spans="1:40">
      <c r="A3" s="2" t="s">
        <v>232</v>
      </c>
      <c r="B3" s="2" t="s">
        <v>233</v>
      </c>
      <c r="C3" s="3">
        <v>46091</v>
      </c>
      <c r="D3" s="4">
        <v>550306697</v>
      </c>
      <c r="E3" s="5" t="s">
        <v>234</v>
      </c>
      <c r="F3" s="6">
        <v>46073</v>
      </c>
      <c r="G3" s="5" t="s">
        <v>44</v>
      </c>
      <c r="H3" s="5" t="s">
        <v>184</v>
      </c>
      <c r="I3" s="5" t="s">
        <v>44</v>
      </c>
      <c r="J3" s="5" t="s">
        <v>227</v>
      </c>
      <c r="K3" s="3">
        <v>46251</v>
      </c>
      <c r="L3" s="12">
        <f ca="1">IF($O3="","",$O3-TODAY())</f>
        <v>158</v>
      </c>
      <c r="M3" s="12">
        <f ca="1">IF($C3="","",$C3+365-TODAY())</f>
        <v>176</v>
      </c>
      <c r="N3" s="12">
        <f ca="1">IF($C3="","",$C3+120-TODAY())</f>
        <v>-69</v>
      </c>
      <c r="O3" s="6">
        <v>46438</v>
      </c>
      <c r="P3" s="5" t="s">
        <v>49</v>
      </c>
      <c r="Q3" s="5" t="s">
        <v>99</v>
      </c>
      <c r="R3" s="5" t="s">
        <v>49</v>
      </c>
      <c r="S3" s="5" t="s">
        <v>50</v>
      </c>
      <c r="T3" s="5" t="s">
        <v>100</v>
      </c>
      <c r="U3" s="5" t="s">
        <v>50</v>
      </c>
      <c r="V3" s="5"/>
      <c r="W3" s="5"/>
      <c r="X3" s="5"/>
      <c r="Y3" s="5" t="s">
        <v>51</v>
      </c>
      <c r="Z3" s="7">
        <v>2493.33</v>
      </c>
      <c r="AA3" s="7">
        <v>2340.79</v>
      </c>
      <c r="AB3" s="7">
        <v>121.54</v>
      </c>
      <c r="AC3" s="6">
        <v>46091</v>
      </c>
      <c r="AD3" s="7">
        <v>31</v>
      </c>
      <c r="AE3" s="4">
        <v>169</v>
      </c>
      <c r="AF3" s="5" t="s">
        <v>117</v>
      </c>
      <c r="AG3" s="5"/>
      <c r="AH3" s="5"/>
      <c r="AI3" s="5"/>
      <c r="AJ3" s="4">
        <v>562575912</v>
      </c>
      <c r="AK3" s="5" t="s">
        <v>235</v>
      </c>
      <c r="AL3" s="5" t="s">
        <v>211</v>
      </c>
      <c r="AM3" s="6">
        <v>46077</v>
      </c>
      <c r="AN3" s="5" t="s">
        <v>230</v>
      </c>
    </row>
    <row r="4" spans="1:40">
      <c r="A4" s="2" t="s">
        <v>41</v>
      </c>
      <c r="B4" s="2" t="s">
        <v>237</v>
      </c>
      <c r="C4" s="3">
        <v>46202</v>
      </c>
      <c r="D4" s="4">
        <v>563073824</v>
      </c>
      <c r="E4" s="5" t="s">
        <v>238</v>
      </c>
      <c r="F4" s="6">
        <v>46079</v>
      </c>
      <c r="G4" s="5" t="s">
        <v>239</v>
      </c>
      <c r="H4" s="5" t="s">
        <v>184</v>
      </c>
      <c r="I4" s="5" t="s">
        <v>239</v>
      </c>
      <c r="J4" s="5" t="s">
        <v>240</v>
      </c>
      <c r="K4" s="3">
        <v>46195</v>
      </c>
      <c r="L4" s="12">
        <f ca="1">IF($O4="","",$O4-TODAY())</f>
        <v>164</v>
      </c>
      <c r="M4" s="12">
        <f ca="1">IF($C4="","",$C4+365-TODAY())</f>
        <v>287</v>
      </c>
      <c r="N4" s="12">
        <f ca="1">IF($C4="","",$C4+120-TODAY())</f>
        <v>42</v>
      </c>
      <c r="O4" s="6">
        <v>46444</v>
      </c>
      <c r="P4" s="5" t="s">
        <v>49</v>
      </c>
      <c r="Q4" s="5" t="s">
        <v>99</v>
      </c>
      <c r="R4" s="5" t="s">
        <v>49</v>
      </c>
      <c r="S4" s="5" t="s">
        <v>50</v>
      </c>
      <c r="T4" s="5" t="s">
        <v>100</v>
      </c>
      <c r="U4" s="5" t="s">
        <v>50</v>
      </c>
      <c r="V4" s="5" t="s">
        <v>241</v>
      </c>
      <c r="W4" s="5"/>
      <c r="X4" s="5"/>
      <c r="Y4" s="5" t="s">
        <v>51</v>
      </c>
      <c r="Z4" s="7">
        <v>20217.61</v>
      </c>
      <c r="AA4" s="7">
        <v>0</v>
      </c>
      <c r="AB4" s="7">
        <v>1013.09</v>
      </c>
      <c r="AC4" s="6">
        <v>46202</v>
      </c>
      <c r="AD4" s="7">
        <v>19204.52</v>
      </c>
      <c r="AE4" s="4">
        <v>163</v>
      </c>
      <c r="AF4" s="5" t="s">
        <v>242</v>
      </c>
      <c r="AG4" s="5" t="s">
        <v>243</v>
      </c>
      <c r="AH4" s="5" t="s">
        <v>244</v>
      </c>
      <c r="AI4" s="5" t="s">
        <v>155</v>
      </c>
      <c r="AJ4" s="4">
        <v>554801761</v>
      </c>
      <c r="AK4" s="5" t="s">
        <v>245</v>
      </c>
      <c r="AL4" s="5" t="s">
        <v>194</v>
      </c>
      <c r="AM4" s="6">
        <v>46093</v>
      </c>
      <c r="AN4" s="5" t="s">
        <v>230</v>
      </c>
    </row>
    <row r="5" spans="1:40">
      <c r="A5" s="2" t="s">
        <v>41</v>
      </c>
      <c r="B5" s="2" t="s">
        <v>247</v>
      </c>
      <c r="C5" s="3">
        <v>46147</v>
      </c>
      <c r="D5" s="4">
        <v>555677002</v>
      </c>
      <c r="E5" s="5" t="s">
        <v>248</v>
      </c>
      <c r="F5" s="6">
        <v>46059</v>
      </c>
      <c r="G5" s="5" t="s">
        <v>249</v>
      </c>
      <c r="H5" s="5" t="s">
        <v>249</v>
      </c>
      <c r="I5" s="5" t="s">
        <v>45</v>
      </c>
      <c r="J5" s="5" t="s">
        <v>250</v>
      </c>
      <c r="K5" s="3">
        <v>46247</v>
      </c>
      <c r="L5" s="12">
        <f ca="1">IF($O5="","",$O5-TODAY())</f>
        <v>-131</v>
      </c>
      <c r="M5" s="12">
        <f ca="1">IF($F5="","",$F5+90-TODAY())</f>
        <v>-134</v>
      </c>
      <c r="N5" s="12">
        <f ca="1">IF($C5="","",$C5+540-TODAY())</f>
        <v>404</v>
      </c>
      <c r="O5" s="6">
        <v>46149</v>
      </c>
      <c r="P5" s="5" t="s">
        <v>47</v>
      </c>
      <c r="Q5" s="5" t="s">
        <v>251</v>
      </c>
      <c r="R5" s="5" t="s">
        <v>47</v>
      </c>
      <c r="S5" s="5" t="s">
        <v>252</v>
      </c>
      <c r="T5" s="5" t="s">
        <v>352</v>
      </c>
      <c r="U5" s="5" t="s">
        <v>50</v>
      </c>
      <c r="V5" s="5"/>
      <c r="W5" s="5"/>
      <c r="X5" s="5"/>
      <c r="Y5" s="5" t="s">
        <v>51</v>
      </c>
      <c r="Z5" s="7">
        <v>9056.39</v>
      </c>
      <c r="AA5" s="7">
        <v>0</v>
      </c>
      <c r="AB5" s="7">
        <v>0</v>
      </c>
      <c r="AC5" s="6">
        <v>46147</v>
      </c>
      <c r="AD5" s="7">
        <v>9056.39</v>
      </c>
      <c r="AE5" s="4">
        <v>183</v>
      </c>
      <c r="AF5" s="5" t="s">
        <v>242</v>
      </c>
      <c r="AG5" s="5"/>
      <c r="AH5" s="5"/>
      <c r="AI5" s="5"/>
      <c r="AJ5" s="4"/>
      <c r="AK5" s="5" t="s">
        <v>79</v>
      </c>
      <c r="AL5" s="5" t="s">
        <v>194</v>
      </c>
      <c r="AM5" s="6">
        <v>46065</v>
      </c>
      <c r="AN5" s="5" t="s">
        <v>230</v>
      </c>
    </row>
    <row r="6" spans="1:40">
      <c r="A6" s="2" t="s">
        <v>63</v>
      </c>
      <c r="B6" s="2" t="s">
        <v>255</v>
      </c>
      <c r="C6" s="3">
        <v>46233</v>
      </c>
      <c r="D6" s="4">
        <v>551412333</v>
      </c>
      <c r="E6" s="5" t="s">
        <v>256</v>
      </c>
      <c r="F6" s="6">
        <v>46072</v>
      </c>
      <c r="G6" s="5" t="s">
        <v>161</v>
      </c>
      <c r="H6" s="5" t="s">
        <v>161</v>
      </c>
      <c r="I6" s="5" t="s">
        <v>45</v>
      </c>
      <c r="J6" s="5" t="s">
        <v>257</v>
      </c>
      <c r="K6" s="3">
        <v>46192</v>
      </c>
      <c r="L6" s="12">
        <f ca="1">IF($O6="","",$O6-TODAY())</f>
        <v>-118</v>
      </c>
      <c r="M6" s="12">
        <f ca="1">IF($C6="","",$C6+180-TODAY())</f>
        <v>133</v>
      </c>
      <c r="N6" s="12">
        <f ca="1">IF($C6="","",$C6+365-TODAY())</f>
        <v>318</v>
      </c>
      <c r="O6" s="6">
        <v>46162</v>
      </c>
      <c r="P6" s="5" t="s">
        <v>47</v>
      </c>
      <c r="Q6" s="5" t="s">
        <v>162</v>
      </c>
      <c r="R6" s="5" t="s">
        <v>163</v>
      </c>
      <c r="S6" s="5" t="s">
        <v>50</v>
      </c>
      <c r="T6" s="5" t="s">
        <v>49</v>
      </c>
      <c r="U6" s="5" t="s">
        <v>50</v>
      </c>
      <c r="V6" s="5" t="s">
        <v>258</v>
      </c>
      <c r="W6" s="5"/>
      <c r="X6" s="5"/>
      <c r="Y6" s="5" t="s">
        <v>51</v>
      </c>
      <c r="Z6" s="7">
        <v>6297.27</v>
      </c>
      <c r="AA6" s="7">
        <v>0</v>
      </c>
      <c r="AB6" s="7">
        <v>0</v>
      </c>
      <c r="AC6" s="6">
        <v>46142</v>
      </c>
      <c r="AD6" s="7">
        <v>6297.27</v>
      </c>
      <c r="AE6" s="4">
        <v>170</v>
      </c>
      <c r="AF6" s="5" t="s">
        <v>242</v>
      </c>
      <c r="AG6" s="5" t="s">
        <v>243</v>
      </c>
      <c r="AH6" s="5" t="s">
        <v>244</v>
      </c>
      <c r="AI6" s="5" t="s">
        <v>155</v>
      </c>
      <c r="AJ6" s="4"/>
      <c r="AK6" s="5" t="s">
        <v>245</v>
      </c>
      <c r="AL6" s="5" t="s">
        <v>194</v>
      </c>
      <c r="AM6" s="6">
        <v>46084</v>
      </c>
      <c r="AN6" s="5" t="s">
        <v>230</v>
      </c>
    </row>
    <row r="7" spans="1:40">
      <c r="A7" s="2" t="s">
        <v>181</v>
      </c>
      <c r="B7" s="2" t="s">
        <v>260</v>
      </c>
      <c r="C7" s="3">
        <v>46212</v>
      </c>
      <c r="D7" s="4">
        <v>563274947</v>
      </c>
      <c r="E7" s="5" t="s">
        <v>152</v>
      </c>
      <c r="F7" s="6">
        <v>46079</v>
      </c>
      <c r="G7" s="5" t="s">
        <v>44</v>
      </c>
      <c r="H7" s="5" t="s">
        <v>44</v>
      </c>
      <c r="I7" s="5" t="s">
        <v>45</v>
      </c>
      <c r="J7" s="5" t="s">
        <v>261</v>
      </c>
      <c r="K7" s="3"/>
      <c r="L7" s="12">
        <f ca="1">IF($O7="","",$O7-TODAY())</f>
        <v>-111</v>
      </c>
      <c r="M7" s="12">
        <f ca="1">IF($F7="","",$F7+90-TODAY())</f>
        <v>-114</v>
      </c>
      <c r="N7" s="12">
        <f ca="1">IF($C7="","",$C7+365-TODAY())</f>
        <v>294</v>
      </c>
      <c r="O7" s="6">
        <v>46169</v>
      </c>
      <c r="P7" s="5" t="s">
        <v>47</v>
      </c>
      <c r="Q7" s="5" t="s">
        <v>48</v>
      </c>
      <c r="R7" s="5" t="s">
        <v>47</v>
      </c>
      <c r="S7" s="5" t="s">
        <v>252</v>
      </c>
      <c r="T7" s="5" t="s">
        <v>49</v>
      </c>
      <c r="U7" s="5" t="s">
        <v>50</v>
      </c>
      <c r="V7" s="5" t="s">
        <v>262</v>
      </c>
      <c r="W7" s="5"/>
      <c r="X7" s="5"/>
      <c r="Y7" s="5" t="s">
        <v>51</v>
      </c>
      <c r="Z7" s="7">
        <v>6709.36</v>
      </c>
      <c r="AA7" s="7">
        <v>0</v>
      </c>
      <c r="AB7" s="7">
        <v>0</v>
      </c>
      <c r="AC7" s="6">
        <v>46212</v>
      </c>
      <c r="AD7" s="7">
        <v>6709.36</v>
      </c>
      <c r="AE7" s="4">
        <v>163</v>
      </c>
      <c r="AF7" s="5" t="s">
        <v>243</v>
      </c>
      <c r="AG7" s="5" t="s">
        <v>263</v>
      </c>
      <c r="AH7" s="5"/>
      <c r="AI7" s="5"/>
      <c r="AJ7" s="4"/>
      <c r="AK7" s="5" t="s">
        <v>156</v>
      </c>
      <c r="AL7" s="5" t="s">
        <v>264</v>
      </c>
      <c r="AM7" s="6">
        <v>46092</v>
      </c>
      <c r="AN7" s="5" t="s">
        <v>230</v>
      </c>
    </row>
    <row r="8" spans="1:40">
      <c r="A8" s="2" t="s">
        <v>41</v>
      </c>
      <c r="B8" s="2" t="s">
        <v>266</v>
      </c>
      <c r="C8" s="3">
        <v>46189</v>
      </c>
      <c r="D8" s="4">
        <v>562083380</v>
      </c>
      <c r="E8" s="5" t="s">
        <v>267</v>
      </c>
      <c r="F8" s="6">
        <v>46080</v>
      </c>
      <c r="G8" s="5" t="s">
        <v>71</v>
      </c>
      <c r="H8" s="5" t="s">
        <v>71</v>
      </c>
      <c r="I8" s="5" t="s">
        <v>45</v>
      </c>
      <c r="J8" s="5" t="s">
        <v>268</v>
      </c>
      <c r="K8" s="3">
        <v>46247</v>
      </c>
      <c r="L8" s="12">
        <f ca="1">IF($O8="","",$O8-TODAY())</f>
        <v>-110</v>
      </c>
      <c r="M8" s="12">
        <f ca="1">IF($C8="","",$C8+365-TODAY())</f>
        <v>274</v>
      </c>
      <c r="N8" s="12">
        <f ca="1">IF($C8="","",$C8+365-TODAY())</f>
        <v>274</v>
      </c>
      <c r="O8" s="6">
        <v>46170</v>
      </c>
      <c r="P8" s="5" t="s">
        <v>47</v>
      </c>
      <c r="Q8" s="5" t="s">
        <v>73</v>
      </c>
      <c r="R8" s="5" t="s">
        <v>49</v>
      </c>
      <c r="S8" s="5" t="s">
        <v>50</v>
      </c>
      <c r="T8" s="5" t="s">
        <v>49</v>
      </c>
      <c r="U8" s="5" t="s">
        <v>50</v>
      </c>
      <c r="V8" s="5" t="s">
        <v>269</v>
      </c>
      <c r="W8" s="5"/>
      <c r="X8" s="5"/>
      <c r="Y8" s="5" t="s">
        <v>51</v>
      </c>
      <c r="Z8" s="7">
        <v>7623.07</v>
      </c>
      <c r="AA8" s="7">
        <v>0</v>
      </c>
      <c r="AB8" s="7">
        <v>0</v>
      </c>
      <c r="AC8" s="6">
        <v>46189</v>
      </c>
      <c r="AD8" s="7">
        <v>7623.07</v>
      </c>
      <c r="AE8" s="4">
        <v>162</v>
      </c>
      <c r="AF8" s="5" t="s">
        <v>242</v>
      </c>
      <c r="AG8" s="5"/>
      <c r="AH8" s="5"/>
      <c r="AI8" s="5"/>
      <c r="AJ8" s="4"/>
      <c r="AK8" s="5" t="s">
        <v>53</v>
      </c>
      <c r="AL8" s="5" t="s">
        <v>211</v>
      </c>
      <c r="AM8" s="6">
        <v>46083</v>
      </c>
      <c r="AN8" s="5" t="s">
        <v>230</v>
      </c>
    </row>
    <row r="9" spans="1:40">
      <c r="A9" s="2" t="s">
        <v>41</v>
      </c>
      <c r="B9" s="2"/>
      <c r="C9" s="3">
        <v>46218</v>
      </c>
      <c r="D9" s="4">
        <v>564578362</v>
      </c>
      <c r="E9" s="5" t="s">
        <v>271</v>
      </c>
      <c r="F9" s="6">
        <v>46057</v>
      </c>
      <c r="G9" s="5" t="s">
        <v>272</v>
      </c>
      <c r="H9" s="5" t="s">
        <v>272</v>
      </c>
      <c r="I9" s="5" t="s">
        <v>45</v>
      </c>
      <c r="J9" s="5" t="s">
        <v>273</v>
      </c>
      <c r="K9" s="3"/>
      <c r="L9" s="12">
        <f ca="1">IF($O9="","",$O9-TODAY())</f>
        <v>-103</v>
      </c>
      <c r="M9" s="12">
        <f ca="1">IF($F9="","",$F9+365-TODAY())</f>
        <v>142</v>
      </c>
      <c r="N9" s="12">
        <f ca="1">IF($F9="","",$F9+365-TODAY())</f>
        <v>142</v>
      </c>
      <c r="O9" s="6">
        <v>46177</v>
      </c>
      <c r="P9" s="5" t="s">
        <v>100</v>
      </c>
      <c r="Q9" s="5" t="s">
        <v>274</v>
      </c>
      <c r="R9" s="5" t="s">
        <v>49</v>
      </c>
      <c r="S9" s="5" t="s">
        <v>252</v>
      </c>
      <c r="T9" s="5" t="s">
        <v>49</v>
      </c>
      <c r="U9" s="5" t="s">
        <v>252</v>
      </c>
      <c r="V9" s="5"/>
      <c r="W9" s="5"/>
      <c r="X9" s="5"/>
      <c r="Y9" s="5" t="s">
        <v>51</v>
      </c>
      <c r="Z9" s="7">
        <v>1433.32</v>
      </c>
      <c r="AA9" s="7">
        <v>0</v>
      </c>
      <c r="AB9" s="7">
        <v>0</v>
      </c>
      <c r="AC9" s="6">
        <v>46218</v>
      </c>
      <c r="AD9" s="7">
        <v>1433.32</v>
      </c>
      <c r="AE9" s="4">
        <v>185</v>
      </c>
      <c r="AF9" s="5" t="s">
        <v>242</v>
      </c>
      <c r="AG9" s="5" t="s">
        <v>275</v>
      </c>
      <c r="AH9" s="5"/>
      <c r="AI9" s="5"/>
      <c r="AJ9" s="4"/>
      <c r="AK9" s="5" t="s">
        <v>276</v>
      </c>
      <c r="AL9" s="5" t="s">
        <v>194</v>
      </c>
      <c r="AM9" s="6">
        <v>46077</v>
      </c>
      <c r="AN9" s="5" t="s">
        <v>230</v>
      </c>
    </row>
    <row r="10" spans="1:40">
      <c r="A10" s="2" t="s">
        <v>63</v>
      </c>
      <c r="B10" s="2" t="s">
        <v>278</v>
      </c>
      <c r="C10" s="3">
        <v>46142</v>
      </c>
      <c r="D10" s="4">
        <v>551321878</v>
      </c>
      <c r="E10" s="5" t="s">
        <v>279</v>
      </c>
      <c r="F10" s="6">
        <v>46058</v>
      </c>
      <c r="G10" s="5" t="s">
        <v>280</v>
      </c>
      <c r="H10" s="5" t="s">
        <v>280</v>
      </c>
      <c r="I10" s="5" t="s">
        <v>45</v>
      </c>
      <c r="J10" s="5" t="s">
        <v>281</v>
      </c>
      <c r="K10" s="3">
        <v>46195</v>
      </c>
      <c r="L10" s="12">
        <f ca="1">IF($O10="","",$O10-TODAY())</f>
        <v>-135</v>
      </c>
      <c r="M10" s="12">
        <f ca="1">IF($C10="","",$C10+365-TODAY())</f>
        <v>224</v>
      </c>
      <c r="N10" s="12">
        <f ca="1">IF($C10="","",$C10+365-TODAY())</f>
        <v>224</v>
      </c>
      <c r="O10" s="6">
        <v>46148</v>
      </c>
      <c r="P10" s="5" t="s">
        <v>47</v>
      </c>
      <c r="Q10" s="5" t="s">
        <v>282</v>
      </c>
      <c r="R10" s="5" t="s">
        <v>49</v>
      </c>
      <c r="S10" s="5" t="s">
        <v>50</v>
      </c>
      <c r="T10" s="5" t="s">
        <v>49</v>
      </c>
      <c r="U10" s="5" t="s">
        <v>50</v>
      </c>
      <c r="V10" s="5"/>
      <c r="W10" s="5"/>
      <c r="X10" s="5"/>
      <c r="Y10" s="5" t="s">
        <v>51</v>
      </c>
      <c r="Z10" s="7">
        <v>12527.55</v>
      </c>
      <c r="AA10" s="7">
        <v>0</v>
      </c>
      <c r="AB10" s="7">
        <v>0</v>
      </c>
      <c r="AC10" s="6">
        <v>46142</v>
      </c>
      <c r="AD10" s="7">
        <v>12527.55</v>
      </c>
      <c r="AE10" s="4">
        <v>184</v>
      </c>
      <c r="AF10" s="5" t="s">
        <v>242</v>
      </c>
      <c r="AG10" s="5" t="s">
        <v>243</v>
      </c>
      <c r="AH10" s="5" t="s">
        <v>155</v>
      </c>
      <c r="AI10" s="5" t="s">
        <v>283</v>
      </c>
      <c r="AJ10" s="4"/>
      <c r="AK10" s="5" t="s">
        <v>245</v>
      </c>
      <c r="AL10" s="5" t="s">
        <v>194</v>
      </c>
      <c r="AM10" s="6">
        <v>46083</v>
      </c>
      <c r="AN10" s="5" t="s">
        <v>230</v>
      </c>
    </row>
    <row r="11" spans="1:40">
      <c r="A11" s="2" t="s">
        <v>41</v>
      </c>
      <c r="B11" s="2" t="s">
        <v>285</v>
      </c>
      <c r="C11" s="3">
        <v>46107</v>
      </c>
      <c r="D11" s="4">
        <v>552275426</v>
      </c>
      <c r="E11" s="5" t="s">
        <v>286</v>
      </c>
      <c r="F11" s="6">
        <v>46079</v>
      </c>
      <c r="G11" s="5" t="s">
        <v>287</v>
      </c>
      <c r="H11" s="5" t="s">
        <v>287</v>
      </c>
      <c r="I11" s="5" t="s">
        <v>45</v>
      </c>
      <c r="J11" s="5" t="s">
        <v>288</v>
      </c>
      <c r="K11" s="3">
        <v>46195</v>
      </c>
      <c r="L11" s="12" t="str">
        <f ca="1">IF($O11="","",$O11-TODAY())</f>
        <v/>
      </c>
      <c r="M11" s="12"/>
      <c r="N11" s="12">
        <f ca="1">IF($C11="","",$C11+180-TODAY())</f>
        <v>7</v>
      </c>
      <c r="O11" s="6"/>
      <c r="P11" s="5"/>
      <c r="Q11" s="5" t="s">
        <v>289</v>
      </c>
      <c r="R11" s="5"/>
      <c r="S11" s="5"/>
      <c r="T11" s="5" t="s">
        <v>163</v>
      </c>
      <c r="U11" s="5" t="s">
        <v>50</v>
      </c>
      <c r="V11" s="5"/>
      <c r="W11" s="5"/>
      <c r="X11" s="5"/>
      <c r="Y11" s="5" t="s">
        <v>51</v>
      </c>
      <c r="Z11" s="7">
        <v>1758.12</v>
      </c>
      <c r="AA11" s="7">
        <v>0</v>
      </c>
      <c r="AB11" s="7">
        <v>0</v>
      </c>
      <c r="AC11" s="6">
        <v>46107</v>
      </c>
      <c r="AD11" s="7">
        <v>1758.12</v>
      </c>
      <c r="AE11" s="4">
        <v>163</v>
      </c>
      <c r="AF11" s="5" t="s">
        <v>243</v>
      </c>
      <c r="AG11" s="5" t="s">
        <v>290</v>
      </c>
      <c r="AH11" s="5"/>
      <c r="AI11" s="5"/>
      <c r="AJ11" s="4"/>
      <c r="AK11" s="5" t="s">
        <v>156</v>
      </c>
      <c r="AL11" s="5" t="s">
        <v>264</v>
      </c>
      <c r="AM11" s="6">
        <v>46092</v>
      </c>
      <c r="AN11" s="5" t="s">
        <v>230</v>
      </c>
    </row>
  </sheetData>
  <autoFilter ref="A1:AN11" xr:uid="{00000000-0009-0000-0000-000003000000}"/>
  <conditionalFormatting sqref="L2:L11">
    <cfRule type="expression" dxfId="39" priority="1">
      <formula>AND($L2&lt;&gt;"", $L2&gt;=0, $L2&lt;=5)</formula>
    </cfRule>
    <cfRule type="expression" dxfId="38" priority="2">
      <formula>AND($L2&lt;&gt;"", $L2&gt;5, $L2&lt;=30)</formula>
    </cfRule>
    <cfRule type="expression" dxfId="37" priority="3">
      <formula>AND($L2&lt;&gt;"", $L2&gt;30)</formula>
    </cfRule>
    <cfRule type="expression" dxfId="36" priority="4">
      <formula>AND($L2&lt;&gt;"", $L2&lt;0)</formula>
    </cfRule>
    <cfRule type="expression" dxfId="35" priority="5">
      <formula>$L2=""</formula>
    </cfRule>
  </conditionalFormatting>
  <conditionalFormatting sqref="M2:M11">
    <cfRule type="expression" dxfId="34" priority="6">
      <formula>AND($M2&lt;&gt;"", $M2&gt;=0, $M2&lt;=5)</formula>
    </cfRule>
    <cfRule type="expression" dxfId="33" priority="7">
      <formula>AND($M2&lt;&gt;"", $M2&gt;5, $M2&lt;=30)</formula>
    </cfRule>
    <cfRule type="expression" dxfId="32" priority="8">
      <formula>AND($M2&lt;&gt;"", $M2&gt;30)</formula>
    </cfRule>
    <cfRule type="expression" dxfId="31" priority="9">
      <formula>AND($M2&lt;&gt;"", $M2&lt;0)</formula>
    </cfRule>
    <cfRule type="expression" dxfId="30" priority="10">
      <formula>$M2=""</formula>
    </cfRule>
  </conditionalFormatting>
  <conditionalFormatting sqref="N2:N11">
    <cfRule type="expression" dxfId="29" priority="11">
      <formula>AND($N2&lt;&gt;"", $N2&gt;=0, $N2&lt;=5)</formula>
    </cfRule>
    <cfRule type="expression" dxfId="28" priority="12">
      <formula>AND($N2&lt;&gt;"", $N2&gt;5, $N2&lt;=30)</formula>
    </cfRule>
    <cfRule type="expression" dxfId="27" priority="13">
      <formula>AND($N2&lt;&gt;"", $N2&gt;30)</formula>
    </cfRule>
    <cfRule type="expression" dxfId="26" priority="14">
      <formula>AND($N2&lt;&gt;"", $N2&lt;0)</formula>
    </cfRule>
    <cfRule type="expression" dxfId="25" priority="15">
      <formula>$N2=""</formula>
    </cfRule>
  </conditionalFormatting>
  <conditionalFormatting sqref="O2:U11">
    <cfRule type="expression" dxfId="24" priority="16">
      <formula>AND($L2&lt;&gt;"", $L2&gt;=0, $L2&lt;=5)</formula>
    </cfRule>
    <cfRule type="expression" dxfId="23" priority="17">
      <formula>AND($L2&lt;&gt;"", $L2&gt;5, $L2&lt;=30)</formula>
    </cfRule>
    <cfRule type="expression" dxfId="22" priority="18">
      <formula>AND($L2&lt;&gt;"", $L2&gt;30)</formula>
    </cfRule>
    <cfRule type="expression" dxfId="21" priority="19">
      <formula>AND($L2&lt;&gt;"", $L2&lt;0)</formula>
    </cfRule>
    <cfRule type="expression" dxfId="20" priority="20">
      <formula>$L2=""</formula>
    </cfRule>
  </conditionalFormatting>
  <dataValidations count="1">
    <dataValidation type="list" allowBlank="1" showInputMessage="1" promptTitle="Claim Status" prompt="Pick a status, or type a new one." sqref="A2:A11" xr:uid="{00000000-0002-0000-0300-000000000000}">
      <formula1>"Denied,Finalized,PAID,Pending,Received,Rejected,Under Review"</formula1>
    </dataValidation>
  </dataValidations>
  <pageMargins left="0.75" right="0.75" top="1" bottom="1" header="0.5" footer="0.5"/>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N6"/>
  <sheetViews>
    <sheetView zoomScale="90" workbookViewId="0">
      <pane xSplit="2" ySplit="1" topLeftCell="C2" activePane="bottomRight" state="frozen"/>
      <selection pane="bottomRight"/>
      <selection pane="bottomLeft"/>
      <selection pane="topRight"/>
    </sheetView>
  </sheetViews>
  <sheetFormatPr defaultRowHeight="15"/>
  <cols>
    <col min="1" max="1" width="14" customWidth="1"/>
    <col min="2" max="2" width="55" customWidth="1"/>
    <col min="3" max="3" width="15" customWidth="1"/>
    <col min="4" max="4" width="18" customWidth="1"/>
    <col min="5" max="5" width="14" customWidth="1"/>
    <col min="6" max="6" width="17" customWidth="1"/>
    <col min="7" max="7" width="40" customWidth="1"/>
    <col min="8" max="8" width="32.140625" customWidth="1"/>
    <col min="9" max="9" width="40" hidden="1" customWidth="1"/>
    <col min="10" max="10" width="31.85546875" customWidth="1"/>
    <col min="11" max="11" width="14" customWidth="1"/>
    <col min="12" max="12" width="12" customWidth="1"/>
    <col min="13" max="13" width="19.28515625" customWidth="1"/>
    <col min="14" max="14" width="14.7109375" customWidth="1"/>
    <col min="15" max="15" width="17" hidden="1" customWidth="1"/>
    <col min="16" max="16" width="14" hidden="1" customWidth="1"/>
    <col min="17" max="17" width="30" hidden="1" customWidth="1"/>
    <col min="18" max="18" width="14" hidden="1" customWidth="1"/>
    <col min="19" max="19" width="16" hidden="1" customWidth="1"/>
    <col min="20" max="20" width="13" hidden="1" customWidth="1"/>
    <col min="21" max="21" width="16" hidden="1" customWidth="1"/>
    <col min="22" max="24" width="11" customWidth="1"/>
    <col min="25" max="25" width="10" customWidth="1"/>
    <col min="26" max="26" width="15" customWidth="1"/>
    <col min="27" max="27" width="12" customWidth="1"/>
    <col min="28" max="28" width="19" customWidth="1"/>
    <col min="29" max="29" width="22" customWidth="1"/>
    <col min="30" max="30" width="19" customWidth="1"/>
    <col min="31" max="31" width="24" customWidth="1"/>
    <col min="32" max="35" width="16" customWidth="1"/>
    <col min="36" max="36" width="20" customWidth="1"/>
    <col min="37" max="37" width="22" customWidth="1"/>
    <col min="38" max="38" width="24" customWidth="1"/>
    <col min="39" max="39" width="14" customWidth="1"/>
    <col min="40" max="40" width="11" customWidth="1"/>
  </cols>
  <sheetData>
    <row r="1" spans="1:40" ht="30" customHeight="1">
      <c r="A1" s="11" t="s">
        <v>0</v>
      </c>
      <c r="B1" s="11" t="s">
        <v>1</v>
      </c>
      <c r="C1" s="11" t="s">
        <v>2</v>
      </c>
      <c r="D1" s="11" t="s">
        <v>3</v>
      </c>
      <c r="E1" s="11" t="s">
        <v>4</v>
      </c>
      <c r="F1" s="11" t="s">
        <v>5</v>
      </c>
      <c r="G1" s="11" t="s">
        <v>6</v>
      </c>
      <c r="H1" s="11" t="s">
        <v>7</v>
      </c>
      <c r="I1" s="11" t="s">
        <v>8</v>
      </c>
      <c r="J1" s="11" t="s">
        <v>9</v>
      </c>
      <c r="K1" s="1" t="s">
        <v>10</v>
      </c>
      <c r="L1" s="1" t="s">
        <v>11</v>
      </c>
      <c r="M1" s="1" t="s">
        <v>12</v>
      </c>
      <c r="N1" s="1" t="s">
        <v>13</v>
      </c>
      <c r="O1" s="11" t="s">
        <v>14</v>
      </c>
      <c r="P1" s="11" t="s">
        <v>15</v>
      </c>
      <c r="Q1" s="11" t="s">
        <v>16</v>
      </c>
      <c r="R1" s="11" t="s">
        <v>17</v>
      </c>
      <c r="S1" s="11" t="s">
        <v>18</v>
      </c>
      <c r="T1" s="11" t="s">
        <v>19</v>
      </c>
      <c r="U1" s="11" t="s">
        <v>20</v>
      </c>
      <c r="V1" s="11" t="s">
        <v>21</v>
      </c>
      <c r="W1" s="11" t="s">
        <v>22</v>
      </c>
      <c r="X1" s="11" t="s">
        <v>23</v>
      </c>
      <c r="Y1" s="11" t="s">
        <v>24</v>
      </c>
      <c r="Z1" s="11" t="s">
        <v>25</v>
      </c>
      <c r="AA1" s="11" t="s">
        <v>26</v>
      </c>
      <c r="AB1" s="11" t="s">
        <v>27</v>
      </c>
      <c r="AC1" s="11" t="s">
        <v>28</v>
      </c>
      <c r="AD1" s="11" t="s">
        <v>29</v>
      </c>
      <c r="AE1" s="11" t="s">
        <v>30</v>
      </c>
      <c r="AF1" s="11" t="s">
        <v>31</v>
      </c>
      <c r="AG1" s="11" t="s">
        <v>32</v>
      </c>
      <c r="AH1" s="11" t="s">
        <v>33</v>
      </c>
      <c r="AI1" s="11" t="s">
        <v>34</v>
      </c>
      <c r="AJ1" s="11" t="s">
        <v>35</v>
      </c>
      <c r="AK1" s="11" t="s">
        <v>36</v>
      </c>
      <c r="AL1" s="11" t="s">
        <v>37</v>
      </c>
      <c r="AM1" s="11" t="s">
        <v>38</v>
      </c>
      <c r="AN1" s="11" t="s">
        <v>39</v>
      </c>
    </row>
    <row r="2" spans="1:40">
      <c r="A2" s="2" t="s">
        <v>128</v>
      </c>
      <c r="B2" s="2" t="s">
        <v>292</v>
      </c>
      <c r="C2" s="3">
        <v>46211</v>
      </c>
      <c r="D2" s="4">
        <v>563152890</v>
      </c>
      <c r="E2" s="5" t="s">
        <v>293</v>
      </c>
      <c r="F2" s="6">
        <v>46057</v>
      </c>
      <c r="G2" s="5" t="s">
        <v>44</v>
      </c>
      <c r="H2" s="5" t="s">
        <v>184</v>
      </c>
      <c r="I2" s="5" t="s">
        <v>44</v>
      </c>
      <c r="J2" s="5" t="s">
        <v>294</v>
      </c>
      <c r="K2" s="3">
        <v>46196</v>
      </c>
      <c r="L2" s="12">
        <f ca="1">IF($O2="","",$O2-TODAY())</f>
        <v>142</v>
      </c>
      <c r="M2" s="12">
        <f ca="1">IF($C2="","",$C2+365-TODAY())</f>
        <v>296</v>
      </c>
      <c r="N2" s="12">
        <f ca="1">IF($C2="","",$C2+120-TODAY())</f>
        <v>51</v>
      </c>
      <c r="O2" s="6">
        <v>46422</v>
      </c>
      <c r="P2" s="5" t="s">
        <v>49</v>
      </c>
      <c r="Q2" s="5" t="s">
        <v>99</v>
      </c>
      <c r="R2" s="5" t="s">
        <v>49</v>
      </c>
      <c r="S2" s="5" t="s">
        <v>50</v>
      </c>
      <c r="T2" s="5" t="s">
        <v>100</v>
      </c>
      <c r="U2" s="5" t="s">
        <v>50</v>
      </c>
      <c r="V2" s="5"/>
      <c r="W2" s="5"/>
      <c r="X2" s="5"/>
      <c r="Y2" s="5" t="s">
        <v>51</v>
      </c>
      <c r="Z2" s="7">
        <v>1294.23</v>
      </c>
      <c r="AA2" s="7">
        <v>1127.69</v>
      </c>
      <c r="AB2" s="7">
        <v>130.80000000000001</v>
      </c>
      <c r="AC2" s="6">
        <v>46211</v>
      </c>
      <c r="AD2" s="7">
        <v>35.74</v>
      </c>
      <c r="AE2" s="4">
        <v>185</v>
      </c>
      <c r="AF2" s="5" t="s">
        <v>295</v>
      </c>
      <c r="AG2" s="5" t="s">
        <v>296</v>
      </c>
      <c r="AH2" s="5" t="s">
        <v>297</v>
      </c>
      <c r="AI2" s="5" t="s">
        <v>298</v>
      </c>
      <c r="AJ2" s="4">
        <v>566075115</v>
      </c>
      <c r="AK2" s="5" t="s">
        <v>299</v>
      </c>
      <c r="AL2" s="5" t="s">
        <v>179</v>
      </c>
      <c r="AM2" s="6">
        <v>46072</v>
      </c>
      <c r="AN2" s="5" t="s">
        <v>300</v>
      </c>
    </row>
    <row r="3" spans="1:40">
      <c r="A3" s="2" t="s">
        <v>128</v>
      </c>
      <c r="B3" s="2" t="s">
        <v>292</v>
      </c>
      <c r="C3" s="3">
        <v>46211</v>
      </c>
      <c r="D3" s="4">
        <v>563153622</v>
      </c>
      <c r="E3" s="5" t="s">
        <v>301</v>
      </c>
      <c r="F3" s="6">
        <v>46065</v>
      </c>
      <c r="G3" s="5" t="s">
        <v>120</v>
      </c>
      <c r="H3" s="5" t="s">
        <v>184</v>
      </c>
      <c r="I3" s="5" t="s">
        <v>120</v>
      </c>
      <c r="J3" s="5" t="s">
        <v>302</v>
      </c>
      <c r="K3" s="3">
        <v>46196</v>
      </c>
      <c r="L3" s="12">
        <f ca="1">IF($O3="","",$O3-TODAY())</f>
        <v>150</v>
      </c>
      <c r="M3" s="12">
        <f ca="1">IF($C3="","",$C3+365-TODAY())</f>
        <v>296</v>
      </c>
      <c r="N3" s="12">
        <f ca="1">IF($C3="","",$C3+120-TODAY())</f>
        <v>51</v>
      </c>
      <c r="O3" s="6">
        <v>46430</v>
      </c>
      <c r="P3" s="5" t="s">
        <v>49</v>
      </c>
      <c r="Q3" s="5" t="s">
        <v>99</v>
      </c>
      <c r="R3" s="5" t="s">
        <v>49</v>
      </c>
      <c r="S3" s="5" t="s">
        <v>50</v>
      </c>
      <c r="T3" s="5" t="s">
        <v>100</v>
      </c>
      <c r="U3" s="5" t="s">
        <v>50</v>
      </c>
      <c r="V3" s="5"/>
      <c r="W3" s="5"/>
      <c r="X3" s="5"/>
      <c r="Y3" s="5" t="s">
        <v>51</v>
      </c>
      <c r="Z3" s="7">
        <v>2943.43</v>
      </c>
      <c r="AA3" s="7">
        <v>2603.25</v>
      </c>
      <c r="AB3" s="7">
        <v>265.7</v>
      </c>
      <c r="AC3" s="6">
        <v>46211</v>
      </c>
      <c r="AD3" s="7">
        <v>74.48</v>
      </c>
      <c r="AE3" s="4">
        <v>177</v>
      </c>
      <c r="AF3" s="5" t="s">
        <v>303</v>
      </c>
      <c r="AG3" s="5"/>
      <c r="AH3" s="5"/>
      <c r="AI3" s="5"/>
      <c r="AJ3" s="4">
        <v>565916751</v>
      </c>
      <c r="AK3" s="5" t="s">
        <v>304</v>
      </c>
      <c r="AL3" s="5" t="s">
        <v>67</v>
      </c>
      <c r="AM3" s="6">
        <v>46119</v>
      </c>
      <c r="AN3" s="5" t="s">
        <v>300</v>
      </c>
    </row>
    <row r="4" spans="1:40">
      <c r="A4" s="2" t="s">
        <v>128</v>
      </c>
      <c r="B4" s="2" t="s">
        <v>292</v>
      </c>
      <c r="C4" s="3">
        <v>46210</v>
      </c>
      <c r="D4" s="4">
        <v>563152081</v>
      </c>
      <c r="E4" s="5" t="s">
        <v>306</v>
      </c>
      <c r="F4" s="6">
        <v>46070</v>
      </c>
      <c r="G4" s="5" t="s">
        <v>120</v>
      </c>
      <c r="H4" s="5" t="s">
        <v>184</v>
      </c>
      <c r="I4" s="5" t="s">
        <v>120</v>
      </c>
      <c r="J4" s="5" t="s">
        <v>294</v>
      </c>
      <c r="K4" s="3">
        <v>46196</v>
      </c>
      <c r="L4" s="12">
        <f ca="1">IF($O4="","",$O4-TODAY())</f>
        <v>155</v>
      </c>
      <c r="M4" s="12">
        <f ca="1">IF($C4="","",$C4+365-TODAY())</f>
        <v>295</v>
      </c>
      <c r="N4" s="12">
        <f ca="1">IF($C4="","",$C4+120-TODAY())</f>
        <v>50</v>
      </c>
      <c r="O4" s="6">
        <v>46435</v>
      </c>
      <c r="P4" s="5" t="s">
        <v>49</v>
      </c>
      <c r="Q4" s="5" t="s">
        <v>99</v>
      </c>
      <c r="R4" s="5" t="s">
        <v>49</v>
      </c>
      <c r="S4" s="5" t="s">
        <v>50</v>
      </c>
      <c r="T4" s="5" t="s">
        <v>100</v>
      </c>
      <c r="U4" s="5" t="s">
        <v>50</v>
      </c>
      <c r="V4" s="5"/>
      <c r="W4" s="5"/>
      <c r="X4" s="5"/>
      <c r="Y4" s="5" t="s">
        <v>51</v>
      </c>
      <c r="Z4" s="7">
        <v>1294.23</v>
      </c>
      <c r="AA4" s="7">
        <v>1131</v>
      </c>
      <c r="AB4" s="7">
        <v>127.49</v>
      </c>
      <c r="AC4" s="6">
        <v>46210</v>
      </c>
      <c r="AD4" s="7">
        <v>35.74</v>
      </c>
      <c r="AE4" s="4">
        <v>172</v>
      </c>
      <c r="AF4" s="5" t="s">
        <v>307</v>
      </c>
      <c r="AG4" s="5"/>
      <c r="AH4" s="5"/>
      <c r="AI4" s="5"/>
      <c r="AJ4" s="4">
        <v>566075094</v>
      </c>
      <c r="AK4" s="5" t="s">
        <v>53</v>
      </c>
      <c r="AL4" s="5" t="s">
        <v>75</v>
      </c>
      <c r="AM4" s="6">
        <v>46076</v>
      </c>
      <c r="AN4" s="5" t="s">
        <v>300</v>
      </c>
    </row>
    <row r="5" spans="1:40">
      <c r="A5" s="2" t="s">
        <v>128</v>
      </c>
      <c r="B5" s="2" t="s">
        <v>292</v>
      </c>
      <c r="C5" s="3">
        <v>46210</v>
      </c>
      <c r="D5" s="4">
        <v>563152473</v>
      </c>
      <c r="E5" s="5" t="s">
        <v>293</v>
      </c>
      <c r="F5" s="6">
        <v>46071</v>
      </c>
      <c r="G5" s="5" t="s">
        <v>44</v>
      </c>
      <c r="H5" s="5" t="s">
        <v>184</v>
      </c>
      <c r="I5" s="5" t="s">
        <v>44</v>
      </c>
      <c r="J5" s="5" t="s">
        <v>309</v>
      </c>
      <c r="K5" s="3">
        <v>46196</v>
      </c>
      <c r="L5" s="12">
        <f ca="1">IF($O5="","",$O5-TODAY())</f>
        <v>156</v>
      </c>
      <c r="M5" s="12">
        <f ca="1">IF($C5="","",$C5+365-TODAY())</f>
        <v>295</v>
      </c>
      <c r="N5" s="12">
        <f ca="1">IF($C5="","",$C5+120-TODAY())</f>
        <v>50</v>
      </c>
      <c r="O5" s="6">
        <v>46436</v>
      </c>
      <c r="P5" s="5" t="s">
        <v>49</v>
      </c>
      <c r="Q5" s="5" t="s">
        <v>99</v>
      </c>
      <c r="R5" s="5" t="s">
        <v>49</v>
      </c>
      <c r="S5" s="5" t="s">
        <v>50</v>
      </c>
      <c r="T5" s="5" t="s">
        <v>100</v>
      </c>
      <c r="U5" s="5" t="s">
        <v>50</v>
      </c>
      <c r="V5" s="5"/>
      <c r="W5" s="5"/>
      <c r="X5" s="5"/>
      <c r="Y5" s="5" t="s">
        <v>51</v>
      </c>
      <c r="Z5" s="7">
        <v>879.06</v>
      </c>
      <c r="AA5" s="7">
        <v>758.3</v>
      </c>
      <c r="AB5" s="7">
        <v>94.84</v>
      </c>
      <c r="AC5" s="6">
        <v>46210</v>
      </c>
      <c r="AD5" s="7">
        <v>25.92</v>
      </c>
      <c r="AE5" s="4">
        <v>171</v>
      </c>
      <c r="AF5" s="5" t="s">
        <v>310</v>
      </c>
      <c r="AG5" s="5"/>
      <c r="AH5" s="5"/>
      <c r="AI5" s="5"/>
      <c r="AJ5" s="4">
        <v>566075128</v>
      </c>
      <c r="AK5" s="5" t="s">
        <v>299</v>
      </c>
      <c r="AL5" s="5" t="s">
        <v>179</v>
      </c>
      <c r="AM5" s="6">
        <v>46119</v>
      </c>
      <c r="AN5" s="5" t="s">
        <v>300</v>
      </c>
    </row>
    <row r="6" spans="1:40">
      <c r="A6" s="2" t="s">
        <v>232</v>
      </c>
      <c r="B6" s="2" t="s">
        <v>312</v>
      </c>
      <c r="C6" s="3">
        <v>46211</v>
      </c>
      <c r="D6" s="4">
        <v>563161793</v>
      </c>
      <c r="E6" s="5" t="s">
        <v>313</v>
      </c>
      <c r="F6" s="6">
        <v>46065</v>
      </c>
      <c r="G6" s="5" t="s">
        <v>314</v>
      </c>
      <c r="H6" s="5" t="s">
        <v>184</v>
      </c>
      <c r="I6" s="5" t="s">
        <v>314</v>
      </c>
      <c r="J6" s="5" t="s">
        <v>294</v>
      </c>
      <c r="K6" s="3">
        <v>46251</v>
      </c>
      <c r="L6" s="12">
        <f ca="1">IF($O6="","",$O6-TODAY())</f>
        <v>147</v>
      </c>
      <c r="M6" s="12">
        <f ca="1">IF($C6="","",$C6+365-TODAY())</f>
        <v>293</v>
      </c>
      <c r="N6" s="12">
        <f ca="1">IF($C6="","",$C6+120-TODAY())</f>
        <v>48</v>
      </c>
      <c r="O6" s="6">
        <v>46430</v>
      </c>
      <c r="P6" s="5" t="s">
        <v>49</v>
      </c>
      <c r="Q6" s="5" t="s">
        <v>99</v>
      </c>
      <c r="R6" s="5" t="s">
        <v>49</v>
      </c>
      <c r="S6" s="5" t="s">
        <v>50</v>
      </c>
      <c r="T6" s="5" t="s">
        <v>100</v>
      </c>
      <c r="U6" s="5" t="s">
        <v>50</v>
      </c>
      <c r="V6" s="5"/>
      <c r="W6" s="5"/>
      <c r="X6" s="5"/>
      <c r="Y6" s="5" t="s">
        <v>51</v>
      </c>
      <c r="Z6" s="7">
        <v>1294.23</v>
      </c>
      <c r="AA6" s="7">
        <v>1131</v>
      </c>
      <c r="AB6" s="7">
        <v>127.49</v>
      </c>
      <c r="AC6" s="6">
        <v>46211</v>
      </c>
      <c r="AD6" s="7">
        <v>35.74</v>
      </c>
      <c r="AE6" s="4">
        <v>177</v>
      </c>
      <c r="AF6" s="5" t="s">
        <v>295</v>
      </c>
      <c r="AG6" s="5" t="s">
        <v>316</v>
      </c>
      <c r="AH6" s="5" t="s">
        <v>317</v>
      </c>
      <c r="AI6" s="5" t="s">
        <v>318</v>
      </c>
      <c r="AJ6" s="4">
        <v>566075130</v>
      </c>
      <c r="AK6" s="5" t="s">
        <v>304</v>
      </c>
      <c r="AL6" s="5" t="s">
        <v>67</v>
      </c>
      <c r="AM6" s="6">
        <v>46076</v>
      </c>
      <c r="AN6" s="5" t="s">
        <v>300</v>
      </c>
    </row>
  </sheetData>
  <autoFilter ref="A1:AN6" xr:uid="{00000000-0009-0000-0000-000004000000}"/>
  <conditionalFormatting sqref="L2:L6">
    <cfRule type="expression" dxfId="19" priority="1">
      <formula>AND($L2&lt;&gt;"", $L2&gt;=0, $L2&lt;=5)</formula>
    </cfRule>
    <cfRule type="expression" dxfId="18" priority="2">
      <formula>AND($L2&lt;&gt;"", $L2&gt;5, $L2&lt;=30)</formula>
    </cfRule>
    <cfRule type="expression" dxfId="17" priority="3">
      <formula>AND($L2&lt;&gt;"", $L2&gt;30)</formula>
    </cfRule>
    <cfRule type="expression" dxfId="16" priority="4">
      <formula>AND($L2&lt;&gt;"", $L2&lt;0)</formula>
    </cfRule>
    <cfRule type="expression" dxfId="15" priority="5">
      <formula>$L2=""</formula>
    </cfRule>
  </conditionalFormatting>
  <conditionalFormatting sqref="M2:M6">
    <cfRule type="expression" dxfId="14" priority="6">
      <formula>AND($M2&lt;&gt;"", $M2&gt;=0, $M2&lt;=5)</formula>
    </cfRule>
    <cfRule type="expression" dxfId="13" priority="7">
      <formula>AND($M2&lt;&gt;"", $M2&gt;5, $M2&lt;=30)</formula>
    </cfRule>
    <cfRule type="expression" dxfId="12" priority="8">
      <formula>AND($M2&lt;&gt;"", $M2&gt;30)</formula>
    </cfRule>
    <cfRule type="expression" dxfId="11" priority="9">
      <formula>AND($M2&lt;&gt;"", $M2&lt;0)</formula>
    </cfRule>
    <cfRule type="expression" dxfId="10" priority="10">
      <formula>$M2=""</formula>
    </cfRule>
  </conditionalFormatting>
  <conditionalFormatting sqref="N2:N6">
    <cfRule type="expression" dxfId="9" priority="11">
      <formula>AND($N2&lt;&gt;"", $N2&gt;=0, $N2&lt;=5)</formula>
    </cfRule>
    <cfRule type="expression" dxfId="8" priority="12">
      <formula>AND($N2&lt;&gt;"", $N2&gt;5, $N2&lt;=30)</formula>
    </cfRule>
    <cfRule type="expression" dxfId="7" priority="13">
      <formula>AND($N2&lt;&gt;"", $N2&gt;30)</formula>
    </cfRule>
    <cfRule type="expression" dxfId="6" priority="14">
      <formula>AND($N2&lt;&gt;"", $N2&lt;0)</formula>
    </cfRule>
    <cfRule type="expression" dxfId="5" priority="15">
      <formula>$N2=""</formula>
    </cfRule>
  </conditionalFormatting>
  <conditionalFormatting sqref="O2:U6">
    <cfRule type="expression" dxfId="4" priority="16">
      <formula>AND($L2&lt;&gt;"", $L2&gt;=0, $L2&lt;=5)</formula>
    </cfRule>
    <cfRule type="expression" dxfId="3" priority="17">
      <formula>AND($L2&lt;&gt;"", $L2&gt;5, $L2&lt;=30)</formula>
    </cfRule>
    <cfRule type="expression" dxfId="2" priority="18">
      <formula>AND($L2&lt;&gt;"", $L2&gt;30)</formula>
    </cfRule>
    <cfRule type="expression" dxfId="1" priority="19">
      <formula>AND($L2&lt;&gt;"", $L2&lt;0)</formula>
    </cfRule>
    <cfRule type="expression" dxfId="0" priority="20">
      <formula>$L2=""</formula>
    </cfRule>
  </conditionalFormatting>
  <dataValidations count="1">
    <dataValidation type="list" allowBlank="1" showInputMessage="1" promptTitle="Claim Status" prompt="Pick a status, or type a new one." sqref="A2:A6" xr:uid="{00000000-0002-0000-0400-000000000000}">
      <formula1>"Denied,Finalized,PAID,Pending,Received,Rejected,Under Review"</formula1>
    </dataValidation>
  </dataValidations>
  <pageMargins left="0.75" right="0.75" top="1" bottom="1" header="0.5" footer="0.5"/>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1F4E79"/>
  </sheetPr>
  <dimension ref="A1:A37"/>
  <sheetViews>
    <sheetView showGridLines="0" workbookViewId="0"/>
  </sheetViews>
  <sheetFormatPr defaultRowHeight="15"/>
  <cols>
    <col min="1" max="1" width="118" customWidth="1"/>
  </cols>
  <sheetData>
    <row r="1" spans="1:1" ht="18.75">
      <c r="A1" s="8" t="s">
        <v>320</v>
      </c>
    </row>
    <row r="2" spans="1:1">
      <c r="A2" s="9"/>
    </row>
    <row r="3" spans="1:1">
      <c r="A3" s="9" t="s">
        <v>353</v>
      </c>
    </row>
    <row r="4" spans="1:1">
      <c r="A4" s="9"/>
    </row>
    <row r="5" spans="1:1">
      <c r="A5" s="10" t="s">
        <v>322</v>
      </c>
    </row>
    <row r="6" spans="1:1" ht="45">
      <c r="A6" s="9" t="s">
        <v>354</v>
      </c>
    </row>
    <row r="7" spans="1:1">
      <c r="A7" s="9" t="s">
        <v>355</v>
      </c>
    </row>
    <row r="8" spans="1:1">
      <c r="A8" s="9" t="s">
        <v>325</v>
      </c>
    </row>
    <row r="9" spans="1:1">
      <c r="A9" s="9" t="s">
        <v>326</v>
      </c>
    </row>
    <row r="10" spans="1:1">
      <c r="A10" s="9" t="s">
        <v>356</v>
      </c>
    </row>
    <row r="11" spans="1:1">
      <c r="A11" s="9" t="s">
        <v>328</v>
      </c>
    </row>
    <row r="12" spans="1:1">
      <c r="A12" s="9" t="s">
        <v>357</v>
      </c>
    </row>
    <row r="13" spans="1:1">
      <c r="A13" s="9"/>
    </row>
    <row r="14" spans="1:1" ht="30">
      <c r="A14" s="9" t="s">
        <v>330</v>
      </c>
    </row>
    <row r="15" spans="1:1" ht="45">
      <c r="A15" s="9" t="s">
        <v>331</v>
      </c>
    </row>
    <row r="16" spans="1:1" ht="30">
      <c r="A16" s="9" t="s">
        <v>332</v>
      </c>
    </row>
    <row r="17" spans="1:1" ht="30">
      <c r="A17" s="9" t="s">
        <v>333</v>
      </c>
    </row>
    <row r="18" spans="1:1">
      <c r="A18" s="9"/>
    </row>
    <row r="19" spans="1:1">
      <c r="A19" s="10" t="s">
        <v>334</v>
      </c>
    </row>
    <row r="20" spans="1:1" ht="45">
      <c r="A20" s="9" t="s">
        <v>335</v>
      </c>
    </row>
    <row r="21" spans="1:1">
      <c r="A21" s="9" t="s">
        <v>351</v>
      </c>
    </row>
    <row r="22" spans="1:1" ht="30">
      <c r="A22" s="9" t="s">
        <v>337</v>
      </c>
    </row>
    <row r="23" spans="1:1">
      <c r="A23" s="9"/>
    </row>
    <row r="24" spans="1:1">
      <c r="A24" s="10" t="s">
        <v>338</v>
      </c>
    </row>
    <row r="25" spans="1:1" ht="30">
      <c r="A25" s="9" t="s">
        <v>339</v>
      </c>
    </row>
    <row r="26" spans="1:1" ht="45">
      <c r="A26" s="9" t="s">
        <v>340</v>
      </c>
    </row>
    <row r="27" spans="1:1">
      <c r="A27" s="9"/>
    </row>
    <row r="28" spans="1:1">
      <c r="A28" s="10" t="s">
        <v>341</v>
      </c>
    </row>
    <row r="29" spans="1:1" ht="45">
      <c r="A29" s="9" t="s">
        <v>342</v>
      </c>
    </row>
    <row r="30" spans="1:1" ht="45">
      <c r="A30" s="9" t="s">
        <v>343</v>
      </c>
    </row>
    <row r="31" spans="1:1" ht="30">
      <c r="A31" s="9" t="s">
        <v>344</v>
      </c>
    </row>
    <row r="32" spans="1:1">
      <c r="A32" s="9"/>
    </row>
    <row r="33" spans="1:1">
      <c r="A33" s="10" t="s">
        <v>345</v>
      </c>
    </row>
    <row r="34" spans="1:1" ht="45">
      <c r="A34" s="9" t="s">
        <v>358</v>
      </c>
    </row>
    <row r="35" spans="1:1" ht="30">
      <c r="A35" s="9" t="s">
        <v>347</v>
      </c>
    </row>
    <row r="36" spans="1:1">
      <c r="A36" s="9"/>
    </row>
    <row r="37" spans="1:1">
      <c r="A37" s="9" t="s">
        <v>348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Linda Mora</cp:lastModifiedBy>
  <cp:revision/>
  <dcterms:created xsi:type="dcterms:W3CDTF">2026-08-13T00:38:29Z</dcterms:created>
  <dcterms:modified xsi:type="dcterms:W3CDTF">2026-09-15T22:28:50Z</dcterms:modified>
  <cp:category/>
  <cp:contentStatus/>
</cp:coreProperties>
</file>