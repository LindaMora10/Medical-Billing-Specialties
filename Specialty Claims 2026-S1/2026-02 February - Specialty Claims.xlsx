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'BH'!$A$1:$AJ$13</definedName>
    <definedName name="_xlnm._FilterDatabase" localSheetId="1" hidden="1">'DME'!$A$1:$AJ$13</definedName>
    <definedName name="_xlnm._FilterDatabase" localSheetId="2" hidden="1">'GAE'!$A$1:$AJ$23</definedName>
    <definedName name="_xlnm._FilterDatabase" localSheetId="3" hidden="1">'ORTHO'!$A$1:$AJ$17</definedName>
    <definedName name="_xlnm._FilterDatabase" localSheetId="4" hidden="1">'US'!$A$1:$AJ$7</definedName>
  </definedNames>
  <calcPr calcId="124519" fullCalcOnLoad="1"/>
</workbook>
</file>

<file path=xl/styles.xml><?xml version="1.0" encoding="utf-8"?>
<styleSheet xmlns="http://schemas.openxmlformats.org/spreadsheetml/2006/main">
  <numFmts count="3">
    <numFmt numFmtId="164" formatCode="DD/MM/YYYY"/>
    <numFmt numFmtId="165" formatCode="yyyy-mm-dd"/>
    <numFmt numFmtId="166" formatCode="MM/DD/YYYY"/>
  </numFmts>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64" fontId="2" fillId="3" borderId="1" applyAlignment="1" pivotButton="0" quotePrefix="0" xfId="0">
      <alignment vertical="top"/>
    </xf>
    <xf numFmtId="1" fontId="2" fillId="0" borderId="1" applyAlignment="1" pivotButton="0" quotePrefix="0" xfId="0">
      <alignment vertical="top"/>
    </xf>
    <xf numFmtId="0" fontId="2" fillId="0" borderId="1" applyAlignment="1" pivotButton="0" quotePrefix="0" xfId="0">
      <alignment vertical="top"/>
    </xf>
    <xf numFmtId="166" fontId="2" fillId="0" borderId="1" applyAlignment="1" pivotButton="0" quotePrefix="0" xfId="0">
      <alignment vertical="top"/>
    </xf>
    <xf numFmtId="4" fontId="2" fillId="0" borderId="1" applyAlignment="1" pivotButton="0" quotePrefix="0" xfId="0">
      <alignment vertical="top"/>
    </xf>
    <xf numFmtId="0" fontId="2"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2.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3.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4.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5.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J13"/>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n"/>
      <c r="B2" s="3" t="n"/>
      <c r="C2" s="4" t="n"/>
      <c r="D2" s="5" t="n">
        <v>548676737</v>
      </c>
      <c r="E2" s="6" t="inlineStr">
        <is>
          <t>HF499806568</t>
        </is>
      </c>
      <c r="F2" s="6" t="inlineStr">
        <is>
          <t>02/03/2026</t>
        </is>
      </c>
      <c r="G2" s="6" t="inlineStr">
        <is>
          <t>Blue Cross Blue Shield of Arizona (BCBS AZ)</t>
        </is>
      </c>
      <c r="H2" s="6" t="inlineStr">
        <is>
          <t>Blue Cross Blue Shield of Arizona (BCBS AZ)</t>
        </is>
      </c>
      <c r="I2" s="6" t="inlineStr">
        <is>
          <t>No Payer</t>
        </is>
      </c>
      <c r="J2" s="6" t="inlineStr">
        <is>
          <t>99494</t>
        </is>
      </c>
      <c r="K2" s="4" t="n"/>
      <c r="L2" s="5">
        <f>IF($M2="","",$M2-TODAY())</f>
        <v/>
      </c>
      <c r="M2" s="7" t="n">
        <v>46146</v>
      </c>
      <c r="N2" s="6" t="inlineStr">
        <is>
          <t>90 days</t>
        </is>
      </c>
      <c r="O2" s="6" t="inlineStr">
        <is>
          <t>BCBS</t>
        </is>
      </c>
      <c r="P2" s="6" t="n"/>
      <c r="Q2" s="6" t="n"/>
      <c r="R2" s="6" t="n"/>
      <c r="S2" s="5" t="n">
        <v>1</v>
      </c>
      <c r="T2" s="8" t="n">
        <v>396.27</v>
      </c>
      <c r="U2" s="8" t="n">
        <v>0</v>
      </c>
      <c r="V2" s="8" t="n">
        <v>0</v>
      </c>
      <c r="W2" s="6" t="inlineStr">
        <is>
          <t>03/17/2026</t>
        </is>
      </c>
      <c r="X2" s="8" t="n">
        <v>396.27</v>
      </c>
      <c r="Y2" s="5" t="n">
        <v>186</v>
      </c>
      <c r="Z2" s="6" t="inlineStr">
        <is>
          <t>F4320</t>
        </is>
      </c>
      <c r="AA2" s="6" t="n"/>
      <c r="AB2" s="6" t="n"/>
      <c r="AC2" s="6" t="n"/>
      <c r="AD2" s="5" t="n"/>
      <c r="AE2" s="6" t="inlineStr">
        <is>
          <t>LEATHEM, JARRETT</t>
        </is>
      </c>
      <c r="AF2" s="6" t="inlineStr">
        <is>
          <t>ASAP - Goodyear</t>
        </is>
      </c>
      <c r="AG2" s="6" t="inlineStr">
        <is>
          <t>03/05/2026</t>
        </is>
      </c>
      <c r="AH2" s="6" t="inlineStr">
        <is>
          <t>BH</t>
        </is>
      </c>
      <c r="AI2" s="9" t="inlineStr">
        <is>
          <t>BCBS AZ dropped from 365 to 90 days on 01/01/2026. All dates of service here are 2026, so 90 days applies.</t>
        </is>
      </c>
      <c r="AJ2" s="5" t="n">
        <v>611</v>
      </c>
    </row>
    <row r="3">
      <c r="A3" s="2" t="n"/>
      <c r="B3" s="3" t="n"/>
      <c r="C3" s="4" t="n"/>
      <c r="D3" s="5" t="n">
        <v>548676737</v>
      </c>
      <c r="E3" s="6" t="inlineStr">
        <is>
          <t>HF499806568</t>
        </is>
      </c>
      <c r="F3" s="6" t="inlineStr">
        <is>
          <t>02/03/2026</t>
        </is>
      </c>
      <c r="G3" s="6" t="inlineStr">
        <is>
          <t>Blue Cross Blue Shield of Arizona (BCBS AZ)</t>
        </is>
      </c>
      <c r="H3" s="6" t="inlineStr">
        <is>
          <t>Blue Cross Blue Shield of Arizona (BCBS AZ)</t>
        </is>
      </c>
      <c r="I3" s="6" t="inlineStr">
        <is>
          <t>No Payer</t>
        </is>
      </c>
      <c r="J3" s="6" t="inlineStr">
        <is>
          <t>99493</t>
        </is>
      </c>
      <c r="K3" s="4" t="n"/>
      <c r="L3" s="5">
        <f>IF($M3="","",$M3-TODAY())</f>
        <v/>
      </c>
      <c r="M3" s="7" t="n">
        <v>46146</v>
      </c>
      <c r="N3" s="6" t="inlineStr">
        <is>
          <t>90 days</t>
        </is>
      </c>
      <c r="O3" s="6" t="inlineStr">
        <is>
          <t>BCBS</t>
        </is>
      </c>
      <c r="P3" s="6" t="n"/>
      <c r="Q3" s="6" t="n"/>
      <c r="R3" s="6" t="n"/>
      <c r="S3" s="5" t="n">
        <v>1</v>
      </c>
      <c r="T3" s="8" t="n">
        <v>976.64</v>
      </c>
      <c r="U3" s="8" t="n">
        <v>0</v>
      </c>
      <c r="V3" s="8" t="n">
        <v>0</v>
      </c>
      <c r="W3" s="6" t="inlineStr">
        <is>
          <t>03/17/2026</t>
        </is>
      </c>
      <c r="X3" s="8" t="n">
        <v>976.64</v>
      </c>
      <c r="Y3" s="5" t="n">
        <v>186</v>
      </c>
      <c r="Z3" s="6" t="inlineStr">
        <is>
          <t>F4320</t>
        </is>
      </c>
      <c r="AA3" s="6" t="n"/>
      <c r="AB3" s="6" t="n"/>
      <c r="AC3" s="6" t="n"/>
      <c r="AD3" s="5" t="n"/>
      <c r="AE3" s="6" t="inlineStr">
        <is>
          <t>LEATHEM, JARRETT</t>
        </is>
      </c>
      <c r="AF3" s="6" t="inlineStr">
        <is>
          <t>ASAP - Goodyear</t>
        </is>
      </c>
      <c r="AG3" s="6" t="inlineStr">
        <is>
          <t>03/05/2026</t>
        </is>
      </c>
      <c r="AH3" s="6" t="inlineStr">
        <is>
          <t>BH</t>
        </is>
      </c>
      <c r="AI3" s="9" t="inlineStr">
        <is>
          <t>BCBS AZ dropped from 365 to 90 days on 01/01/2026. All dates of service here are 2026, so 90 days applies.</t>
        </is>
      </c>
      <c r="AJ3" s="5" t="n">
        <v>612</v>
      </c>
    </row>
    <row r="4">
      <c r="A4" s="2" t="n"/>
      <c r="B4" s="3" t="n"/>
      <c r="C4" s="4" t="n"/>
      <c r="D4" s="5" t="n">
        <v>548979329</v>
      </c>
      <c r="E4" s="6" t="inlineStr">
        <is>
          <t>HF527306886</t>
        </is>
      </c>
      <c r="F4" s="6" t="inlineStr">
        <is>
          <t>02/09/2026</t>
        </is>
      </c>
      <c r="G4" s="6" t="inlineStr">
        <is>
          <t>Blue Cross Blue Shield of Arizona (BCBS AZ)</t>
        </is>
      </c>
      <c r="H4" s="6" t="inlineStr">
        <is>
          <t>Blue Cross Blue Shield of Arizona (BCBS AZ)</t>
        </is>
      </c>
      <c r="I4" s="6" t="inlineStr">
        <is>
          <t>No Payer</t>
        </is>
      </c>
      <c r="J4" s="6" t="inlineStr">
        <is>
          <t>99493</t>
        </is>
      </c>
      <c r="K4" s="4" t="n"/>
      <c r="L4" s="5">
        <f>IF($M4="","",$M4-TODAY())</f>
        <v/>
      </c>
      <c r="M4" s="7" t="n">
        <v>46152</v>
      </c>
      <c r="N4" s="6" t="inlineStr">
        <is>
          <t>90 days</t>
        </is>
      </c>
      <c r="O4" s="6" t="inlineStr">
        <is>
          <t>BCBS</t>
        </is>
      </c>
      <c r="P4" s="6" t="n"/>
      <c r="Q4" s="6" t="n"/>
      <c r="R4" s="6" t="n"/>
      <c r="S4" s="5" t="n">
        <v>1</v>
      </c>
      <c r="T4" s="8" t="n">
        <v>976.64</v>
      </c>
      <c r="U4" s="8" t="n">
        <v>0</v>
      </c>
      <c r="V4" s="8" t="n">
        <v>0</v>
      </c>
      <c r="W4" s="6" t="inlineStr">
        <is>
          <t>05/06/2026</t>
        </is>
      </c>
      <c r="X4" s="8" t="n">
        <v>976.64</v>
      </c>
      <c r="Y4" s="5" t="n">
        <v>180</v>
      </c>
      <c r="Z4" s="6" t="inlineStr">
        <is>
          <t>F4320</t>
        </is>
      </c>
      <c r="AA4" s="6" t="n"/>
      <c r="AB4" s="6" t="n"/>
      <c r="AC4" s="6" t="n"/>
      <c r="AD4" s="5" t="n"/>
      <c r="AE4" s="6" t="inlineStr">
        <is>
          <t>KALLGREN, MARK</t>
        </is>
      </c>
      <c r="AF4" s="6" t="inlineStr">
        <is>
          <t>ASAP Peoria</t>
        </is>
      </c>
      <c r="AG4" s="6" t="inlineStr">
        <is>
          <t>03/09/2026</t>
        </is>
      </c>
      <c r="AH4" s="6" t="inlineStr">
        <is>
          <t>BH</t>
        </is>
      </c>
      <c r="AI4" s="9" t="inlineStr">
        <is>
          <t>BCBS AZ dropped from 365 to 90 days on 01/01/2026. All dates of service here are 2026, so 90 days applies.</t>
        </is>
      </c>
      <c r="AJ4" s="5" t="n">
        <v>447</v>
      </c>
    </row>
    <row r="5">
      <c r="A5" s="2" t="n"/>
      <c r="B5" s="3" t="n"/>
      <c r="C5" s="4" t="n"/>
      <c r="D5" s="5" t="n">
        <v>548979329</v>
      </c>
      <c r="E5" s="6" t="inlineStr">
        <is>
          <t>HF527306886</t>
        </is>
      </c>
      <c r="F5" s="6" t="inlineStr">
        <is>
          <t>02/09/2026</t>
        </is>
      </c>
      <c r="G5" s="6" t="inlineStr">
        <is>
          <t>Blue Cross Blue Shield of Arizona (BCBS AZ)</t>
        </is>
      </c>
      <c r="H5" s="6" t="inlineStr">
        <is>
          <t>Blue Cross Blue Shield of Arizona (BCBS AZ)</t>
        </is>
      </c>
      <c r="I5" s="6" t="inlineStr">
        <is>
          <t>No Payer</t>
        </is>
      </c>
      <c r="J5" s="6" t="inlineStr">
        <is>
          <t>99494</t>
        </is>
      </c>
      <c r="K5" s="4" t="n"/>
      <c r="L5" s="5">
        <f>IF($M5="","",$M5-TODAY())</f>
        <v/>
      </c>
      <c r="M5" s="7" t="n">
        <v>46152</v>
      </c>
      <c r="N5" s="6" t="inlineStr">
        <is>
          <t>90 days</t>
        </is>
      </c>
      <c r="O5" s="6" t="inlineStr">
        <is>
          <t>BCBS</t>
        </is>
      </c>
      <c r="P5" s="6" t="n"/>
      <c r="Q5" s="6" t="n"/>
      <c r="R5" s="6" t="n"/>
      <c r="S5" s="5" t="n">
        <v>1</v>
      </c>
      <c r="T5" s="8" t="n">
        <v>396.27</v>
      </c>
      <c r="U5" s="8" t="n">
        <v>0</v>
      </c>
      <c r="V5" s="8" t="n">
        <v>0</v>
      </c>
      <c r="W5" s="6" t="inlineStr">
        <is>
          <t>05/06/2026</t>
        </is>
      </c>
      <c r="X5" s="8" t="n">
        <v>396.27</v>
      </c>
      <c r="Y5" s="5" t="n">
        <v>180</v>
      </c>
      <c r="Z5" s="6" t="inlineStr">
        <is>
          <t>F4320</t>
        </is>
      </c>
      <c r="AA5" s="6" t="n"/>
      <c r="AB5" s="6" t="n"/>
      <c r="AC5" s="6" t="n"/>
      <c r="AD5" s="5" t="n"/>
      <c r="AE5" s="6" t="inlineStr">
        <is>
          <t>KALLGREN, MARK</t>
        </is>
      </c>
      <c r="AF5" s="6" t="inlineStr">
        <is>
          <t>ASAP Peoria</t>
        </is>
      </c>
      <c r="AG5" s="6" t="inlineStr">
        <is>
          <t>03/09/2026</t>
        </is>
      </c>
      <c r="AH5" s="6" t="inlineStr">
        <is>
          <t>BH</t>
        </is>
      </c>
      <c r="AI5" s="9" t="inlineStr">
        <is>
          <t>BCBS AZ dropped from 365 to 90 days on 01/01/2026. All dates of service here are 2026, so 90 days applies.</t>
        </is>
      </c>
      <c r="AJ5" s="5" t="n">
        <v>448</v>
      </c>
    </row>
    <row r="6">
      <c r="A6" s="2" t="inlineStr">
        <is>
          <t>Finalized</t>
        </is>
      </c>
      <c r="B6" s="3" t="n"/>
      <c r="C6" s="4" t="n"/>
      <c r="D6" s="5" t="n">
        <v>549765437</v>
      </c>
      <c r="E6" s="6" t="inlineStr">
        <is>
          <t>HF359780591</t>
        </is>
      </c>
      <c r="F6" s="6" t="inlineStr">
        <is>
          <t>02/12/2026</t>
        </is>
      </c>
      <c r="G6" s="6" t="inlineStr">
        <is>
          <t>TRIADA GAP BENEFITS</t>
        </is>
      </c>
      <c r="H6" s="6" t="inlineStr">
        <is>
          <t>Blue Cross Blue Shield of Arizona (BCBS AZ)</t>
        </is>
      </c>
      <c r="I6" s="6" t="inlineStr">
        <is>
          <t>TRIADA GAP BENEFITS</t>
        </is>
      </c>
      <c r="J6" s="6" t="inlineStr">
        <is>
          <t>99493</t>
        </is>
      </c>
      <c r="K6" s="4" t="n"/>
      <c r="L6" s="5">
        <f>IF($M6="","",$M6-TODAY())</f>
        <v/>
      </c>
      <c r="M6" s="7" t="n">
        <v>46155</v>
      </c>
      <c r="N6" s="6" t="inlineStr">
        <is>
          <t>90 days</t>
        </is>
      </c>
      <c r="O6" s="6" t="inlineStr">
        <is>
          <t>BCBS</t>
        </is>
      </c>
      <c r="P6" s="6" t="n"/>
      <c r="Q6" s="6" t="n"/>
      <c r="R6" s="6" t="n"/>
      <c r="S6" s="5" t="n">
        <v>1</v>
      </c>
      <c r="T6" s="8" t="n">
        <v>976.64</v>
      </c>
      <c r="U6" s="8" t="n">
        <v>840.66</v>
      </c>
      <c r="V6" s="8" t="n">
        <v>0</v>
      </c>
      <c r="W6" s="6" t="inlineStr">
        <is>
          <t>04/07/2026</t>
        </is>
      </c>
      <c r="X6" s="8" t="n">
        <v>135.98</v>
      </c>
      <c r="Y6" s="5" t="n">
        <v>177</v>
      </c>
      <c r="Z6" s="6" t="inlineStr">
        <is>
          <t>F411</t>
        </is>
      </c>
      <c r="AA6" s="6" t="n"/>
      <c r="AB6" s="6" t="n"/>
      <c r="AC6" s="6" t="n"/>
      <c r="AD6" s="5" t="n">
        <v>558453526</v>
      </c>
      <c r="AE6" s="6" t="inlineStr">
        <is>
          <t>LEATHEM, JARRETT</t>
        </is>
      </c>
      <c r="AF6" s="6" t="inlineStr">
        <is>
          <t>ASAP - DEER VALLEY</t>
        </is>
      </c>
      <c r="AG6" s="6" t="inlineStr">
        <is>
          <t>03/05/2026</t>
        </is>
      </c>
      <c r="AH6" s="6" t="inlineStr">
        <is>
          <t>BH</t>
        </is>
      </c>
      <c r="AI6" s="9" t="inlineStr">
        <is>
          <t>BCBS AZ dropped from 365 to 90 days on 01/01/2026. All dates of service here are 2026, so 90 days applies.</t>
        </is>
      </c>
      <c r="AJ6" s="5" t="n">
        <v>100</v>
      </c>
    </row>
    <row r="7">
      <c r="A7" s="2" t="inlineStr">
        <is>
          <t>Finalized</t>
        </is>
      </c>
      <c r="B7" s="3" t="n"/>
      <c r="C7" s="4" t="n"/>
      <c r="D7" s="5" t="n">
        <v>549765437</v>
      </c>
      <c r="E7" s="6" t="inlineStr">
        <is>
          <t>HF359780591</t>
        </is>
      </c>
      <c r="F7" s="6" t="inlineStr">
        <is>
          <t>02/12/2026</t>
        </is>
      </c>
      <c r="G7" s="6" t="inlineStr">
        <is>
          <t>TRIADA GAP BENEFITS</t>
        </is>
      </c>
      <c r="H7" s="6" t="inlineStr">
        <is>
          <t>Blue Cross Blue Shield of Arizona (BCBS AZ)</t>
        </is>
      </c>
      <c r="I7" s="6" t="inlineStr">
        <is>
          <t>TRIADA GAP BENEFITS</t>
        </is>
      </c>
      <c r="J7" s="6" t="inlineStr">
        <is>
          <t>99494</t>
        </is>
      </c>
      <c r="K7" s="4" t="n"/>
      <c r="L7" s="5">
        <f>IF($M7="","",$M7-TODAY())</f>
        <v/>
      </c>
      <c r="M7" s="7" t="n">
        <v>46155</v>
      </c>
      <c r="N7" s="6" t="inlineStr">
        <is>
          <t>90 days</t>
        </is>
      </c>
      <c r="O7" s="6" t="inlineStr">
        <is>
          <t>BCBS</t>
        </is>
      </c>
      <c r="P7" s="6" t="n"/>
      <c r="Q7" s="6" t="n"/>
      <c r="R7" s="6" t="n"/>
      <c r="S7" s="5" t="n">
        <v>1</v>
      </c>
      <c r="T7" s="8" t="n">
        <v>396.27</v>
      </c>
      <c r="U7" s="8" t="n">
        <v>339.23</v>
      </c>
      <c r="V7" s="8" t="n">
        <v>0</v>
      </c>
      <c r="W7" s="6" t="inlineStr">
        <is>
          <t>04/07/2026</t>
        </is>
      </c>
      <c r="X7" s="8" t="n">
        <v>57.04</v>
      </c>
      <c r="Y7" s="5" t="n">
        <v>177</v>
      </c>
      <c r="Z7" s="6" t="inlineStr">
        <is>
          <t>F411</t>
        </is>
      </c>
      <c r="AA7" s="6" t="n"/>
      <c r="AB7" s="6" t="n"/>
      <c r="AC7" s="6" t="n"/>
      <c r="AD7" s="5" t="n">
        <v>558453526</v>
      </c>
      <c r="AE7" s="6" t="inlineStr">
        <is>
          <t>LEATHEM, JARRETT</t>
        </is>
      </c>
      <c r="AF7" s="6" t="inlineStr">
        <is>
          <t>ASAP - DEER VALLEY</t>
        </is>
      </c>
      <c r="AG7" s="6" t="inlineStr">
        <is>
          <t>03/05/2026</t>
        </is>
      </c>
      <c r="AH7" s="6" t="inlineStr">
        <is>
          <t>BH</t>
        </is>
      </c>
      <c r="AI7" s="9" t="inlineStr">
        <is>
          <t>BCBS AZ dropped from 365 to 90 days on 01/01/2026. All dates of service here are 2026, so 90 days applies.</t>
        </is>
      </c>
      <c r="AJ7" s="5" t="n">
        <v>101</v>
      </c>
    </row>
    <row r="8">
      <c r="A8" s="2" t="n"/>
      <c r="B8" s="3" t="n"/>
      <c r="C8" s="4" t="n"/>
      <c r="D8" s="5" t="n">
        <v>557794433</v>
      </c>
      <c r="E8" s="6" t="inlineStr">
        <is>
          <t>HF434792716</t>
        </is>
      </c>
      <c r="F8" s="6" t="inlineStr">
        <is>
          <t>02/13/2026</t>
        </is>
      </c>
      <c r="G8" s="6" t="inlineStr">
        <is>
          <t>Optum Care Medical Network of Arizona, Utah, &amp; Washington (LifePrint)</t>
        </is>
      </c>
      <c r="H8" s="6" t="inlineStr">
        <is>
          <t>Optum Care Medical Network of Arizona, Utah, &amp; Washington (LifePrint)</t>
        </is>
      </c>
      <c r="I8" s="6" t="inlineStr">
        <is>
          <t>No Payer</t>
        </is>
      </c>
      <c r="J8" s="6" t="inlineStr">
        <is>
          <t>99493</t>
        </is>
      </c>
      <c r="K8" s="4" t="n"/>
      <c r="L8" s="5">
        <f>IF($M8="","",$M8-TODAY())</f>
        <v/>
      </c>
      <c r="M8" s="7" t="n">
        <v>46156</v>
      </c>
      <c r="N8" s="6" t="inlineStr">
        <is>
          <t>90 days</t>
        </is>
      </c>
      <c r="O8" s="6" t="inlineStr">
        <is>
          <t>OPTUM</t>
        </is>
      </c>
      <c r="P8" s="6" t="n"/>
      <c r="Q8" s="6" t="n"/>
      <c r="R8" s="6" t="n"/>
      <c r="S8" s="5" t="n">
        <v>1</v>
      </c>
      <c r="T8" s="8" t="n">
        <v>976.64</v>
      </c>
      <c r="U8" s="8" t="n">
        <v>0</v>
      </c>
      <c r="V8" s="8" t="n">
        <v>0</v>
      </c>
      <c r="W8" s="6" t="inlineStr">
        <is>
          <t>05/05/2026</t>
        </is>
      </c>
      <c r="X8" s="8" t="n">
        <v>976.64</v>
      </c>
      <c r="Y8" s="5" t="n">
        <v>176</v>
      </c>
      <c r="Z8" s="6" t="inlineStr">
        <is>
          <t>F1190</t>
        </is>
      </c>
      <c r="AA8" s="6" t="n"/>
      <c r="AB8" s="6" t="n"/>
      <c r="AC8" s="6" t="n"/>
      <c r="AD8" s="5" t="n"/>
      <c r="AE8" s="6" t="inlineStr">
        <is>
          <t>LEATHEM, JARRETT</t>
        </is>
      </c>
      <c r="AF8" s="6" t="inlineStr">
        <is>
          <t>ASAP - Gilbert</t>
        </is>
      </c>
      <c r="AG8" s="6" t="inlineStr">
        <is>
          <t>03/05/2026</t>
        </is>
      </c>
      <c r="AH8" s="6" t="inlineStr">
        <is>
          <t>BH</t>
        </is>
      </c>
      <c r="AI8" s="9" t="n"/>
      <c r="AJ8" s="5" t="n">
        <v>109</v>
      </c>
    </row>
    <row r="9">
      <c r="A9" s="2" t="n"/>
      <c r="B9" s="3" t="n"/>
      <c r="C9" s="4" t="n"/>
      <c r="D9" s="5" t="n">
        <v>557794882</v>
      </c>
      <c r="E9" s="6" t="inlineStr">
        <is>
          <t>HF431164004</t>
        </is>
      </c>
      <c r="F9" s="6" t="inlineStr">
        <is>
          <t>02/17/2026</t>
        </is>
      </c>
      <c r="G9" s="6" t="inlineStr">
        <is>
          <t>Optum Care Medical Network of Arizona, Utah, &amp; Washington (LifePrint)</t>
        </is>
      </c>
      <c r="H9" s="6" t="inlineStr">
        <is>
          <t>Optum Care Medical Network of Arizona, Utah, &amp; Washington (LifePrint)</t>
        </is>
      </c>
      <c r="I9" s="6" t="inlineStr">
        <is>
          <t>No Payer</t>
        </is>
      </c>
      <c r="J9" s="6" t="inlineStr">
        <is>
          <t>99493</t>
        </is>
      </c>
      <c r="K9" s="4" t="n"/>
      <c r="L9" s="5">
        <f>IF($M9="","",$M9-TODAY())</f>
        <v/>
      </c>
      <c r="M9" s="7" t="n">
        <v>46160</v>
      </c>
      <c r="N9" s="6" t="inlineStr">
        <is>
          <t>90 days</t>
        </is>
      </c>
      <c r="O9" s="6" t="inlineStr">
        <is>
          <t>OPTUM</t>
        </is>
      </c>
      <c r="P9" s="6" t="n"/>
      <c r="Q9" s="6" t="n"/>
      <c r="R9" s="6" t="n"/>
      <c r="S9" s="5" t="n">
        <v>1</v>
      </c>
      <c r="T9" s="8" t="n">
        <v>976.64</v>
      </c>
      <c r="U9" s="8" t="n">
        <v>0</v>
      </c>
      <c r="V9" s="8" t="n">
        <v>0</v>
      </c>
      <c r="W9" s="6" t="inlineStr">
        <is>
          <t>05/05/2026</t>
        </is>
      </c>
      <c r="X9" s="8" t="n">
        <v>976.64</v>
      </c>
      <c r="Y9" s="5" t="n">
        <v>172</v>
      </c>
      <c r="Z9" s="6" t="inlineStr">
        <is>
          <t>F331</t>
        </is>
      </c>
      <c r="AA9" s="6" t="inlineStr">
        <is>
          <t>F411</t>
        </is>
      </c>
      <c r="AB9" s="6" t="n"/>
      <c r="AC9" s="6" t="n"/>
      <c r="AD9" s="5" t="n"/>
      <c r="AE9" s="6" t="inlineStr">
        <is>
          <t>O'NEIL, ROY</t>
        </is>
      </c>
      <c r="AF9" s="6" t="inlineStr">
        <is>
          <t>ASAP - Goodyear</t>
        </is>
      </c>
      <c r="AG9" s="6" t="inlineStr">
        <is>
          <t>03/05/2026</t>
        </is>
      </c>
      <c r="AH9" s="6" t="inlineStr">
        <is>
          <t>BH</t>
        </is>
      </c>
      <c r="AI9" s="9" t="n"/>
      <c r="AJ9" s="5" t="n">
        <v>432</v>
      </c>
    </row>
    <row r="10">
      <c r="A10" s="2" t="n"/>
      <c r="B10" s="3" t="n"/>
      <c r="C10" s="4" t="n"/>
      <c r="D10" s="5" t="n">
        <v>550288006</v>
      </c>
      <c r="E10" s="6" t="inlineStr">
        <is>
          <t>HF331718997</t>
        </is>
      </c>
      <c r="F10" s="6" t="inlineStr">
        <is>
          <t>02/18/2026</t>
        </is>
      </c>
      <c r="G10" s="6" t="inlineStr">
        <is>
          <t>Blue Cross Blue Shield of Arizona (BCBS AZ)</t>
        </is>
      </c>
      <c r="H10" s="6" t="inlineStr">
        <is>
          <t>Blue Cross Blue Shield of Arizona (BCBS AZ)</t>
        </is>
      </c>
      <c r="I10" s="6" t="inlineStr">
        <is>
          <t>No Payer</t>
        </is>
      </c>
      <c r="J10" s="6" t="inlineStr">
        <is>
          <t>99494</t>
        </is>
      </c>
      <c r="K10" s="4" t="n"/>
      <c r="L10" s="5">
        <f>IF($M10="","",$M10-TODAY())</f>
        <v/>
      </c>
      <c r="M10" s="7" t="n">
        <v>46161</v>
      </c>
      <c r="N10" s="6" t="inlineStr">
        <is>
          <t>90 days</t>
        </is>
      </c>
      <c r="O10" s="6" t="inlineStr">
        <is>
          <t>BCBS</t>
        </is>
      </c>
      <c r="P10" s="6" t="n"/>
      <c r="Q10" s="6" t="n"/>
      <c r="R10" s="6" t="n"/>
      <c r="S10" s="5" t="n">
        <v>2</v>
      </c>
      <c r="T10" s="8" t="n">
        <v>792.54</v>
      </c>
      <c r="U10" s="8" t="n">
        <v>0</v>
      </c>
      <c r="V10" s="8" t="n">
        <v>0</v>
      </c>
      <c r="W10" s="6" t="inlineStr">
        <is>
          <t>03/20/2026</t>
        </is>
      </c>
      <c r="X10" s="8" t="n">
        <v>792.54</v>
      </c>
      <c r="Y10" s="5" t="n">
        <v>171</v>
      </c>
      <c r="Z10" s="6" t="inlineStr">
        <is>
          <t>F4323</t>
        </is>
      </c>
      <c r="AA10" s="6" t="n"/>
      <c r="AB10" s="6" t="n"/>
      <c r="AC10" s="6" t="n"/>
      <c r="AD10" s="5" t="n"/>
      <c r="AE10" s="6" t="inlineStr">
        <is>
          <t>SARKAR, AWNIK</t>
        </is>
      </c>
      <c r="AF10" s="6" t="inlineStr">
        <is>
          <t>ASAP - DEER VALLEY</t>
        </is>
      </c>
      <c r="AG10" s="6" t="inlineStr">
        <is>
          <t>03/05/2026</t>
        </is>
      </c>
      <c r="AH10" s="6" t="inlineStr">
        <is>
          <t>BH</t>
        </is>
      </c>
      <c r="AI10" s="9" t="inlineStr">
        <is>
          <t>BCBS AZ dropped from 365 to 90 days on 01/01/2026. All dates of service here are 2026, so 90 days applies.</t>
        </is>
      </c>
      <c r="AJ10" s="5" t="n">
        <v>654</v>
      </c>
    </row>
    <row r="11">
      <c r="A11" s="2" t="n"/>
      <c r="B11" s="3" t="n"/>
      <c r="C11" s="4" t="n"/>
      <c r="D11" s="5" t="n">
        <v>550288006</v>
      </c>
      <c r="E11" s="6" t="inlineStr">
        <is>
          <t>HF331718997</t>
        </is>
      </c>
      <c r="F11" s="6" t="inlineStr">
        <is>
          <t>02/18/2026</t>
        </is>
      </c>
      <c r="G11" s="6" t="inlineStr">
        <is>
          <t>Blue Cross Blue Shield of Arizona (BCBS AZ)</t>
        </is>
      </c>
      <c r="H11" s="6" t="inlineStr">
        <is>
          <t>Blue Cross Blue Shield of Arizona (BCBS AZ)</t>
        </is>
      </c>
      <c r="I11" s="6" t="inlineStr">
        <is>
          <t>No Payer</t>
        </is>
      </c>
      <c r="J11" s="6" t="inlineStr">
        <is>
          <t>99492</t>
        </is>
      </c>
      <c r="K11" s="4" t="n"/>
      <c r="L11" s="5">
        <f>IF($M11="","",$M11-TODAY())</f>
        <v/>
      </c>
      <c r="M11" s="7" t="n">
        <v>46161</v>
      </c>
      <c r="N11" s="6" t="inlineStr">
        <is>
          <t>90 days</t>
        </is>
      </c>
      <c r="O11" s="6" t="inlineStr">
        <is>
          <t>BCBS</t>
        </is>
      </c>
      <c r="P11" s="6" t="n"/>
      <c r="Q11" s="6" t="n"/>
      <c r="R11" s="6" t="n"/>
      <c r="S11" s="5" t="n">
        <v>1</v>
      </c>
      <c r="T11" s="8" t="n">
        <v>1029.98</v>
      </c>
      <c r="U11" s="8" t="n">
        <v>0</v>
      </c>
      <c r="V11" s="8" t="n">
        <v>0</v>
      </c>
      <c r="W11" s="6" t="inlineStr">
        <is>
          <t>03/20/2026</t>
        </is>
      </c>
      <c r="X11" s="8" t="n">
        <v>1029.98</v>
      </c>
      <c r="Y11" s="5" t="n">
        <v>171</v>
      </c>
      <c r="Z11" s="6" t="inlineStr">
        <is>
          <t>F4323</t>
        </is>
      </c>
      <c r="AA11" s="6" t="n"/>
      <c r="AB11" s="6" t="n"/>
      <c r="AC11" s="6" t="n"/>
      <c r="AD11" s="5" t="n"/>
      <c r="AE11" s="6" t="inlineStr">
        <is>
          <t>SARKAR, AWNIK</t>
        </is>
      </c>
      <c r="AF11" s="6" t="inlineStr">
        <is>
          <t>ASAP - DEER VALLEY</t>
        </is>
      </c>
      <c r="AG11" s="6" t="inlineStr">
        <is>
          <t>03/05/2026</t>
        </is>
      </c>
      <c r="AH11" s="6" t="inlineStr">
        <is>
          <t>BH</t>
        </is>
      </c>
      <c r="AI11" s="9" t="inlineStr">
        <is>
          <t>BCBS AZ dropped from 365 to 90 days on 01/01/2026. All dates of service here are 2026, so 90 days applies.</t>
        </is>
      </c>
      <c r="AJ11" s="5" t="n">
        <v>655</v>
      </c>
    </row>
    <row r="12">
      <c r="A12" s="2" t="n"/>
      <c r="B12" s="3" t="n"/>
      <c r="C12" s="4" t="n"/>
      <c r="D12" s="5" t="n">
        <v>557793858</v>
      </c>
      <c r="E12" s="6" t="inlineStr">
        <is>
          <t>HF443112560</t>
        </is>
      </c>
      <c r="F12" s="6" t="inlineStr">
        <is>
          <t>02/20/2026</t>
        </is>
      </c>
      <c r="G12" s="6" t="inlineStr">
        <is>
          <t>Optum Care Medical Network of Arizona, Utah, &amp; Washington (LifePrint)</t>
        </is>
      </c>
      <c r="H12" s="6" t="inlineStr">
        <is>
          <t>Optum Care Medical Network of Arizona, Utah, &amp; Washington (LifePrint)</t>
        </is>
      </c>
      <c r="I12" s="6" t="inlineStr">
        <is>
          <t>No Payer</t>
        </is>
      </c>
      <c r="J12" s="6" t="inlineStr">
        <is>
          <t>99493</t>
        </is>
      </c>
      <c r="K12" s="4" t="n"/>
      <c r="L12" s="5">
        <f>IF($M12="","",$M12-TODAY())</f>
        <v/>
      </c>
      <c r="M12" s="7" t="n">
        <v>46163</v>
      </c>
      <c r="N12" s="6" t="inlineStr">
        <is>
          <t>90 days</t>
        </is>
      </c>
      <c r="O12" s="6" t="inlineStr">
        <is>
          <t>OPTUM</t>
        </is>
      </c>
      <c r="P12" s="6" t="n"/>
      <c r="Q12" s="6" t="n"/>
      <c r="R12" s="6" t="n"/>
      <c r="S12" s="5" t="n">
        <v>1</v>
      </c>
      <c r="T12" s="8" t="n">
        <v>976.64</v>
      </c>
      <c r="U12" s="8" t="n">
        <v>0</v>
      </c>
      <c r="V12" s="8" t="n">
        <v>0</v>
      </c>
      <c r="W12" s="6" t="inlineStr">
        <is>
          <t>05/05/2026</t>
        </is>
      </c>
      <c r="X12" s="8" t="n">
        <v>976.64</v>
      </c>
      <c r="Y12" s="5" t="n">
        <v>169</v>
      </c>
      <c r="Z12" s="6" t="inlineStr">
        <is>
          <t>F1190</t>
        </is>
      </c>
      <c r="AA12" s="6" t="n"/>
      <c r="AB12" s="6" t="n"/>
      <c r="AC12" s="6" t="n"/>
      <c r="AD12" s="5" t="n"/>
      <c r="AE12" s="6" t="inlineStr">
        <is>
          <t>LEATHEM, JARRETT</t>
        </is>
      </c>
      <c r="AF12" s="6" t="inlineStr">
        <is>
          <t>ASAP - Gilbert</t>
        </is>
      </c>
      <c r="AG12" s="6" t="inlineStr">
        <is>
          <t>03/05/2026</t>
        </is>
      </c>
      <c r="AH12" s="6" t="inlineStr">
        <is>
          <t>BH</t>
        </is>
      </c>
      <c r="AI12" s="9" t="n"/>
      <c r="AJ12" s="5" t="n">
        <v>464</v>
      </c>
    </row>
    <row r="13">
      <c r="A13" s="2" t="n"/>
      <c r="B13" s="3" t="n"/>
      <c r="C13" s="4" t="n"/>
      <c r="D13" s="5" t="n">
        <v>557794229</v>
      </c>
      <c r="E13" s="6" t="inlineStr">
        <is>
          <t>HF460603685</t>
        </is>
      </c>
      <c r="F13" s="6" t="inlineStr">
        <is>
          <t>02/20/2026</t>
        </is>
      </c>
      <c r="G13" s="6" t="inlineStr">
        <is>
          <t>Optum Care Medical Network of Arizona, Utah, &amp; Washington (LifePrint)</t>
        </is>
      </c>
      <c r="H13" s="6" t="inlineStr">
        <is>
          <t>Optum Care Medical Network of Arizona, Utah, &amp; Washington (LifePrint)</t>
        </is>
      </c>
      <c r="I13" s="6" t="inlineStr">
        <is>
          <t>No Payer</t>
        </is>
      </c>
      <c r="J13" s="6" t="inlineStr">
        <is>
          <t>99493</t>
        </is>
      </c>
      <c r="K13" s="4" t="n"/>
      <c r="L13" s="5">
        <f>IF($M13="","",$M13-TODAY())</f>
        <v/>
      </c>
      <c r="M13" s="7" t="n">
        <v>46163</v>
      </c>
      <c r="N13" s="6" t="inlineStr">
        <is>
          <t>90 days</t>
        </is>
      </c>
      <c r="O13" s="6" t="inlineStr">
        <is>
          <t>OPTUM</t>
        </is>
      </c>
      <c r="P13" s="6" t="n"/>
      <c r="Q13" s="6" t="n"/>
      <c r="R13" s="6" t="n"/>
      <c r="S13" s="5" t="n">
        <v>1</v>
      </c>
      <c r="T13" s="8" t="n">
        <v>976.64</v>
      </c>
      <c r="U13" s="8" t="n">
        <v>0</v>
      </c>
      <c r="V13" s="8" t="n">
        <v>0</v>
      </c>
      <c r="W13" s="6" t="inlineStr">
        <is>
          <t>05/05/2026</t>
        </is>
      </c>
      <c r="X13" s="8" t="n">
        <v>976.64</v>
      </c>
      <c r="Y13" s="5" t="n">
        <v>169</v>
      </c>
      <c r="Z13" s="6" t="inlineStr">
        <is>
          <t>F1190</t>
        </is>
      </c>
      <c r="AA13" s="6" t="n"/>
      <c r="AB13" s="6" t="n"/>
      <c r="AC13" s="6" t="n"/>
      <c r="AD13" s="5" t="n"/>
      <c r="AE13" s="6" t="inlineStr">
        <is>
          <t>KALLGREN, MARK</t>
        </is>
      </c>
      <c r="AF13" s="6" t="inlineStr">
        <is>
          <t>ASAP - Gilbert</t>
        </is>
      </c>
      <c r="AG13" s="6" t="inlineStr">
        <is>
          <t>03/05/2026</t>
        </is>
      </c>
      <c r="AH13" s="6" t="inlineStr">
        <is>
          <t>BH</t>
        </is>
      </c>
      <c r="AI13" s="9" t="n"/>
      <c r="AJ13" s="5" t="n">
        <v>797</v>
      </c>
    </row>
  </sheetData>
  <autoFilter ref="A1:AJ13"/>
  <conditionalFormatting sqref="L2:O13">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13"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J13"/>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inlineStr">
        <is>
          <t>Denied</t>
        </is>
      </c>
      <c r="B2" s="3" t="n"/>
      <c r="C2" s="4" t="n"/>
      <c r="D2" s="5" t="n">
        <v>553137846</v>
      </c>
      <c r="E2" s="6" t="inlineStr">
        <is>
          <t>HF540630932</t>
        </is>
      </c>
      <c r="F2" s="6" t="inlineStr">
        <is>
          <t>02/10/2026</t>
        </is>
      </c>
      <c r="G2" s="6" t="inlineStr">
        <is>
          <t>Tricare for Life (All Regions)</t>
        </is>
      </c>
      <c r="H2" s="6" t="inlineStr">
        <is>
          <t>DME Region D</t>
        </is>
      </c>
      <c r="I2" s="6" t="inlineStr">
        <is>
          <t>Tricare for Life (All Regions)</t>
        </is>
      </c>
      <c r="J2" s="6" t="inlineStr">
        <is>
          <t>A6010</t>
        </is>
      </c>
      <c r="K2" s="4" t="n"/>
      <c r="L2" s="5">
        <f>IF($M2="","",$M2-TODAY())</f>
        <v/>
      </c>
      <c r="M2" s="7" t="n">
        <v>46428</v>
      </c>
      <c r="N2" s="6" t="inlineStr">
        <is>
          <t>365 days</t>
        </is>
      </c>
      <c r="O2" s="6" t="inlineStr">
        <is>
          <t>MEDICARE</t>
        </is>
      </c>
      <c r="P2" s="6" t="inlineStr">
        <is>
          <t>A1</t>
        </is>
      </c>
      <c r="Q2" s="6" t="n"/>
      <c r="R2" s="6" t="n"/>
      <c r="S2" s="5" t="n">
        <v>20</v>
      </c>
      <c r="T2" s="8" t="n">
        <v>5916.4</v>
      </c>
      <c r="U2" s="8" t="n">
        <v>5047.72</v>
      </c>
      <c r="V2" s="8" t="n">
        <v>692.12</v>
      </c>
      <c r="W2" s="6" t="inlineStr">
        <is>
          <t>03/24/2026</t>
        </is>
      </c>
      <c r="X2" s="8" t="n">
        <v>176.56</v>
      </c>
      <c r="Y2" s="5" t="n">
        <v>179</v>
      </c>
      <c r="Z2" s="6" t="inlineStr">
        <is>
          <t>G894</t>
        </is>
      </c>
      <c r="AA2" s="6" t="n"/>
      <c r="AB2" s="6" t="n"/>
      <c r="AC2" s="6" t="n"/>
      <c r="AD2" s="5" t="n">
        <v>564731184</v>
      </c>
      <c r="AE2" s="6" t="inlineStr">
        <is>
          <t>Advanced Spine and Pain LLC DME PEO</t>
        </is>
      </c>
      <c r="AF2" s="6" t="inlineStr">
        <is>
          <t>Advanced Spine and Pain LLC DME - Peoria</t>
        </is>
      </c>
      <c r="AG2" s="6" t="inlineStr">
        <is>
          <t>03/18/2026</t>
        </is>
      </c>
      <c r="AH2" s="6" t="inlineStr">
        <is>
          <t>DME</t>
        </is>
      </c>
      <c r="AI2" s="9" t="n"/>
      <c r="AJ2" s="5" t="n">
        <v>169</v>
      </c>
    </row>
    <row r="3">
      <c r="A3" s="2" t="n"/>
      <c r="B3" s="3" t="n"/>
      <c r="C3" s="4" t="n"/>
      <c r="D3" s="5" t="n">
        <v>553677900</v>
      </c>
      <c r="E3" s="6" t="inlineStr">
        <is>
          <t>HF537353546</t>
        </is>
      </c>
      <c r="F3" s="6" t="inlineStr">
        <is>
          <t>02/10/2026</t>
        </is>
      </c>
      <c r="G3" s="6" t="inlineStr">
        <is>
          <t>DME Region D</t>
        </is>
      </c>
      <c r="H3" s="6" t="inlineStr">
        <is>
          <t>DME Region D</t>
        </is>
      </c>
      <c r="I3" s="6" t="inlineStr">
        <is>
          <t>Blue Cross Blue Shield of Arizona (BCBS AZ)</t>
        </is>
      </c>
      <c r="J3" s="6" t="inlineStr">
        <is>
          <t>A6010</t>
        </is>
      </c>
      <c r="K3" s="4" t="n"/>
      <c r="L3" s="5">
        <f>IF($M3="","",$M3-TODAY())</f>
        <v/>
      </c>
      <c r="M3" s="7" t="n">
        <v>46428</v>
      </c>
      <c r="N3" s="6" t="inlineStr">
        <is>
          <t>365 days</t>
        </is>
      </c>
      <c r="O3" s="6" t="inlineStr">
        <is>
          <t>MEDICARE</t>
        </is>
      </c>
      <c r="P3" s="6" t="inlineStr">
        <is>
          <t>A2</t>
        </is>
      </c>
      <c r="Q3" s="6" t="n"/>
      <c r="R3" s="6" t="n"/>
      <c r="S3" s="5" t="n">
        <v>20</v>
      </c>
      <c r="T3" s="8" t="n">
        <v>5916.4</v>
      </c>
      <c r="U3" s="8" t="n">
        <v>0</v>
      </c>
      <c r="V3" s="8" t="n">
        <v>0</v>
      </c>
      <c r="W3" s="6" t="inlineStr">
        <is>
          <t>04/21/2026</t>
        </is>
      </c>
      <c r="X3" s="8" t="n">
        <v>5916.4</v>
      </c>
      <c r="Y3" s="5" t="n">
        <v>179</v>
      </c>
      <c r="Z3" s="6" t="inlineStr">
        <is>
          <t>G894</t>
        </is>
      </c>
      <c r="AA3" s="6" t="n"/>
      <c r="AB3" s="6" t="n"/>
      <c r="AC3" s="6" t="n"/>
      <c r="AD3" s="5" t="n"/>
      <c r="AE3" s="6" t="inlineStr">
        <is>
          <t>Advanced Spine and Pain LLC DME PEO</t>
        </is>
      </c>
      <c r="AF3" s="6" t="inlineStr">
        <is>
          <t>Advanced Spine and Pain LLC DME - Peoria</t>
        </is>
      </c>
      <c r="AG3" s="6" t="inlineStr">
        <is>
          <t>03/24/2026</t>
        </is>
      </c>
      <c r="AH3" s="6" t="inlineStr">
        <is>
          <t>DME</t>
        </is>
      </c>
      <c r="AI3" s="9" t="n"/>
      <c r="AJ3" s="5" t="n">
        <v>545</v>
      </c>
    </row>
    <row r="4">
      <c r="A4" s="2" t="inlineStr">
        <is>
          <t>Denied</t>
        </is>
      </c>
      <c r="B4" s="3" t="n"/>
      <c r="C4" s="4" t="n"/>
      <c r="D4" s="5" t="n">
        <v>550531610</v>
      </c>
      <c r="E4" s="6" t="inlineStr">
        <is>
          <t>HF497918792</t>
        </is>
      </c>
      <c r="F4" s="6" t="inlineStr">
        <is>
          <t>02/13/2026</t>
        </is>
      </c>
      <c r="G4" s="6" t="inlineStr">
        <is>
          <t>Tricare for Life (All Regions)</t>
        </is>
      </c>
      <c r="H4" s="6" t="inlineStr">
        <is>
          <t>DME Region D</t>
        </is>
      </c>
      <c r="I4" s="6" t="inlineStr">
        <is>
          <t>Tricare for Life (All Regions)</t>
        </is>
      </c>
      <c r="J4" s="6" t="inlineStr">
        <is>
          <t>A6023</t>
        </is>
      </c>
      <c r="K4" s="4" t="n"/>
      <c r="L4" s="5">
        <f>IF($M4="","",$M4-TODAY())</f>
        <v/>
      </c>
      <c r="M4" s="7" t="n">
        <v>46431</v>
      </c>
      <c r="N4" s="6" t="inlineStr">
        <is>
          <t>365 days</t>
        </is>
      </c>
      <c r="O4" s="6" t="inlineStr">
        <is>
          <t>MEDICARE</t>
        </is>
      </c>
      <c r="P4" s="6" t="inlineStr">
        <is>
          <t>A2</t>
        </is>
      </c>
      <c r="Q4" s="6" t="n"/>
      <c r="R4" s="6" t="n"/>
      <c r="S4" s="5" t="n">
        <v>40</v>
      </c>
      <c r="T4" s="8" t="n">
        <v>72707.60000000001</v>
      </c>
      <c r="U4" s="8" t="n">
        <v>62032.38</v>
      </c>
      <c r="V4" s="8" t="n">
        <v>8505.459999999999</v>
      </c>
      <c r="W4" s="6" t="inlineStr">
        <is>
          <t>04/21/2026</t>
        </is>
      </c>
      <c r="X4" s="8" t="n">
        <v>2169.76</v>
      </c>
      <c r="Y4" s="5" t="n">
        <v>176</v>
      </c>
      <c r="Z4" s="6" t="inlineStr">
        <is>
          <t>G894</t>
        </is>
      </c>
      <c r="AA4" s="6" t="inlineStr">
        <is>
          <t>M5417</t>
        </is>
      </c>
      <c r="AB4" s="6" t="inlineStr">
        <is>
          <t>M961</t>
        </is>
      </c>
      <c r="AC4" s="6" t="n"/>
      <c r="AD4" s="5" t="n">
        <v>563428910</v>
      </c>
      <c r="AE4" s="6" t="inlineStr">
        <is>
          <t>Advanced Spine and Pain LLC DME PEO</t>
        </is>
      </c>
      <c r="AF4" s="6" t="inlineStr">
        <is>
          <t>Advanced Spine and Pain LLC DME - Peoria</t>
        </is>
      </c>
      <c r="AG4" s="6" t="inlineStr">
        <is>
          <t>02/24/2026</t>
        </is>
      </c>
      <c r="AH4" s="6" t="inlineStr">
        <is>
          <t>DME</t>
        </is>
      </c>
      <c r="AI4" s="9" t="n"/>
      <c r="AJ4" s="5" t="n">
        <v>503</v>
      </c>
    </row>
    <row r="5">
      <c r="A5" s="2" t="inlineStr">
        <is>
          <t>Finalized</t>
        </is>
      </c>
      <c r="B5" s="3" t="n"/>
      <c r="C5" s="4" t="n"/>
      <c r="D5" s="5" t="n">
        <v>551104780</v>
      </c>
      <c r="E5" s="6" t="inlineStr">
        <is>
          <t>HF499790971</t>
        </is>
      </c>
      <c r="F5" s="6" t="inlineStr">
        <is>
          <t>02/16/2026</t>
        </is>
      </c>
      <c r="G5" s="6" t="inlineStr">
        <is>
          <t>AARP United Healthcare</t>
        </is>
      </c>
      <c r="H5" s="6" t="inlineStr">
        <is>
          <t>DME Region D</t>
        </is>
      </c>
      <c r="I5" s="6" t="inlineStr">
        <is>
          <t>AARP United Healthcare</t>
        </is>
      </c>
      <c r="J5" s="6" t="inlineStr">
        <is>
          <t>L3916</t>
        </is>
      </c>
      <c r="K5" s="4" t="n"/>
      <c r="L5" s="5">
        <f>IF($M5="","",$M5-TODAY())</f>
        <v/>
      </c>
      <c r="M5" s="7" t="n">
        <v>46434</v>
      </c>
      <c r="N5" s="6" t="inlineStr">
        <is>
          <t>365 days</t>
        </is>
      </c>
      <c r="O5" s="6" t="inlineStr">
        <is>
          <t>MEDICARE</t>
        </is>
      </c>
      <c r="P5" s="6" t="inlineStr">
        <is>
          <t>KX</t>
        </is>
      </c>
      <c r="Q5" s="6" t="inlineStr">
        <is>
          <t>RT</t>
        </is>
      </c>
      <c r="R5" s="6" t="n"/>
      <c r="S5" s="5" t="n">
        <v>1</v>
      </c>
      <c r="T5" s="8" t="n">
        <v>541.49</v>
      </c>
      <c r="U5" s="8" t="n">
        <v>8.66</v>
      </c>
      <c r="V5" s="8" t="n">
        <v>424.53</v>
      </c>
      <c r="W5" s="6" t="inlineStr">
        <is>
          <t>04/21/2026</t>
        </is>
      </c>
      <c r="X5" s="8" t="n">
        <v>108.3</v>
      </c>
      <c r="Y5" s="5" t="n">
        <v>173</v>
      </c>
      <c r="Z5" s="6" t="inlineStr">
        <is>
          <t>G5601</t>
        </is>
      </c>
      <c r="AA5" s="6" t="inlineStr">
        <is>
          <t>M25531</t>
        </is>
      </c>
      <c r="AB5" s="6" t="inlineStr">
        <is>
          <t>G589</t>
        </is>
      </c>
      <c r="AC5" s="6" t="n"/>
      <c r="AD5" s="5" t="n">
        <v>566111704</v>
      </c>
      <c r="AE5" s="6" t="inlineStr">
        <is>
          <t>Advanced Spine and Pain LLC DME PEO</t>
        </is>
      </c>
      <c r="AF5" s="6" t="inlineStr">
        <is>
          <t>Advanced Spine and Pain LLC DME - Peoria</t>
        </is>
      </c>
      <c r="AG5" s="6" t="inlineStr">
        <is>
          <t>02/27/2026</t>
        </is>
      </c>
      <c r="AH5" s="6" t="inlineStr">
        <is>
          <t>DME</t>
        </is>
      </c>
      <c r="AI5" s="9" t="n"/>
      <c r="AJ5" s="5" t="n">
        <v>66</v>
      </c>
    </row>
    <row r="6">
      <c r="A6" s="2" t="inlineStr">
        <is>
          <t>Finalized</t>
        </is>
      </c>
      <c r="B6" s="3" t="n"/>
      <c r="C6" s="4" t="n"/>
      <c r="D6" s="5" t="n">
        <v>551104780</v>
      </c>
      <c r="E6" s="6" t="inlineStr">
        <is>
          <t>HF499790971</t>
        </is>
      </c>
      <c r="F6" s="6" t="inlineStr">
        <is>
          <t>02/16/2026</t>
        </is>
      </c>
      <c r="G6" s="6" t="inlineStr">
        <is>
          <t>AARP United Healthcare</t>
        </is>
      </c>
      <c r="H6" s="6" t="inlineStr">
        <is>
          <t>DME Region D</t>
        </is>
      </c>
      <c r="I6" s="6" t="inlineStr">
        <is>
          <t>AARP United Healthcare</t>
        </is>
      </c>
      <c r="J6" s="6" t="inlineStr">
        <is>
          <t>L3916</t>
        </is>
      </c>
      <c r="K6" s="4" t="n"/>
      <c r="L6" s="5">
        <f>IF($M6="","",$M6-TODAY())</f>
        <v/>
      </c>
      <c r="M6" s="7" t="n">
        <v>46434</v>
      </c>
      <c r="N6" s="6" t="inlineStr">
        <is>
          <t>365 days</t>
        </is>
      </c>
      <c r="O6" s="6" t="inlineStr">
        <is>
          <t>MEDICARE</t>
        </is>
      </c>
      <c r="P6" s="6" t="inlineStr">
        <is>
          <t>KX</t>
        </is>
      </c>
      <c r="Q6" s="6" t="inlineStr">
        <is>
          <t>LT</t>
        </is>
      </c>
      <c r="R6" s="6" t="n"/>
      <c r="S6" s="5" t="n">
        <v>1</v>
      </c>
      <c r="T6" s="8" t="n">
        <v>541.49</v>
      </c>
      <c r="U6" s="8" t="n">
        <v>8.66</v>
      </c>
      <c r="V6" s="8" t="n">
        <v>424.53</v>
      </c>
      <c r="W6" s="6" t="inlineStr">
        <is>
          <t>04/21/2026</t>
        </is>
      </c>
      <c r="X6" s="8" t="n">
        <v>108.3</v>
      </c>
      <c r="Y6" s="5" t="n">
        <v>173</v>
      </c>
      <c r="Z6" s="6" t="inlineStr">
        <is>
          <t>G5602</t>
        </is>
      </c>
      <c r="AA6" s="6" t="inlineStr">
        <is>
          <t>G589</t>
        </is>
      </c>
      <c r="AB6" s="6" t="n"/>
      <c r="AC6" s="6" t="n"/>
      <c r="AD6" s="5" t="n">
        <v>566111704</v>
      </c>
      <c r="AE6" s="6" t="inlineStr">
        <is>
          <t>Advanced Spine and Pain LLC DME PEO</t>
        </is>
      </c>
      <c r="AF6" s="6" t="inlineStr">
        <is>
          <t>Advanced Spine and Pain LLC DME - Peoria</t>
        </is>
      </c>
      <c r="AG6" s="6" t="inlineStr">
        <is>
          <t>02/27/2026</t>
        </is>
      </c>
      <c r="AH6" s="6" t="inlineStr">
        <is>
          <t>DME</t>
        </is>
      </c>
      <c r="AI6" s="9" t="n"/>
      <c r="AJ6" s="5" t="n">
        <v>67</v>
      </c>
    </row>
    <row r="7">
      <c r="A7" s="2" t="inlineStr">
        <is>
          <t>Finalized</t>
        </is>
      </c>
      <c r="B7" s="3" t="n"/>
      <c r="C7" s="4" t="n"/>
      <c r="D7" s="5" t="n">
        <v>553095408</v>
      </c>
      <c r="E7" s="6" t="inlineStr">
        <is>
          <t>HF435406148</t>
        </is>
      </c>
      <c r="F7" s="6" t="inlineStr">
        <is>
          <t>02/16/2026</t>
        </is>
      </c>
      <c r="G7" s="6" t="inlineStr">
        <is>
          <t>SILAC INSURANCE</t>
        </is>
      </c>
      <c r="H7" s="6" t="inlineStr">
        <is>
          <t>DME Region D</t>
        </is>
      </c>
      <c r="I7" s="6" t="inlineStr">
        <is>
          <t>SILAC INSURANCE</t>
        </is>
      </c>
      <c r="J7" s="6" t="inlineStr">
        <is>
          <t>A6023</t>
        </is>
      </c>
      <c r="K7" s="4" t="n"/>
      <c r="L7" s="5">
        <f>IF($M7="","",$M7-TODAY())</f>
        <v/>
      </c>
      <c r="M7" s="7" t="n">
        <v>46434</v>
      </c>
      <c r="N7" s="6" t="inlineStr">
        <is>
          <t>365 days</t>
        </is>
      </c>
      <c r="O7" s="6" t="inlineStr">
        <is>
          <t>MEDICARE</t>
        </is>
      </c>
      <c r="P7" s="6" t="inlineStr">
        <is>
          <t>A2</t>
        </is>
      </c>
      <c r="Q7" s="6" t="n"/>
      <c r="R7" s="6" t="n"/>
      <c r="S7" s="5" t="n">
        <v>10</v>
      </c>
      <c r="T7" s="8" t="n">
        <v>18176.9</v>
      </c>
      <c r="U7" s="8" t="n">
        <v>15508.1</v>
      </c>
      <c r="V7" s="8" t="n">
        <v>542.4400000000001</v>
      </c>
      <c r="W7" s="6" t="inlineStr">
        <is>
          <t>04/09/2026</t>
        </is>
      </c>
      <c r="X7" s="8" t="n">
        <v>2126.36</v>
      </c>
      <c r="Y7" s="5" t="n">
        <v>173</v>
      </c>
      <c r="Z7" s="6" t="inlineStr">
        <is>
          <t>G894</t>
        </is>
      </c>
      <c r="AA7" s="6" t="inlineStr">
        <is>
          <t>M961</t>
        </is>
      </c>
      <c r="AB7" s="6" t="n"/>
      <c r="AC7" s="6" t="n"/>
      <c r="AD7" s="5" t="n">
        <v>557144068</v>
      </c>
      <c r="AE7" s="6" t="inlineStr">
        <is>
          <t>Advanced Spine and Pain LLC DME SUR</t>
        </is>
      </c>
      <c r="AF7" s="6" t="inlineStr">
        <is>
          <t>Advanced Spine and Pain LLC DME - Surprise Reems</t>
        </is>
      </c>
      <c r="AG7" s="6" t="inlineStr">
        <is>
          <t>03/18/2026</t>
        </is>
      </c>
      <c r="AH7" s="6" t="inlineStr">
        <is>
          <t>DME</t>
        </is>
      </c>
      <c r="AI7" s="9" t="n"/>
      <c r="AJ7" s="5" t="n">
        <v>120</v>
      </c>
    </row>
    <row r="8">
      <c r="A8" s="2" t="n"/>
      <c r="B8" s="3" t="n"/>
      <c r="C8" s="4" t="n"/>
      <c r="D8" s="5" t="n">
        <v>550127169</v>
      </c>
      <c r="E8" s="6" t="inlineStr">
        <is>
          <t>HF433355246</t>
        </is>
      </c>
      <c r="F8" s="6" t="inlineStr">
        <is>
          <t>02/18/2026</t>
        </is>
      </c>
      <c r="G8" s="6" t="inlineStr">
        <is>
          <t>DME Region D</t>
        </is>
      </c>
      <c r="H8" s="6" t="inlineStr">
        <is>
          <t>DME Region D</t>
        </is>
      </c>
      <c r="I8" s="6" t="inlineStr">
        <is>
          <t>Mercy Care RBHA</t>
        </is>
      </c>
      <c r="J8" s="6" t="inlineStr">
        <is>
          <t>L0650</t>
        </is>
      </c>
      <c r="K8" s="4" t="n"/>
      <c r="L8" s="5">
        <f>IF($M8="","",$M8-TODAY())</f>
        <v/>
      </c>
      <c r="M8" s="7" t="n">
        <v>46436</v>
      </c>
      <c r="N8" s="6" t="inlineStr">
        <is>
          <t>365 days</t>
        </is>
      </c>
      <c r="O8" s="6" t="inlineStr">
        <is>
          <t>MEDICARE</t>
        </is>
      </c>
      <c r="P8" s="6" t="inlineStr">
        <is>
          <t>KX</t>
        </is>
      </c>
      <c r="Q8" s="6" t="n"/>
      <c r="R8" s="6" t="n"/>
      <c r="S8" s="5" t="n">
        <v>1</v>
      </c>
      <c r="T8" s="8" t="n">
        <v>6392.96</v>
      </c>
      <c r="U8" s="8" t="n">
        <v>0</v>
      </c>
      <c r="V8" s="8" t="n">
        <v>0</v>
      </c>
      <c r="W8" s="6" t="inlineStr">
        <is>
          <t>03/20/2026</t>
        </is>
      </c>
      <c r="X8" s="8" t="n">
        <v>6392.96</v>
      </c>
      <c r="Y8" s="5" t="n">
        <v>171</v>
      </c>
      <c r="Z8" s="6" t="inlineStr">
        <is>
          <t>M4306</t>
        </is>
      </c>
      <c r="AA8" s="6" t="n"/>
      <c r="AB8" s="6" t="n"/>
      <c r="AC8" s="6" t="n"/>
      <c r="AD8" s="5" t="n"/>
      <c r="AE8" s="6" t="inlineStr">
        <is>
          <t>Advanced Spine and Pain LLC DME GWY</t>
        </is>
      </c>
      <c r="AF8" s="6" t="inlineStr">
        <is>
          <t>Advanced Spine and Pain LLC DME - Greenway</t>
        </is>
      </c>
      <c r="AG8" s="6" t="inlineStr">
        <is>
          <t>03/12/2026</t>
        </is>
      </c>
      <c r="AH8" s="6" t="inlineStr">
        <is>
          <t>DME</t>
        </is>
      </c>
      <c r="AI8" s="9" t="n"/>
      <c r="AJ8" s="5" t="n">
        <v>44</v>
      </c>
    </row>
    <row r="9">
      <c r="A9" s="2" t="n"/>
      <c r="B9" s="3" t="n"/>
      <c r="C9" s="4" t="n"/>
      <c r="D9" s="5" t="n">
        <v>557715576</v>
      </c>
      <c r="E9" s="6" t="inlineStr">
        <is>
          <t>HF498304433</t>
        </is>
      </c>
      <c r="F9" s="6" t="inlineStr">
        <is>
          <t>02/23/2026</t>
        </is>
      </c>
      <c r="G9" s="6" t="inlineStr">
        <is>
          <t>DME Region C</t>
        </is>
      </c>
      <c r="H9" s="6" t="inlineStr">
        <is>
          <t>DME Region C</t>
        </is>
      </c>
      <c r="I9" s="6" t="inlineStr">
        <is>
          <t>Blue Cross Blue Shield of Arizona (BCBS AZ)</t>
        </is>
      </c>
      <c r="J9" s="6" t="inlineStr">
        <is>
          <t>A6023</t>
        </is>
      </c>
      <c r="K9" s="4" t="n"/>
      <c r="L9" s="5">
        <f>IF($M9="","",$M9-TODAY())</f>
        <v/>
      </c>
      <c r="M9" s="7" t="n">
        <v>46441</v>
      </c>
      <c r="N9" s="6" t="inlineStr">
        <is>
          <t>365 days</t>
        </is>
      </c>
      <c r="O9" s="6" t="inlineStr">
        <is>
          <t>MEDICARE</t>
        </is>
      </c>
      <c r="P9" s="6" t="inlineStr">
        <is>
          <t>A2</t>
        </is>
      </c>
      <c r="Q9" s="6" t="n"/>
      <c r="R9" s="6" t="n"/>
      <c r="S9" s="5" t="n">
        <v>40</v>
      </c>
      <c r="T9" s="8" t="n">
        <v>72707.60000000001</v>
      </c>
      <c r="U9" s="8" t="n">
        <v>0</v>
      </c>
      <c r="V9" s="8" t="n">
        <v>0</v>
      </c>
      <c r="W9" s="6" t="inlineStr">
        <is>
          <t>05/05/2026</t>
        </is>
      </c>
      <c r="X9" s="8" t="n">
        <v>72707.60000000001</v>
      </c>
      <c r="Y9" s="5" t="n">
        <v>166</v>
      </c>
      <c r="Z9" s="6" t="inlineStr">
        <is>
          <t>G894</t>
        </is>
      </c>
      <c r="AA9" s="6" t="inlineStr">
        <is>
          <t>M961</t>
        </is>
      </c>
      <c r="AB9" s="6" t="n"/>
      <c r="AC9" s="6" t="n"/>
      <c r="AD9" s="5" t="n"/>
      <c r="AE9" s="6" t="inlineStr">
        <is>
          <t>Advanced Spine and Pain LLC DME GIL</t>
        </is>
      </c>
      <c r="AF9" s="6" t="inlineStr">
        <is>
          <t>Advanced Spine and Pain LLC DME - Gilbert</t>
        </is>
      </c>
      <c r="AG9" s="6" t="inlineStr">
        <is>
          <t>03/04/2026</t>
        </is>
      </c>
      <c r="AH9" s="6" t="inlineStr">
        <is>
          <t>DME</t>
        </is>
      </c>
      <c r="AI9" s="9" t="inlineStr">
        <is>
          <t>Medicare DME MAC, same statutory 1 year limit as the DME Region D entry in the reference.</t>
        </is>
      </c>
      <c r="AJ9" s="5" t="n">
        <v>796</v>
      </c>
    </row>
    <row r="10">
      <c r="A10" s="2" t="n"/>
      <c r="B10" s="3" t="n"/>
      <c r="C10" s="4" t="n"/>
      <c r="D10" s="5" t="n">
        <v>565140993</v>
      </c>
      <c r="E10" s="6" t="inlineStr">
        <is>
          <t>HF513477727</t>
        </is>
      </c>
      <c r="F10" s="6" t="inlineStr">
        <is>
          <t>02/16/2026</t>
        </is>
      </c>
      <c r="G10" s="6" t="inlineStr">
        <is>
          <t>Blue Cross Blue Shield of Arizona (BCBS AZ)</t>
        </is>
      </c>
      <c r="H10" s="6" t="inlineStr">
        <is>
          <t>Blue Cross Blue Shield of Arizona (BCBS AZ)</t>
        </is>
      </c>
      <c r="I10" s="6" t="inlineStr">
        <is>
          <t>No Payer</t>
        </is>
      </c>
      <c r="J10" s="6" t="inlineStr">
        <is>
          <t>L0648</t>
        </is>
      </c>
      <c r="K10" s="4" t="n"/>
      <c r="L10" s="5">
        <f>IF($M10="","",$M10-TODAY())</f>
        <v/>
      </c>
      <c r="M10" s="7" t="n">
        <v>46159</v>
      </c>
      <c r="N10" s="6" t="inlineStr">
        <is>
          <t>90 days</t>
        </is>
      </c>
      <c r="O10" s="6" t="inlineStr">
        <is>
          <t>BCBS</t>
        </is>
      </c>
      <c r="P10" s="6" t="inlineStr">
        <is>
          <t>KX</t>
        </is>
      </c>
      <c r="Q10" s="6" t="n"/>
      <c r="R10" s="6" t="n"/>
      <c r="S10" s="5" t="n">
        <v>1</v>
      </c>
      <c r="T10" s="8" t="n">
        <v>5492.55</v>
      </c>
      <c r="U10" s="8" t="n">
        <v>0</v>
      </c>
      <c r="V10" s="8" t="n">
        <v>0</v>
      </c>
      <c r="W10" s="6" t="n"/>
      <c r="X10" s="8" t="n">
        <v>5492.55</v>
      </c>
      <c r="Y10" s="5" t="n">
        <v>173</v>
      </c>
      <c r="Z10" s="6" t="inlineStr">
        <is>
          <t>M4316</t>
        </is>
      </c>
      <c r="AA10" s="6" t="inlineStr">
        <is>
          <t>M51362</t>
        </is>
      </c>
      <c r="AB10" s="6" t="n"/>
      <c r="AC10" s="6" t="n"/>
      <c r="AD10" s="5" t="n"/>
      <c r="AE10" s="6" t="inlineStr">
        <is>
          <t>MAYURAN, VIKRAM</t>
        </is>
      </c>
      <c r="AF10" s="6" t="inlineStr">
        <is>
          <t>ASAP - Mesa</t>
        </is>
      </c>
      <c r="AG10" s="6" t="inlineStr">
        <is>
          <t>02/27/2026</t>
        </is>
      </c>
      <c r="AH10" s="6" t="inlineStr">
        <is>
          <t>DME</t>
        </is>
      </c>
      <c r="AI10" s="9" t="inlineStr">
        <is>
          <t>BCBS AZ dropped from 365 to 90 days on 01/01/2026. All dates of service here are 2026, so 90 days applies.</t>
        </is>
      </c>
      <c r="AJ10" s="5" t="n">
        <v>594</v>
      </c>
    </row>
    <row r="11">
      <c r="A11" s="2" t="n"/>
      <c r="B11" s="3" t="n"/>
      <c r="C11" s="4" t="n"/>
      <c r="D11" s="5" t="n">
        <v>550530483</v>
      </c>
      <c r="E11" s="6" t="inlineStr">
        <is>
          <t>HF544828362</t>
        </is>
      </c>
      <c r="F11" s="6" t="inlineStr">
        <is>
          <t>02/19/2026</t>
        </is>
      </c>
      <c r="G11" s="6" t="inlineStr">
        <is>
          <t>UHC Group Medicare Advantage</t>
        </is>
      </c>
      <c r="H11" s="6" t="inlineStr">
        <is>
          <t>UHC Group Medicare Advantage</t>
        </is>
      </c>
      <c r="I11" s="6" t="inlineStr">
        <is>
          <t>No Payer</t>
        </is>
      </c>
      <c r="J11" s="6" t="inlineStr">
        <is>
          <t>A6010</t>
        </is>
      </c>
      <c r="K11" s="4" t="n"/>
      <c r="L11" s="5">
        <f>IF($M11="","",$M11-TODAY())</f>
        <v/>
      </c>
      <c r="M11" s="7" t="n">
        <v>46162</v>
      </c>
      <c r="N11" s="6" t="inlineStr">
        <is>
          <t>90 days</t>
        </is>
      </c>
      <c r="O11" s="6" t="inlineStr">
        <is>
          <t>UHC MA</t>
        </is>
      </c>
      <c r="P11" s="6" t="inlineStr">
        <is>
          <t>A1</t>
        </is>
      </c>
      <c r="Q11" s="6" t="n"/>
      <c r="R11" s="6" t="n"/>
      <c r="S11" s="5" t="n">
        <v>20</v>
      </c>
      <c r="T11" s="8" t="n">
        <v>5916.4</v>
      </c>
      <c r="U11" s="8" t="n">
        <v>0</v>
      </c>
      <c r="V11" s="8" t="n">
        <v>0</v>
      </c>
      <c r="W11" s="6" t="inlineStr">
        <is>
          <t>03/25/2026</t>
        </is>
      </c>
      <c r="X11" s="8" t="n">
        <v>5916.4</v>
      </c>
      <c r="Y11" s="5" t="n">
        <v>170</v>
      </c>
      <c r="Z11" s="6" t="inlineStr">
        <is>
          <t>G894</t>
        </is>
      </c>
      <c r="AA11" s="6" t="inlineStr">
        <is>
          <t>L97529</t>
        </is>
      </c>
      <c r="AB11" s="6" t="n"/>
      <c r="AC11" s="6" t="n"/>
      <c r="AD11" s="5" t="n"/>
      <c r="AE11" s="6" t="inlineStr">
        <is>
          <t>MEARS, CHAD</t>
        </is>
      </c>
      <c r="AF11" s="6" t="inlineStr">
        <is>
          <t>ASAP Peoria</t>
        </is>
      </c>
      <c r="AG11" s="6" t="inlineStr">
        <is>
          <t>02/24/2026</t>
        </is>
      </c>
      <c r="AH11" s="6" t="inlineStr">
        <is>
          <t>DME</t>
        </is>
      </c>
      <c r="AI11" s="9" t="n"/>
      <c r="AJ11" s="5" t="n">
        <v>128</v>
      </c>
    </row>
    <row r="12">
      <c r="A12" s="2" t="n"/>
      <c r="B12" s="3" t="n"/>
      <c r="C12" s="4" t="n"/>
      <c r="D12" s="5" t="n">
        <v>556897081</v>
      </c>
      <c r="E12" s="6" t="inlineStr">
        <is>
          <t>HF539993491</t>
        </is>
      </c>
      <c r="F12" s="6" t="inlineStr">
        <is>
          <t>02/09/2026</t>
        </is>
      </c>
      <c r="G12" s="6" t="inlineStr">
        <is>
          <t>Alignment Health Care</t>
        </is>
      </c>
      <c r="H12" s="6" t="inlineStr">
        <is>
          <t>Alignment Health Care</t>
        </is>
      </c>
      <c r="I12" s="6" t="inlineStr">
        <is>
          <t>No Payer</t>
        </is>
      </c>
      <c r="J12" s="6" t="inlineStr">
        <is>
          <t>A6023</t>
        </is>
      </c>
      <c r="K12" s="4" t="n"/>
      <c r="L12" s="5">
        <f>IF($M12="","",$M12-TODAY())</f>
        <v/>
      </c>
      <c r="M12" s="7" t="n"/>
      <c r="N12" s="6" t="n"/>
      <c r="O12" s="6" t="inlineStr">
        <is>
          <t>Not on reference list</t>
        </is>
      </c>
      <c r="P12" s="6" t="inlineStr">
        <is>
          <t>A2</t>
        </is>
      </c>
      <c r="Q12" s="6" t="n"/>
      <c r="R12" s="6" t="n"/>
      <c r="S12" s="5" t="n">
        <v>20</v>
      </c>
      <c r="T12" s="8" t="n">
        <v>5424.4</v>
      </c>
      <c r="U12" s="8" t="n">
        <v>0</v>
      </c>
      <c r="V12" s="8" t="n">
        <v>0</v>
      </c>
      <c r="W12" s="6" t="inlineStr">
        <is>
          <t>05/07/2026</t>
        </is>
      </c>
      <c r="X12" s="8" t="n">
        <v>5424.4</v>
      </c>
      <c r="Y12" s="5" t="n">
        <v>180</v>
      </c>
      <c r="Z12" s="6" t="inlineStr">
        <is>
          <t>G894</t>
        </is>
      </c>
      <c r="AA12" s="6" t="n"/>
      <c r="AB12" s="6" t="n"/>
      <c r="AC12" s="6" t="n"/>
      <c r="AD12" s="5" t="n"/>
      <c r="AE12" s="6" t="inlineStr">
        <is>
          <t>TONDINI, JENISE</t>
        </is>
      </c>
      <c r="AF12" s="6" t="inlineStr">
        <is>
          <t>ASAP - Goodyear</t>
        </is>
      </c>
      <c r="AG12" s="6" t="inlineStr">
        <is>
          <t>02/10/2026</t>
        </is>
      </c>
      <c r="AH12" s="6" t="inlineStr">
        <is>
          <t>DME</t>
        </is>
      </c>
      <c r="AI12" s="9" t="inlineStr">
        <is>
          <t>No timely filing limit on file for this payer - confirm the limit from the contract or provider manual before working this claim.</t>
        </is>
      </c>
      <c r="AJ12" s="5" t="n">
        <v>637</v>
      </c>
    </row>
    <row r="13">
      <c r="A13" s="2" t="n"/>
      <c r="B13" s="3" t="n"/>
      <c r="C13" s="4" t="n"/>
      <c r="D13" s="5" t="n">
        <v>553079628</v>
      </c>
      <c r="E13" s="6" t="inlineStr">
        <is>
          <t>HF548333203</t>
        </is>
      </c>
      <c r="F13" s="6" t="inlineStr">
        <is>
          <t>02/11/2026</t>
        </is>
      </c>
      <c r="G13" s="6" t="inlineStr">
        <is>
          <t>Alignment Health Care</t>
        </is>
      </c>
      <c r="H13" s="6" t="inlineStr">
        <is>
          <t>Alignment Health Care</t>
        </is>
      </c>
      <c r="I13" s="6" t="inlineStr">
        <is>
          <t>No Payer</t>
        </is>
      </c>
      <c r="J13" s="6" t="inlineStr">
        <is>
          <t>A6023</t>
        </is>
      </c>
      <c r="K13" s="4" t="n"/>
      <c r="L13" s="5">
        <f>IF($M13="","",$M13-TODAY())</f>
        <v/>
      </c>
      <c r="M13" s="7" t="n"/>
      <c r="N13" s="6" t="n"/>
      <c r="O13" s="6" t="inlineStr">
        <is>
          <t>Not on reference list</t>
        </is>
      </c>
      <c r="P13" s="6" t="inlineStr">
        <is>
          <t>A1</t>
        </is>
      </c>
      <c r="Q13" s="6" t="n"/>
      <c r="R13" s="6" t="n"/>
      <c r="S13" s="5" t="n">
        <v>10</v>
      </c>
      <c r="T13" s="8" t="n">
        <v>18176.9</v>
      </c>
      <c r="U13" s="8" t="n">
        <v>0</v>
      </c>
      <c r="V13" s="8" t="n">
        <v>0</v>
      </c>
      <c r="W13" s="6" t="inlineStr">
        <is>
          <t>03/31/2026</t>
        </is>
      </c>
      <c r="X13" s="8" t="n">
        <v>18176.9</v>
      </c>
      <c r="Y13" s="5" t="n">
        <v>178</v>
      </c>
      <c r="Z13" s="6" t="inlineStr">
        <is>
          <t>G894</t>
        </is>
      </c>
      <c r="AA13" s="6" t="inlineStr">
        <is>
          <t>M4326</t>
        </is>
      </c>
      <c r="AB13" s="6" t="n"/>
      <c r="AC13" s="6" t="n"/>
      <c r="AD13" s="5" t="n"/>
      <c r="AE13" s="6" t="inlineStr">
        <is>
          <t>MCMURDIE, TODD</t>
        </is>
      </c>
      <c r="AF13" s="6" t="inlineStr">
        <is>
          <t>ASAP - Surprise - Reems</t>
        </is>
      </c>
      <c r="AG13" s="6" t="inlineStr">
        <is>
          <t>03/18/2026</t>
        </is>
      </c>
      <c r="AH13" s="6" t="inlineStr">
        <is>
          <t>DME</t>
        </is>
      </c>
      <c r="AI13" s="9" t="inlineStr">
        <is>
          <t>No timely filing limit on file for this payer - confirm the limit from the contract or provider manual before working this claim.</t>
        </is>
      </c>
      <c r="AJ13" s="5" t="n">
        <v>137</v>
      </c>
    </row>
  </sheetData>
  <autoFilter ref="A1:AJ13"/>
  <conditionalFormatting sqref="L2:O13">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13"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J23"/>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inlineStr">
        <is>
          <t>Received</t>
        </is>
      </c>
      <c r="B2" s="3" t="n"/>
      <c r="C2" s="4" t="n"/>
      <c r="D2" s="5" t="n">
        <v>549217008</v>
      </c>
      <c r="E2" s="6" t="inlineStr">
        <is>
          <t>HF455471322</t>
        </is>
      </c>
      <c r="F2" s="6" t="inlineStr">
        <is>
          <t>02/02/2026</t>
        </is>
      </c>
      <c r="G2" s="6" t="inlineStr">
        <is>
          <t>COMBINED INSURANCE CO OF AMERICA</t>
        </is>
      </c>
      <c r="H2" s="6" t="inlineStr">
        <is>
          <t>Medicare Part B Arizona *</t>
        </is>
      </c>
      <c r="I2" s="6" t="inlineStr">
        <is>
          <t>COMBINED INSURANCE CO OF AMERICA</t>
        </is>
      </c>
      <c r="J2" s="6" t="inlineStr">
        <is>
          <t>75774</t>
        </is>
      </c>
      <c r="K2" s="4" t="n"/>
      <c r="L2" s="5">
        <f>IF($M2="","",$M2-TODAY())</f>
        <v/>
      </c>
      <c r="M2" s="7" t="n">
        <v>46420</v>
      </c>
      <c r="N2" s="6" t="inlineStr">
        <is>
          <t>365 days</t>
        </is>
      </c>
      <c r="O2" s="6" t="inlineStr">
        <is>
          <t>MEDICARE</t>
        </is>
      </c>
      <c r="P2" s="6" t="inlineStr">
        <is>
          <t>26</t>
        </is>
      </c>
      <c r="Q2" s="6" t="inlineStr">
        <is>
          <t>XU</t>
        </is>
      </c>
      <c r="R2" s="6" t="n"/>
      <c r="S2" s="5" t="n">
        <v>3</v>
      </c>
      <c r="T2" s="8" t="n">
        <v>2013.9</v>
      </c>
      <c r="U2" s="8" t="n">
        <v>1883.95</v>
      </c>
      <c r="V2" s="8" t="n">
        <v>129.82</v>
      </c>
      <c r="W2" s="6" t="inlineStr">
        <is>
          <t>04/23/2026</t>
        </is>
      </c>
      <c r="X2" s="8" t="n">
        <v>0.13</v>
      </c>
      <c r="Y2" s="5" t="n">
        <v>187</v>
      </c>
      <c r="Z2" s="6" t="inlineStr">
        <is>
          <t>M1712</t>
        </is>
      </c>
      <c r="AA2" s="6" t="inlineStr">
        <is>
          <t>I798</t>
        </is>
      </c>
      <c r="AB2" s="6" t="inlineStr">
        <is>
          <t>M25562</t>
        </is>
      </c>
      <c r="AC2" s="6" t="n"/>
      <c r="AD2" s="5" t="n">
        <v>551630132</v>
      </c>
      <c r="AE2" s="6" t="inlineStr">
        <is>
          <t>HUNTER, DREW</t>
        </is>
      </c>
      <c r="AF2" s="6" t="inlineStr">
        <is>
          <t>ASAP Surgery Centers North Valley LLC</t>
        </is>
      </c>
      <c r="AG2" s="6" t="inlineStr">
        <is>
          <t>02/11/2026</t>
        </is>
      </c>
      <c r="AH2" s="6" t="inlineStr">
        <is>
          <t>GAE</t>
        </is>
      </c>
      <c r="AI2" s="9" t="n"/>
      <c r="AJ2" s="5" t="n">
        <v>494</v>
      </c>
    </row>
    <row r="3">
      <c r="A3" s="2" t="inlineStr">
        <is>
          <t>Received</t>
        </is>
      </c>
      <c r="B3" s="3" t="n"/>
      <c r="C3" s="4" t="n"/>
      <c r="D3" s="5" t="n">
        <v>549217008</v>
      </c>
      <c r="E3" s="6" t="inlineStr">
        <is>
          <t>HF455471322</t>
        </is>
      </c>
      <c r="F3" s="6" t="inlineStr">
        <is>
          <t>02/02/2026</t>
        </is>
      </c>
      <c r="G3" s="6" t="inlineStr">
        <is>
          <t>COMBINED INSURANCE CO OF AMERICA</t>
        </is>
      </c>
      <c r="H3" s="6" t="inlineStr">
        <is>
          <t>Medicare Part B Arizona *</t>
        </is>
      </c>
      <c r="I3" s="6" t="inlineStr">
        <is>
          <t>COMBINED INSURANCE CO OF AMERICA</t>
        </is>
      </c>
      <c r="J3" s="6" t="inlineStr">
        <is>
          <t>76937</t>
        </is>
      </c>
      <c r="K3" s="4" t="n"/>
      <c r="L3" s="5">
        <f>IF($M3="","",$M3-TODAY())</f>
        <v/>
      </c>
      <c r="M3" s="7" t="n">
        <v>46420</v>
      </c>
      <c r="N3" s="6" t="inlineStr">
        <is>
          <t>365 days</t>
        </is>
      </c>
      <c r="O3" s="6" t="inlineStr">
        <is>
          <t>MEDICARE</t>
        </is>
      </c>
      <c r="P3" s="6" t="inlineStr">
        <is>
          <t>26</t>
        </is>
      </c>
      <c r="Q3" s="6" t="n"/>
      <c r="R3" s="6" t="n"/>
      <c r="S3" s="5" t="n">
        <v>1</v>
      </c>
      <c r="T3" s="8" t="n">
        <v>271.18</v>
      </c>
      <c r="U3" s="8" t="n">
        <v>257.88</v>
      </c>
      <c r="V3" s="8" t="n">
        <v>13.29</v>
      </c>
      <c r="W3" s="6" t="inlineStr">
        <is>
          <t>04/23/2026</t>
        </is>
      </c>
      <c r="X3" s="8" t="n">
        <v>0.01</v>
      </c>
      <c r="Y3" s="5" t="n">
        <v>187</v>
      </c>
      <c r="Z3" s="6" t="inlineStr">
        <is>
          <t>M1712</t>
        </is>
      </c>
      <c r="AA3" s="6" t="inlineStr">
        <is>
          <t>I798</t>
        </is>
      </c>
      <c r="AB3" s="6" t="inlineStr">
        <is>
          <t>M25562</t>
        </is>
      </c>
      <c r="AC3" s="6" t="n"/>
      <c r="AD3" s="5" t="n">
        <v>551630132</v>
      </c>
      <c r="AE3" s="6" t="inlineStr">
        <is>
          <t>HUNTER, DREW</t>
        </is>
      </c>
      <c r="AF3" s="6" t="inlineStr">
        <is>
          <t>ASAP Surgery Centers North Valley LLC</t>
        </is>
      </c>
      <c r="AG3" s="6" t="inlineStr">
        <is>
          <t>02/11/2026</t>
        </is>
      </c>
      <c r="AH3" s="6" t="inlineStr">
        <is>
          <t>GAE</t>
        </is>
      </c>
      <c r="AI3" s="9" t="n"/>
      <c r="AJ3" s="5" t="n">
        <v>495</v>
      </c>
    </row>
    <row r="4">
      <c r="A4" s="2" t="inlineStr">
        <is>
          <t>Received</t>
        </is>
      </c>
      <c r="B4" s="3" t="n"/>
      <c r="C4" s="4" t="n"/>
      <c r="D4" s="5" t="n">
        <v>549217008</v>
      </c>
      <c r="E4" s="6" t="inlineStr">
        <is>
          <t>HF455471322</t>
        </is>
      </c>
      <c r="F4" s="6" t="inlineStr">
        <is>
          <t>02/02/2026</t>
        </is>
      </c>
      <c r="G4" s="6" t="inlineStr">
        <is>
          <t>COMBINED INSURANCE CO OF AMERICA</t>
        </is>
      </c>
      <c r="H4" s="6" t="inlineStr">
        <is>
          <t>Medicare Part B Arizona *</t>
        </is>
      </c>
      <c r="I4" s="6" t="inlineStr">
        <is>
          <t>COMBINED INSURANCE CO OF AMERICA</t>
        </is>
      </c>
      <c r="J4" s="6" t="inlineStr">
        <is>
          <t>36248</t>
        </is>
      </c>
      <c r="K4" s="4" t="n"/>
      <c r="L4" s="5">
        <f>IF($M4="","",$M4-TODAY())</f>
        <v/>
      </c>
      <c r="M4" s="7" t="n">
        <v>46420</v>
      </c>
      <c r="N4" s="6" t="inlineStr">
        <is>
          <t>365 days</t>
        </is>
      </c>
      <c r="O4" s="6" t="inlineStr">
        <is>
          <t>MEDICARE</t>
        </is>
      </c>
      <c r="P4" s="6" t="inlineStr">
        <is>
          <t>59</t>
        </is>
      </c>
      <c r="Q4" s="6" t="n"/>
      <c r="R4" s="6" t="n"/>
      <c r="S4" s="5" t="n">
        <v>1</v>
      </c>
      <c r="T4" s="8" t="n">
        <v>807.59</v>
      </c>
      <c r="U4" s="8" t="n">
        <v>767.34</v>
      </c>
      <c r="V4" s="8" t="n">
        <v>40.21</v>
      </c>
      <c r="W4" s="6" t="inlineStr">
        <is>
          <t>04/23/2026</t>
        </is>
      </c>
      <c r="X4" s="8" t="n">
        <v>0.04</v>
      </c>
      <c r="Y4" s="5" t="n">
        <v>187</v>
      </c>
      <c r="Z4" s="6" t="inlineStr">
        <is>
          <t>M1712</t>
        </is>
      </c>
      <c r="AA4" s="6" t="inlineStr">
        <is>
          <t>I798</t>
        </is>
      </c>
      <c r="AB4" s="6" t="inlineStr">
        <is>
          <t>M25562</t>
        </is>
      </c>
      <c r="AC4" s="6" t="n"/>
      <c r="AD4" s="5" t="n">
        <v>551630132</v>
      </c>
      <c r="AE4" s="6" t="inlineStr">
        <is>
          <t>HUNTER, DREW</t>
        </is>
      </c>
      <c r="AF4" s="6" t="inlineStr">
        <is>
          <t>ASAP Surgery Centers North Valley LLC</t>
        </is>
      </c>
      <c r="AG4" s="6" t="inlineStr">
        <is>
          <t>02/11/2026</t>
        </is>
      </c>
      <c r="AH4" s="6" t="inlineStr">
        <is>
          <t>GAE</t>
        </is>
      </c>
      <c r="AI4" s="9" t="n"/>
      <c r="AJ4" s="5" t="n">
        <v>496</v>
      </c>
    </row>
    <row r="5">
      <c r="A5" s="2" t="inlineStr">
        <is>
          <t>Received</t>
        </is>
      </c>
      <c r="B5" s="3" t="n"/>
      <c r="C5" s="4" t="n"/>
      <c r="D5" s="5" t="n">
        <v>549217008</v>
      </c>
      <c r="E5" s="6" t="inlineStr">
        <is>
          <t>HF455471322</t>
        </is>
      </c>
      <c r="F5" s="6" t="inlineStr">
        <is>
          <t>02/02/2026</t>
        </is>
      </c>
      <c r="G5" s="6" t="inlineStr">
        <is>
          <t>COMBINED INSURANCE CO OF AMERICA</t>
        </is>
      </c>
      <c r="H5" s="6" t="inlineStr">
        <is>
          <t>Medicare Part B Arizona *</t>
        </is>
      </c>
      <c r="I5" s="6" t="inlineStr">
        <is>
          <t>COMBINED INSURANCE CO OF AMERICA</t>
        </is>
      </c>
      <c r="J5" s="6" t="inlineStr">
        <is>
          <t>37242</t>
        </is>
      </c>
      <c r="K5" s="4" t="n"/>
      <c r="L5" s="5">
        <f>IF($M5="","",$M5-TODAY())</f>
        <v/>
      </c>
      <c r="M5" s="7" t="n">
        <v>46420</v>
      </c>
      <c r="N5" s="6" t="inlineStr">
        <is>
          <t>365 days</t>
        </is>
      </c>
      <c r="O5" s="6" t="inlineStr">
        <is>
          <t>MEDICARE</t>
        </is>
      </c>
      <c r="P5" s="6" t="n"/>
      <c r="Q5" s="6" t="n"/>
      <c r="R5" s="6" t="n"/>
      <c r="S5" s="5" t="n">
        <v>1</v>
      </c>
      <c r="T5" s="8" t="n">
        <v>49162.82</v>
      </c>
      <c r="U5" s="8" t="n">
        <v>48762.31</v>
      </c>
      <c r="V5" s="8" t="n">
        <v>400.11</v>
      </c>
      <c r="W5" s="6" t="inlineStr">
        <is>
          <t>04/23/2026</t>
        </is>
      </c>
      <c r="X5" s="8" t="n">
        <v>0.4</v>
      </c>
      <c r="Y5" s="5" t="n">
        <v>187</v>
      </c>
      <c r="Z5" s="6" t="inlineStr">
        <is>
          <t>M1712</t>
        </is>
      </c>
      <c r="AA5" s="6" t="inlineStr">
        <is>
          <t>I798</t>
        </is>
      </c>
      <c r="AB5" s="6" t="inlineStr">
        <is>
          <t>M25562</t>
        </is>
      </c>
      <c r="AC5" s="6" t="n"/>
      <c r="AD5" s="5" t="n">
        <v>551630132</v>
      </c>
      <c r="AE5" s="6" t="inlineStr">
        <is>
          <t>HUNTER, DREW</t>
        </is>
      </c>
      <c r="AF5" s="6" t="inlineStr">
        <is>
          <t>ASAP Surgery Centers North Valley LLC</t>
        </is>
      </c>
      <c r="AG5" s="6" t="inlineStr">
        <is>
          <t>02/11/2026</t>
        </is>
      </c>
      <c r="AH5" s="6" t="inlineStr">
        <is>
          <t>GAE</t>
        </is>
      </c>
      <c r="AI5" s="9" t="n"/>
      <c r="AJ5" s="5" t="n">
        <v>497</v>
      </c>
    </row>
    <row r="6">
      <c r="A6" s="2" t="inlineStr">
        <is>
          <t>Received</t>
        </is>
      </c>
      <c r="B6" s="3" t="n"/>
      <c r="C6" s="4" t="n"/>
      <c r="D6" s="5" t="n">
        <v>549217008</v>
      </c>
      <c r="E6" s="6" t="inlineStr">
        <is>
          <t>HF455471322</t>
        </is>
      </c>
      <c r="F6" s="6" t="inlineStr">
        <is>
          <t>02/02/2026</t>
        </is>
      </c>
      <c r="G6" s="6" t="inlineStr">
        <is>
          <t>COMBINED INSURANCE CO OF AMERICA</t>
        </is>
      </c>
      <c r="H6" s="6" t="inlineStr">
        <is>
          <t>Medicare Part B Arizona *</t>
        </is>
      </c>
      <c r="I6" s="6" t="inlineStr">
        <is>
          <t>COMBINED INSURANCE CO OF AMERICA</t>
        </is>
      </c>
      <c r="J6" s="6" t="inlineStr">
        <is>
          <t>36245</t>
        </is>
      </c>
      <c r="K6" s="4" t="n"/>
      <c r="L6" s="5">
        <f>IF($M6="","",$M6-TODAY())</f>
        <v/>
      </c>
      <c r="M6" s="7" t="n">
        <v>46420</v>
      </c>
      <c r="N6" s="6" t="inlineStr">
        <is>
          <t>365 days</t>
        </is>
      </c>
      <c r="O6" s="6" t="inlineStr">
        <is>
          <t>MEDICARE</t>
        </is>
      </c>
      <c r="P6" s="6" t="inlineStr">
        <is>
          <t>59</t>
        </is>
      </c>
      <c r="Q6" s="6" t="n"/>
      <c r="R6" s="6" t="n"/>
      <c r="S6" s="5" t="n">
        <v>1</v>
      </c>
      <c r="T6" s="8" t="n">
        <v>8566.040000000001</v>
      </c>
      <c r="U6" s="8" t="n">
        <v>8466.110000000001</v>
      </c>
      <c r="V6" s="8" t="n">
        <v>99.83</v>
      </c>
      <c r="W6" s="6" t="inlineStr">
        <is>
          <t>04/23/2026</t>
        </is>
      </c>
      <c r="X6" s="8" t="n">
        <v>0.1</v>
      </c>
      <c r="Y6" s="5" t="n">
        <v>187</v>
      </c>
      <c r="Z6" s="6" t="inlineStr">
        <is>
          <t>M1712</t>
        </is>
      </c>
      <c r="AA6" s="6" t="inlineStr">
        <is>
          <t>I798</t>
        </is>
      </c>
      <c r="AB6" s="6" t="inlineStr">
        <is>
          <t>M25562</t>
        </is>
      </c>
      <c r="AC6" s="6" t="n"/>
      <c r="AD6" s="5" t="n">
        <v>551630132</v>
      </c>
      <c r="AE6" s="6" t="inlineStr">
        <is>
          <t>HUNTER, DREW</t>
        </is>
      </c>
      <c r="AF6" s="6" t="inlineStr">
        <is>
          <t>ASAP Surgery Centers North Valley LLC</t>
        </is>
      </c>
      <c r="AG6" s="6" t="inlineStr">
        <is>
          <t>02/11/2026</t>
        </is>
      </c>
      <c r="AH6" s="6" t="inlineStr">
        <is>
          <t>GAE</t>
        </is>
      </c>
      <c r="AI6" s="9" t="n"/>
      <c r="AJ6" s="5" t="n">
        <v>498</v>
      </c>
    </row>
    <row r="7">
      <c r="A7" s="2" t="inlineStr">
        <is>
          <t>Received</t>
        </is>
      </c>
      <c r="B7" s="3" t="n"/>
      <c r="C7" s="4" t="n"/>
      <c r="D7" s="5" t="n">
        <v>549217008</v>
      </c>
      <c r="E7" s="6" t="inlineStr">
        <is>
          <t>HF455471322</t>
        </is>
      </c>
      <c r="F7" s="6" t="inlineStr">
        <is>
          <t>02/02/2026</t>
        </is>
      </c>
      <c r="G7" s="6" t="inlineStr">
        <is>
          <t>COMBINED INSURANCE CO OF AMERICA</t>
        </is>
      </c>
      <c r="H7" s="6" t="inlineStr">
        <is>
          <t>Medicare Part B Arizona *</t>
        </is>
      </c>
      <c r="I7" s="6" t="inlineStr">
        <is>
          <t>COMBINED INSURANCE CO OF AMERICA</t>
        </is>
      </c>
      <c r="J7" s="6" t="inlineStr">
        <is>
          <t>36246</t>
        </is>
      </c>
      <c r="K7" s="4" t="n"/>
      <c r="L7" s="5">
        <f>IF($M7="","",$M7-TODAY())</f>
        <v/>
      </c>
      <c r="M7" s="7" t="n">
        <v>46420</v>
      </c>
      <c r="N7" s="6" t="inlineStr">
        <is>
          <t>365 days</t>
        </is>
      </c>
      <c r="O7" s="6" t="inlineStr">
        <is>
          <t>MEDICARE</t>
        </is>
      </c>
      <c r="P7" s="6" t="inlineStr">
        <is>
          <t>59</t>
        </is>
      </c>
      <c r="Q7" s="6" t="inlineStr">
        <is>
          <t>LT</t>
        </is>
      </c>
      <c r="R7" s="6" t="n"/>
      <c r="S7" s="5" t="n">
        <v>1</v>
      </c>
      <c r="T7" s="8" t="n">
        <v>5741.19</v>
      </c>
      <c r="U7" s="8" t="n">
        <v>5634.54</v>
      </c>
      <c r="V7" s="8" t="n">
        <v>106.54</v>
      </c>
      <c r="W7" s="6" t="inlineStr">
        <is>
          <t>04/23/2026</t>
        </is>
      </c>
      <c r="X7" s="8" t="n">
        <v>0.11</v>
      </c>
      <c r="Y7" s="5" t="n">
        <v>187</v>
      </c>
      <c r="Z7" s="6" t="inlineStr">
        <is>
          <t>M1712</t>
        </is>
      </c>
      <c r="AA7" s="6" t="inlineStr">
        <is>
          <t>I798</t>
        </is>
      </c>
      <c r="AB7" s="6" t="inlineStr">
        <is>
          <t>M25562</t>
        </is>
      </c>
      <c r="AC7" s="6" t="n"/>
      <c r="AD7" s="5" t="n">
        <v>551630132</v>
      </c>
      <c r="AE7" s="6" t="inlineStr">
        <is>
          <t>HUNTER, DREW</t>
        </is>
      </c>
      <c r="AF7" s="6" t="inlineStr">
        <is>
          <t>ASAP Surgery Centers North Valley LLC</t>
        </is>
      </c>
      <c r="AG7" s="6" t="inlineStr">
        <is>
          <t>02/11/2026</t>
        </is>
      </c>
      <c r="AH7" s="6" t="inlineStr">
        <is>
          <t>GAE</t>
        </is>
      </c>
      <c r="AI7" s="9" t="n"/>
      <c r="AJ7" s="5" t="n">
        <v>499</v>
      </c>
    </row>
    <row r="8">
      <c r="A8" s="2" t="inlineStr">
        <is>
          <t>Received</t>
        </is>
      </c>
      <c r="B8" s="3" t="n"/>
      <c r="C8" s="4" t="n"/>
      <c r="D8" s="5" t="n">
        <v>549217008</v>
      </c>
      <c r="E8" s="6" t="inlineStr">
        <is>
          <t>HF455471322</t>
        </is>
      </c>
      <c r="F8" s="6" t="inlineStr">
        <is>
          <t>02/02/2026</t>
        </is>
      </c>
      <c r="G8" s="6" t="inlineStr">
        <is>
          <t>COMBINED INSURANCE CO OF AMERICA</t>
        </is>
      </c>
      <c r="H8" s="6" t="inlineStr">
        <is>
          <t>Medicare Part B Arizona *</t>
        </is>
      </c>
      <c r="I8" s="6" t="inlineStr">
        <is>
          <t>COMBINED INSURANCE CO OF AMERICA</t>
        </is>
      </c>
      <c r="J8" s="6" t="inlineStr">
        <is>
          <t>75710</t>
        </is>
      </c>
      <c r="K8" s="4" t="n"/>
      <c r="L8" s="5">
        <f>IF($M8="","",$M8-TODAY())</f>
        <v/>
      </c>
      <c r="M8" s="7" t="n">
        <v>46420</v>
      </c>
      <c r="N8" s="6" t="inlineStr">
        <is>
          <t>365 days</t>
        </is>
      </c>
      <c r="O8" s="6" t="inlineStr">
        <is>
          <t>MEDICARE</t>
        </is>
      </c>
      <c r="P8" s="6" t="inlineStr">
        <is>
          <t>26</t>
        </is>
      </c>
      <c r="Q8" s="6" t="inlineStr">
        <is>
          <t>XU</t>
        </is>
      </c>
      <c r="R8" s="6" t="inlineStr">
        <is>
          <t>LT</t>
        </is>
      </c>
      <c r="S8" s="5" t="n">
        <v>1</v>
      </c>
      <c r="T8" s="8" t="n">
        <v>1037.19</v>
      </c>
      <c r="U8" s="8" t="n">
        <v>959.16</v>
      </c>
      <c r="V8" s="8" t="n">
        <v>77.95</v>
      </c>
      <c r="W8" s="6" t="inlineStr">
        <is>
          <t>04/23/2026</t>
        </is>
      </c>
      <c r="X8" s="8" t="n">
        <v>0.08</v>
      </c>
      <c r="Y8" s="5" t="n">
        <v>187</v>
      </c>
      <c r="Z8" s="6" t="inlineStr">
        <is>
          <t>M1712</t>
        </is>
      </c>
      <c r="AA8" s="6" t="inlineStr">
        <is>
          <t>I798</t>
        </is>
      </c>
      <c r="AB8" s="6" t="inlineStr">
        <is>
          <t>M25562</t>
        </is>
      </c>
      <c r="AC8" s="6" t="n"/>
      <c r="AD8" s="5" t="n">
        <v>551630132</v>
      </c>
      <c r="AE8" s="6" t="inlineStr">
        <is>
          <t>HUNTER, DREW</t>
        </is>
      </c>
      <c r="AF8" s="6" t="inlineStr">
        <is>
          <t>ASAP Surgery Centers North Valley LLC</t>
        </is>
      </c>
      <c r="AG8" s="6" t="inlineStr">
        <is>
          <t>02/11/2026</t>
        </is>
      </c>
      <c r="AH8" s="6" t="inlineStr">
        <is>
          <t>GAE</t>
        </is>
      </c>
      <c r="AI8" s="9" t="n"/>
      <c r="AJ8" s="5" t="n">
        <v>500</v>
      </c>
    </row>
    <row r="9">
      <c r="A9" s="2" t="n"/>
      <c r="B9" s="3" t="n"/>
      <c r="C9" s="4" t="n"/>
      <c r="D9" s="5" t="n">
        <v>549217692</v>
      </c>
      <c r="E9" s="6" t="inlineStr">
        <is>
          <t>HF460854286</t>
        </is>
      </c>
      <c r="F9" s="6" t="inlineStr">
        <is>
          <t>02/02/2026</t>
        </is>
      </c>
      <c r="G9" s="6" t="inlineStr">
        <is>
          <t>United HealthCare Dual Complete</t>
        </is>
      </c>
      <c r="H9" s="6" t="inlineStr">
        <is>
          <t>United HealthCare Dual Complete</t>
        </is>
      </c>
      <c r="I9" s="6" t="inlineStr">
        <is>
          <t>Mercy Care Health Plan Advantage (AHCCCS)</t>
        </is>
      </c>
      <c r="J9" s="6" t="inlineStr">
        <is>
          <t>75710</t>
        </is>
      </c>
      <c r="K9" s="4" t="n"/>
      <c r="L9" s="5">
        <f>IF($M9="","",$M9-TODAY())</f>
        <v/>
      </c>
      <c r="M9" s="7" t="n">
        <v>46420</v>
      </c>
      <c r="N9" s="6" t="inlineStr">
        <is>
          <t>365 days</t>
        </is>
      </c>
      <c r="O9" s="6" t="inlineStr">
        <is>
          <t>UHC DUAL COMPLETE</t>
        </is>
      </c>
      <c r="P9" s="6" t="inlineStr">
        <is>
          <t>26</t>
        </is>
      </c>
      <c r="Q9" s="6" t="inlineStr">
        <is>
          <t>XU</t>
        </is>
      </c>
      <c r="R9" s="6" t="inlineStr">
        <is>
          <t>LT</t>
        </is>
      </c>
      <c r="S9" s="5" t="n">
        <v>1</v>
      </c>
      <c r="T9" s="8" t="n">
        <v>1037.19</v>
      </c>
      <c r="U9" s="8" t="n">
        <v>0</v>
      </c>
      <c r="V9" s="8" t="n">
        <v>0</v>
      </c>
      <c r="W9" s="6" t="inlineStr">
        <is>
          <t>05/13/2026</t>
        </is>
      </c>
      <c r="X9" s="8" t="n">
        <v>1037.19</v>
      </c>
      <c r="Y9" s="5" t="n">
        <v>187</v>
      </c>
      <c r="Z9" s="6" t="inlineStr">
        <is>
          <t>M1712</t>
        </is>
      </c>
      <c r="AA9" s="6" t="inlineStr">
        <is>
          <t>I798</t>
        </is>
      </c>
      <c r="AB9" s="6" t="inlineStr">
        <is>
          <t>M25562</t>
        </is>
      </c>
      <c r="AC9" s="6" t="n"/>
      <c r="AD9" s="5" t="n"/>
      <c r="AE9" s="6" t="inlineStr">
        <is>
          <t>HUNTER, DREW</t>
        </is>
      </c>
      <c r="AF9" s="6" t="inlineStr">
        <is>
          <t>ASAP Surgery Centers North Valley LLC</t>
        </is>
      </c>
      <c r="AG9" s="6" t="inlineStr">
        <is>
          <t>02/11/2026</t>
        </is>
      </c>
      <c r="AH9" s="6" t="inlineStr">
        <is>
          <t>GAE</t>
        </is>
      </c>
      <c r="AI9" s="9" t="n"/>
      <c r="AJ9" s="5" t="n">
        <v>695</v>
      </c>
    </row>
    <row r="10">
      <c r="A10" s="2" t="n"/>
      <c r="B10" s="3" t="n"/>
      <c r="C10" s="4" t="n"/>
      <c r="D10" s="5" t="n">
        <v>549217692</v>
      </c>
      <c r="E10" s="6" t="inlineStr">
        <is>
          <t>HF460854286</t>
        </is>
      </c>
      <c r="F10" s="6" t="inlineStr">
        <is>
          <t>02/02/2026</t>
        </is>
      </c>
      <c r="G10" s="6" t="inlineStr">
        <is>
          <t>United HealthCare Dual Complete</t>
        </is>
      </c>
      <c r="H10" s="6" t="inlineStr">
        <is>
          <t>United HealthCare Dual Complete</t>
        </is>
      </c>
      <c r="I10" s="6" t="inlineStr">
        <is>
          <t>Mercy Care Health Plan Advantage (AHCCCS)</t>
        </is>
      </c>
      <c r="J10" s="6" t="inlineStr">
        <is>
          <t>76937</t>
        </is>
      </c>
      <c r="K10" s="4" t="n"/>
      <c r="L10" s="5">
        <f>IF($M10="","",$M10-TODAY())</f>
        <v/>
      </c>
      <c r="M10" s="7" t="n">
        <v>46420</v>
      </c>
      <c r="N10" s="6" t="inlineStr">
        <is>
          <t>365 days</t>
        </is>
      </c>
      <c r="O10" s="6" t="inlineStr">
        <is>
          <t>UHC DUAL COMPLETE</t>
        </is>
      </c>
      <c r="P10" s="6" t="inlineStr">
        <is>
          <t>26</t>
        </is>
      </c>
      <c r="Q10" s="6" t="n"/>
      <c r="R10" s="6" t="n"/>
      <c r="S10" s="5" t="n">
        <v>1</v>
      </c>
      <c r="T10" s="8" t="n">
        <v>271.18</v>
      </c>
      <c r="U10" s="8" t="n">
        <v>0</v>
      </c>
      <c r="V10" s="8" t="n">
        <v>0</v>
      </c>
      <c r="W10" s="6" t="inlineStr">
        <is>
          <t>05/13/2026</t>
        </is>
      </c>
      <c r="X10" s="8" t="n">
        <v>271.18</v>
      </c>
      <c r="Y10" s="5" t="n">
        <v>187</v>
      </c>
      <c r="Z10" s="6" t="inlineStr">
        <is>
          <t>M1712</t>
        </is>
      </c>
      <c r="AA10" s="6" t="inlineStr">
        <is>
          <t>I798</t>
        </is>
      </c>
      <c r="AB10" s="6" t="inlineStr">
        <is>
          <t>M25562</t>
        </is>
      </c>
      <c r="AC10" s="6" t="n"/>
      <c r="AD10" s="5" t="n"/>
      <c r="AE10" s="6" t="inlineStr">
        <is>
          <t>HUNTER, DREW</t>
        </is>
      </c>
      <c r="AF10" s="6" t="inlineStr">
        <is>
          <t>ASAP Surgery Centers North Valley LLC</t>
        </is>
      </c>
      <c r="AG10" s="6" t="inlineStr">
        <is>
          <t>02/11/2026</t>
        </is>
      </c>
      <c r="AH10" s="6" t="inlineStr">
        <is>
          <t>GAE</t>
        </is>
      </c>
      <c r="AI10" s="9" t="n"/>
      <c r="AJ10" s="5" t="n">
        <v>696</v>
      </c>
    </row>
    <row r="11">
      <c r="A11" s="2" t="n"/>
      <c r="B11" s="3" t="n"/>
      <c r="C11" s="4" t="n"/>
      <c r="D11" s="5" t="n">
        <v>549217692</v>
      </c>
      <c r="E11" s="6" t="inlineStr">
        <is>
          <t>HF460854286</t>
        </is>
      </c>
      <c r="F11" s="6" t="inlineStr">
        <is>
          <t>02/02/2026</t>
        </is>
      </c>
      <c r="G11" s="6" t="inlineStr">
        <is>
          <t>United HealthCare Dual Complete</t>
        </is>
      </c>
      <c r="H11" s="6" t="inlineStr">
        <is>
          <t>United HealthCare Dual Complete</t>
        </is>
      </c>
      <c r="I11" s="6" t="inlineStr">
        <is>
          <t>Mercy Care Health Plan Advantage (AHCCCS)</t>
        </is>
      </c>
      <c r="J11" s="6" t="inlineStr">
        <is>
          <t>75774</t>
        </is>
      </c>
      <c r="K11" s="4" t="n"/>
      <c r="L11" s="5">
        <f>IF($M11="","",$M11-TODAY())</f>
        <v/>
      </c>
      <c r="M11" s="7" t="n">
        <v>46420</v>
      </c>
      <c r="N11" s="6" t="inlineStr">
        <is>
          <t>365 days</t>
        </is>
      </c>
      <c r="O11" s="6" t="inlineStr">
        <is>
          <t>UHC DUAL COMPLETE</t>
        </is>
      </c>
      <c r="P11" s="6" t="inlineStr">
        <is>
          <t>26</t>
        </is>
      </c>
      <c r="Q11" s="6" t="inlineStr">
        <is>
          <t>XU</t>
        </is>
      </c>
      <c r="R11" s="6" t="n"/>
      <c r="S11" s="5" t="n">
        <v>4</v>
      </c>
      <c r="T11" s="8" t="n">
        <v>2685.2</v>
      </c>
      <c r="U11" s="8" t="n">
        <v>0</v>
      </c>
      <c r="V11" s="8" t="n">
        <v>0</v>
      </c>
      <c r="W11" s="6" t="inlineStr">
        <is>
          <t>05/13/2026</t>
        </is>
      </c>
      <c r="X11" s="8" t="n">
        <v>2685.2</v>
      </c>
      <c r="Y11" s="5" t="n">
        <v>187</v>
      </c>
      <c r="Z11" s="6" t="inlineStr">
        <is>
          <t>M1712</t>
        </is>
      </c>
      <c r="AA11" s="6" t="inlineStr">
        <is>
          <t>I798</t>
        </is>
      </c>
      <c r="AB11" s="6" t="inlineStr">
        <is>
          <t>M25562</t>
        </is>
      </c>
      <c r="AC11" s="6" t="n"/>
      <c r="AD11" s="5" t="n"/>
      <c r="AE11" s="6" t="inlineStr">
        <is>
          <t>HUNTER, DREW</t>
        </is>
      </c>
      <c r="AF11" s="6" t="inlineStr">
        <is>
          <t>ASAP Surgery Centers North Valley LLC</t>
        </is>
      </c>
      <c r="AG11" s="6" t="inlineStr">
        <is>
          <t>02/11/2026</t>
        </is>
      </c>
      <c r="AH11" s="6" t="inlineStr">
        <is>
          <t>GAE</t>
        </is>
      </c>
      <c r="AI11" s="9" t="n"/>
      <c r="AJ11" s="5" t="n">
        <v>754</v>
      </c>
    </row>
    <row r="12">
      <c r="A12" s="2" t="n"/>
      <c r="B12" s="3" t="n"/>
      <c r="C12" s="4" t="n"/>
      <c r="D12" s="5" t="n">
        <v>549217692</v>
      </c>
      <c r="E12" s="6" t="inlineStr">
        <is>
          <t>HF460854286</t>
        </is>
      </c>
      <c r="F12" s="6" t="inlineStr">
        <is>
          <t>02/02/2026</t>
        </is>
      </c>
      <c r="G12" s="6" t="inlineStr">
        <is>
          <t>United HealthCare Dual Complete</t>
        </is>
      </c>
      <c r="H12" s="6" t="inlineStr">
        <is>
          <t>United HealthCare Dual Complete</t>
        </is>
      </c>
      <c r="I12" s="6" t="inlineStr">
        <is>
          <t>Mercy Care Health Plan Advantage (AHCCCS)</t>
        </is>
      </c>
      <c r="J12" s="6" t="inlineStr">
        <is>
          <t>36245</t>
        </is>
      </c>
      <c r="K12" s="4" t="n"/>
      <c r="L12" s="5">
        <f>IF($M12="","",$M12-TODAY())</f>
        <v/>
      </c>
      <c r="M12" s="7" t="n">
        <v>46420</v>
      </c>
      <c r="N12" s="6" t="inlineStr">
        <is>
          <t>365 days</t>
        </is>
      </c>
      <c r="O12" s="6" t="inlineStr">
        <is>
          <t>UHC DUAL COMPLETE</t>
        </is>
      </c>
      <c r="P12" s="6" t="inlineStr">
        <is>
          <t>59</t>
        </is>
      </c>
      <c r="Q12" s="6" t="n"/>
      <c r="R12" s="6" t="n"/>
      <c r="S12" s="5" t="n">
        <v>1</v>
      </c>
      <c r="T12" s="8" t="n">
        <v>8566.040000000001</v>
      </c>
      <c r="U12" s="8" t="n">
        <v>0</v>
      </c>
      <c r="V12" s="8" t="n">
        <v>0</v>
      </c>
      <c r="W12" s="6" t="inlineStr">
        <is>
          <t>05/13/2026</t>
        </is>
      </c>
      <c r="X12" s="8" t="n">
        <v>8566.040000000001</v>
      </c>
      <c r="Y12" s="5" t="n">
        <v>187</v>
      </c>
      <c r="Z12" s="6" t="inlineStr">
        <is>
          <t>M1712</t>
        </is>
      </c>
      <c r="AA12" s="6" t="inlineStr">
        <is>
          <t>I798</t>
        </is>
      </c>
      <c r="AB12" s="6" t="inlineStr">
        <is>
          <t>M25562</t>
        </is>
      </c>
      <c r="AC12" s="6" t="n"/>
      <c r="AD12" s="5" t="n"/>
      <c r="AE12" s="6" t="inlineStr">
        <is>
          <t>HUNTER, DREW</t>
        </is>
      </c>
      <c r="AF12" s="6" t="inlineStr">
        <is>
          <t>ASAP Surgery Centers North Valley LLC</t>
        </is>
      </c>
      <c r="AG12" s="6" t="inlineStr">
        <is>
          <t>02/11/2026</t>
        </is>
      </c>
      <c r="AH12" s="6" t="inlineStr">
        <is>
          <t>GAE</t>
        </is>
      </c>
      <c r="AI12" s="9" t="n"/>
      <c r="AJ12" s="5" t="n">
        <v>755</v>
      </c>
    </row>
    <row r="13">
      <c r="A13" s="2" t="n"/>
      <c r="B13" s="3" t="n"/>
      <c r="C13" s="4" t="n"/>
      <c r="D13" s="5" t="n">
        <v>549217692</v>
      </c>
      <c r="E13" s="6" t="inlineStr">
        <is>
          <t>HF460854286</t>
        </is>
      </c>
      <c r="F13" s="6" t="inlineStr">
        <is>
          <t>02/02/2026</t>
        </is>
      </c>
      <c r="G13" s="6" t="inlineStr">
        <is>
          <t>United HealthCare Dual Complete</t>
        </is>
      </c>
      <c r="H13" s="6" t="inlineStr">
        <is>
          <t>United HealthCare Dual Complete</t>
        </is>
      </c>
      <c r="I13" s="6" t="inlineStr">
        <is>
          <t>Mercy Care Health Plan Advantage (AHCCCS)</t>
        </is>
      </c>
      <c r="J13" s="6" t="inlineStr">
        <is>
          <t>36248</t>
        </is>
      </c>
      <c r="K13" s="4" t="n"/>
      <c r="L13" s="5">
        <f>IF($M13="","",$M13-TODAY())</f>
        <v/>
      </c>
      <c r="M13" s="7" t="n">
        <v>46420</v>
      </c>
      <c r="N13" s="6" t="inlineStr">
        <is>
          <t>365 days</t>
        </is>
      </c>
      <c r="O13" s="6" t="inlineStr">
        <is>
          <t>UHC DUAL COMPLETE</t>
        </is>
      </c>
      <c r="P13" s="6" t="inlineStr">
        <is>
          <t>59</t>
        </is>
      </c>
      <c r="Q13" s="6" t="n"/>
      <c r="R13" s="6" t="n"/>
      <c r="S13" s="5" t="n">
        <v>3</v>
      </c>
      <c r="T13" s="8" t="n">
        <v>2422.77</v>
      </c>
      <c r="U13" s="8" t="n">
        <v>0</v>
      </c>
      <c r="V13" s="8" t="n">
        <v>0</v>
      </c>
      <c r="W13" s="6" t="inlineStr">
        <is>
          <t>05/13/2026</t>
        </is>
      </c>
      <c r="X13" s="8" t="n">
        <v>2422.77</v>
      </c>
      <c r="Y13" s="5" t="n">
        <v>187</v>
      </c>
      <c r="Z13" s="6" t="inlineStr">
        <is>
          <t>M1712</t>
        </is>
      </c>
      <c r="AA13" s="6" t="inlineStr">
        <is>
          <t>I798</t>
        </is>
      </c>
      <c r="AB13" s="6" t="inlineStr">
        <is>
          <t>M25562</t>
        </is>
      </c>
      <c r="AC13" s="6" t="n"/>
      <c r="AD13" s="5" t="n"/>
      <c r="AE13" s="6" t="inlineStr">
        <is>
          <t>HUNTER, DREW</t>
        </is>
      </c>
      <c r="AF13" s="6" t="inlineStr">
        <is>
          <t>ASAP Surgery Centers North Valley LLC</t>
        </is>
      </c>
      <c r="AG13" s="6" t="inlineStr">
        <is>
          <t>02/11/2026</t>
        </is>
      </c>
      <c r="AH13" s="6" t="inlineStr">
        <is>
          <t>GAE</t>
        </is>
      </c>
      <c r="AI13" s="9" t="n"/>
      <c r="AJ13" s="5" t="n">
        <v>756</v>
      </c>
    </row>
    <row r="14">
      <c r="A14" s="2" t="n"/>
      <c r="B14" s="3" t="n"/>
      <c r="C14" s="4" t="n"/>
      <c r="D14" s="5" t="n">
        <v>549219539</v>
      </c>
      <c r="E14" s="6" t="inlineStr">
        <is>
          <t>HF538917701</t>
        </is>
      </c>
      <c r="F14" s="6" t="inlineStr">
        <is>
          <t>02/09/2026</t>
        </is>
      </c>
      <c r="G14" s="6" t="inlineStr">
        <is>
          <t>Medicare Part B Arizona *</t>
        </is>
      </c>
      <c r="H14" s="6" t="inlineStr">
        <is>
          <t>Medicare Part B Arizona *</t>
        </is>
      </c>
      <c r="I14" s="6" t="inlineStr">
        <is>
          <t>AARP United Healthcare</t>
        </is>
      </c>
      <c r="J14" s="6" t="inlineStr">
        <is>
          <t>76937</t>
        </is>
      </c>
      <c r="K14" s="4" t="n"/>
      <c r="L14" s="5">
        <f>IF($M14="","",$M14-TODAY())</f>
        <v/>
      </c>
      <c r="M14" s="7" t="n">
        <v>46427</v>
      </c>
      <c r="N14" s="6" t="inlineStr">
        <is>
          <t>365 days</t>
        </is>
      </c>
      <c r="O14" s="6" t="inlineStr">
        <is>
          <t>MEDICARE</t>
        </is>
      </c>
      <c r="P14" s="6" t="inlineStr">
        <is>
          <t>26</t>
        </is>
      </c>
      <c r="Q14" s="6" t="n"/>
      <c r="R14" s="6" t="n"/>
      <c r="S14" s="5" t="n">
        <v>3</v>
      </c>
      <c r="T14" s="8" t="n">
        <v>813.54</v>
      </c>
      <c r="U14" s="8" t="n">
        <v>0</v>
      </c>
      <c r="V14" s="8" t="n">
        <v>0</v>
      </c>
      <c r="W14" s="6" t="inlineStr">
        <is>
          <t>04/14/2026</t>
        </is>
      </c>
      <c r="X14" s="8" t="n">
        <v>813.54</v>
      </c>
      <c r="Y14" s="5" t="n">
        <v>180</v>
      </c>
      <c r="Z14" s="6" t="inlineStr">
        <is>
          <t>M25562</t>
        </is>
      </c>
      <c r="AA14" s="6" t="inlineStr">
        <is>
          <t>I798</t>
        </is>
      </c>
      <c r="AB14" s="6" t="n"/>
      <c r="AC14" s="6" t="n"/>
      <c r="AD14" s="5" t="n"/>
      <c r="AE14" s="6" t="inlineStr">
        <is>
          <t>HUNTER, DREW</t>
        </is>
      </c>
      <c r="AF14" s="6" t="inlineStr">
        <is>
          <t>Premier Endoscopy Center, LLC</t>
        </is>
      </c>
      <c r="AG14" s="6" t="inlineStr">
        <is>
          <t>02/12/2026</t>
        </is>
      </c>
      <c r="AH14" s="6" t="inlineStr">
        <is>
          <t>GAE</t>
        </is>
      </c>
      <c r="AI14" s="9" t="n"/>
      <c r="AJ14" s="5" t="n">
        <v>127</v>
      </c>
    </row>
    <row r="15">
      <c r="A15" s="2" t="n"/>
      <c r="B15" s="3" t="n"/>
      <c r="C15" s="4" t="n"/>
      <c r="D15" s="5" t="n">
        <v>551974048</v>
      </c>
      <c r="E15" s="6" t="inlineStr">
        <is>
          <t>HF460854286</t>
        </is>
      </c>
      <c r="F15" s="6" t="inlineStr">
        <is>
          <t>02/16/2026</t>
        </is>
      </c>
      <c r="G15" s="6" t="inlineStr">
        <is>
          <t>United HealthCare Dual Complete</t>
        </is>
      </c>
      <c r="H15" s="6" t="inlineStr">
        <is>
          <t>United HealthCare Dual Complete</t>
        </is>
      </c>
      <c r="I15" s="6" t="inlineStr">
        <is>
          <t>Mercy Care Health Plan Advantage (AHCCCS)</t>
        </is>
      </c>
      <c r="J15" s="6" t="inlineStr">
        <is>
          <t>75774</t>
        </is>
      </c>
      <c r="K15" s="4" t="n"/>
      <c r="L15" s="5">
        <f>IF($M15="","",$M15-TODAY())</f>
        <v/>
      </c>
      <c r="M15" s="7" t="n">
        <v>46434</v>
      </c>
      <c r="N15" s="6" t="inlineStr">
        <is>
          <t>365 days</t>
        </is>
      </c>
      <c r="O15" s="6" t="inlineStr">
        <is>
          <t>UHC DUAL COMPLETE</t>
        </is>
      </c>
      <c r="P15" s="6" t="inlineStr">
        <is>
          <t>26</t>
        </is>
      </c>
      <c r="Q15" s="6" t="inlineStr">
        <is>
          <t>XU</t>
        </is>
      </c>
      <c r="R15" s="6" t="n"/>
      <c r="S15" s="5" t="n">
        <v>5</v>
      </c>
      <c r="T15" s="8" t="n">
        <v>3356.5</v>
      </c>
      <c r="U15" s="8" t="n">
        <v>0</v>
      </c>
      <c r="V15" s="8" t="n">
        <v>0</v>
      </c>
      <c r="W15" s="6" t="inlineStr">
        <is>
          <t>05/13/2026</t>
        </is>
      </c>
      <c r="X15" s="8" t="n">
        <v>3356.5</v>
      </c>
      <c r="Y15" s="5" t="n">
        <v>173</v>
      </c>
      <c r="Z15" s="6" t="inlineStr">
        <is>
          <t>M1711</t>
        </is>
      </c>
      <c r="AA15" s="6" t="inlineStr">
        <is>
          <t>I798</t>
        </is>
      </c>
      <c r="AB15" s="6" t="inlineStr">
        <is>
          <t>M25561</t>
        </is>
      </c>
      <c r="AC15" s="6" t="n"/>
      <c r="AD15" s="5" t="n"/>
      <c r="AE15" s="6" t="inlineStr">
        <is>
          <t>HUNTER, DREW</t>
        </is>
      </c>
      <c r="AF15" s="6" t="inlineStr">
        <is>
          <t>ASAP Surgery Centers North Valley LLC</t>
        </is>
      </c>
      <c r="AG15" s="6" t="inlineStr">
        <is>
          <t>03/09/2026</t>
        </is>
      </c>
      <c r="AH15" s="6" t="inlineStr">
        <is>
          <t>GAE</t>
        </is>
      </c>
      <c r="AI15" s="9" t="n"/>
      <c r="AJ15" s="5" t="n">
        <v>297</v>
      </c>
    </row>
    <row r="16">
      <c r="A16" s="2" t="n"/>
      <c r="B16" s="3" t="n"/>
      <c r="C16" s="4" t="n"/>
      <c r="D16" s="5" t="n">
        <v>551974048</v>
      </c>
      <c r="E16" s="6" t="inlineStr">
        <is>
          <t>HF460854286</t>
        </is>
      </c>
      <c r="F16" s="6" t="inlineStr">
        <is>
          <t>02/16/2026</t>
        </is>
      </c>
      <c r="G16" s="6" t="inlineStr">
        <is>
          <t>United HealthCare Dual Complete</t>
        </is>
      </c>
      <c r="H16" s="6" t="inlineStr">
        <is>
          <t>United HealthCare Dual Complete</t>
        </is>
      </c>
      <c r="I16" s="6" t="inlineStr">
        <is>
          <t>Mercy Care Health Plan Advantage (AHCCCS)</t>
        </is>
      </c>
      <c r="J16" s="6" t="inlineStr">
        <is>
          <t>75710</t>
        </is>
      </c>
      <c r="K16" s="4" t="n"/>
      <c r="L16" s="5">
        <f>IF($M16="","",$M16-TODAY())</f>
        <v/>
      </c>
      <c r="M16" s="7" t="n">
        <v>46434</v>
      </c>
      <c r="N16" s="6" t="inlineStr">
        <is>
          <t>365 days</t>
        </is>
      </c>
      <c r="O16" s="6" t="inlineStr">
        <is>
          <t>UHC DUAL COMPLETE</t>
        </is>
      </c>
      <c r="P16" s="6" t="inlineStr">
        <is>
          <t>26</t>
        </is>
      </c>
      <c r="Q16" s="6" t="inlineStr">
        <is>
          <t>XU</t>
        </is>
      </c>
      <c r="R16" s="6" t="inlineStr">
        <is>
          <t>RT</t>
        </is>
      </c>
      <c r="S16" s="5" t="n">
        <v>1</v>
      </c>
      <c r="T16" s="8" t="n">
        <v>1037.19</v>
      </c>
      <c r="U16" s="8" t="n">
        <v>0</v>
      </c>
      <c r="V16" s="8" t="n">
        <v>0</v>
      </c>
      <c r="W16" s="6" t="inlineStr">
        <is>
          <t>05/13/2026</t>
        </is>
      </c>
      <c r="X16" s="8" t="n">
        <v>1037.19</v>
      </c>
      <c r="Y16" s="5" t="n">
        <v>173</v>
      </c>
      <c r="Z16" s="6" t="inlineStr">
        <is>
          <t>M1711</t>
        </is>
      </c>
      <c r="AA16" s="6" t="inlineStr">
        <is>
          <t>I798</t>
        </is>
      </c>
      <c r="AB16" s="6" t="inlineStr">
        <is>
          <t>M25561</t>
        </is>
      </c>
      <c r="AC16" s="6" t="n"/>
      <c r="AD16" s="5" t="n"/>
      <c r="AE16" s="6" t="inlineStr">
        <is>
          <t>HUNTER, DREW</t>
        </is>
      </c>
      <c r="AF16" s="6" t="inlineStr">
        <is>
          <t>ASAP Surgery Centers North Valley LLC</t>
        </is>
      </c>
      <c r="AG16" s="6" t="inlineStr">
        <is>
          <t>03/09/2026</t>
        </is>
      </c>
      <c r="AH16" s="6" t="inlineStr">
        <is>
          <t>GAE</t>
        </is>
      </c>
      <c r="AI16" s="9" t="n"/>
      <c r="AJ16" s="5" t="n">
        <v>298</v>
      </c>
    </row>
    <row r="17">
      <c r="A17" s="2" t="n"/>
      <c r="B17" s="3" t="n"/>
      <c r="C17" s="4" t="n"/>
      <c r="D17" s="5" t="n">
        <v>551974048</v>
      </c>
      <c r="E17" s="6" t="inlineStr">
        <is>
          <t>HF460854286</t>
        </is>
      </c>
      <c r="F17" s="6" t="inlineStr">
        <is>
          <t>02/16/2026</t>
        </is>
      </c>
      <c r="G17" s="6" t="inlineStr">
        <is>
          <t>United HealthCare Dual Complete</t>
        </is>
      </c>
      <c r="H17" s="6" t="inlineStr">
        <is>
          <t>United HealthCare Dual Complete</t>
        </is>
      </c>
      <c r="I17" s="6" t="inlineStr">
        <is>
          <t>Mercy Care Health Plan Advantage (AHCCCS)</t>
        </is>
      </c>
      <c r="J17" s="6" t="inlineStr">
        <is>
          <t>36245</t>
        </is>
      </c>
      <c r="K17" s="4" t="n"/>
      <c r="L17" s="5">
        <f>IF($M17="","",$M17-TODAY())</f>
        <v/>
      </c>
      <c r="M17" s="7" t="n">
        <v>46434</v>
      </c>
      <c r="N17" s="6" t="inlineStr">
        <is>
          <t>365 days</t>
        </is>
      </c>
      <c r="O17" s="6" t="inlineStr">
        <is>
          <t>UHC DUAL COMPLETE</t>
        </is>
      </c>
      <c r="P17" s="6" t="inlineStr">
        <is>
          <t>59</t>
        </is>
      </c>
      <c r="Q17" s="6" t="n"/>
      <c r="R17" s="6" t="n"/>
      <c r="S17" s="5" t="n">
        <v>1</v>
      </c>
      <c r="T17" s="8" t="n">
        <v>8566.040000000001</v>
      </c>
      <c r="U17" s="8" t="n">
        <v>0</v>
      </c>
      <c r="V17" s="8" t="n">
        <v>0</v>
      </c>
      <c r="W17" s="6" t="inlineStr">
        <is>
          <t>05/13/2026</t>
        </is>
      </c>
      <c r="X17" s="8" t="n">
        <v>8566.040000000001</v>
      </c>
      <c r="Y17" s="5" t="n">
        <v>173</v>
      </c>
      <c r="Z17" s="6" t="inlineStr">
        <is>
          <t>M1711</t>
        </is>
      </c>
      <c r="AA17" s="6" t="inlineStr">
        <is>
          <t>I798</t>
        </is>
      </c>
      <c r="AB17" s="6" t="inlineStr">
        <is>
          <t>M25561</t>
        </is>
      </c>
      <c r="AC17" s="6" t="n"/>
      <c r="AD17" s="5" t="n"/>
      <c r="AE17" s="6" t="inlineStr">
        <is>
          <t>HUNTER, DREW</t>
        </is>
      </c>
      <c r="AF17" s="6" t="inlineStr">
        <is>
          <t>ASAP Surgery Centers North Valley LLC</t>
        </is>
      </c>
      <c r="AG17" s="6" t="inlineStr">
        <is>
          <t>03/09/2026</t>
        </is>
      </c>
      <c r="AH17" s="6" t="inlineStr">
        <is>
          <t>GAE</t>
        </is>
      </c>
      <c r="AI17" s="9" t="n"/>
      <c r="AJ17" s="5" t="n">
        <v>299</v>
      </c>
    </row>
    <row r="18">
      <c r="A18" s="2" t="n"/>
      <c r="B18" s="3" t="n"/>
      <c r="C18" s="4" t="n"/>
      <c r="D18" s="5" t="n">
        <v>557784595</v>
      </c>
      <c r="E18" s="6" t="inlineStr">
        <is>
          <t>HF489558936</t>
        </is>
      </c>
      <c r="F18" s="6" t="inlineStr">
        <is>
          <t>02/16/2026</t>
        </is>
      </c>
      <c r="G18" s="6" t="inlineStr">
        <is>
          <t>Blue Cross Blue Shield of Arizona (BCBS AZ)</t>
        </is>
      </c>
      <c r="H18" s="6" t="inlineStr">
        <is>
          <t>Blue Cross Blue Shield of Arizona (BCBS AZ)</t>
        </is>
      </c>
      <c r="I18" s="6" t="inlineStr">
        <is>
          <t>No Payer</t>
        </is>
      </c>
      <c r="J18" s="6" t="inlineStr">
        <is>
          <t>36246</t>
        </is>
      </c>
      <c r="K18" s="4" t="n"/>
      <c r="L18" s="5">
        <f>IF($M18="","",$M18-TODAY())</f>
        <v/>
      </c>
      <c r="M18" s="7" t="n">
        <v>46159</v>
      </c>
      <c r="N18" s="6" t="inlineStr">
        <is>
          <t>90 days</t>
        </is>
      </c>
      <c r="O18" s="6" t="inlineStr">
        <is>
          <t>BCBS</t>
        </is>
      </c>
      <c r="P18" s="6" t="inlineStr">
        <is>
          <t>59</t>
        </is>
      </c>
      <c r="Q18" s="6" t="inlineStr">
        <is>
          <t>RT</t>
        </is>
      </c>
      <c r="R18" s="6" t="n"/>
      <c r="S18" s="5" t="n">
        <v>1</v>
      </c>
      <c r="T18" s="8" t="n">
        <v>5741.19</v>
      </c>
      <c r="U18" s="8" t="n">
        <v>0</v>
      </c>
      <c r="V18" s="8" t="n">
        <v>0</v>
      </c>
      <c r="W18" s="6" t="inlineStr">
        <is>
          <t>05/12/2026</t>
        </is>
      </c>
      <c r="X18" s="8" t="n">
        <v>5741.19</v>
      </c>
      <c r="Y18" s="5" t="n">
        <v>173</v>
      </c>
      <c r="Z18" s="6" t="inlineStr">
        <is>
          <t>M1711</t>
        </is>
      </c>
      <c r="AA18" s="6" t="inlineStr">
        <is>
          <t>I798</t>
        </is>
      </c>
      <c r="AB18" s="6" t="inlineStr">
        <is>
          <t>M25561</t>
        </is>
      </c>
      <c r="AC18" s="6" t="n"/>
      <c r="AD18" s="5" t="n"/>
      <c r="AE18" s="6" t="inlineStr">
        <is>
          <t>HUNTER, DREW</t>
        </is>
      </c>
      <c r="AF18" s="6" t="inlineStr">
        <is>
          <t>ASAP - DEER VALLEY</t>
        </is>
      </c>
      <c r="AG18" s="6" t="inlineStr">
        <is>
          <t>03/09/2026</t>
        </is>
      </c>
      <c r="AH18" s="6" t="inlineStr">
        <is>
          <t>GAE</t>
        </is>
      </c>
      <c r="AI18" s="9" t="inlineStr">
        <is>
          <t>BCBS AZ dropped from 365 to 90 days on 01/01/2026. All dates of service here are 2026, so 90 days applies.</t>
        </is>
      </c>
      <c r="AJ18" s="5" t="n">
        <v>481</v>
      </c>
    </row>
    <row r="19">
      <c r="A19" s="2" t="n"/>
      <c r="B19" s="3" t="n"/>
      <c r="C19" s="4" t="n"/>
      <c r="D19" s="5" t="n">
        <v>557784595</v>
      </c>
      <c r="E19" s="6" t="inlineStr">
        <is>
          <t>HF489558936</t>
        </is>
      </c>
      <c r="F19" s="6" t="inlineStr">
        <is>
          <t>02/16/2026</t>
        </is>
      </c>
      <c r="G19" s="6" t="inlineStr">
        <is>
          <t>Blue Cross Blue Shield of Arizona (BCBS AZ)</t>
        </is>
      </c>
      <c r="H19" s="6" t="inlineStr">
        <is>
          <t>Blue Cross Blue Shield of Arizona (BCBS AZ)</t>
        </is>
      </c>
      <c r="I19" s="6" t="inlineStr">
        <is>
          <t>No Payer</t>
        </is>
      </c>
      <c r="J19" s="6" t="inlineStr">
        <is>
          <t>75710</t>
        </is>
      </c>
      <c r="K19" s="4" t="n"/>
      <c r="L19" s="5">
        <f>IF($M19="","",$M19-TODAY())</f>
        <v/>
      </c>
      <c r="M19" s="7" t="n">
        <v>46159</v>
      </c>
      <c r="N19" s="6" t="inlineStr">
        <is>
          <t>90 days</t>
        </is>
      </c>
      <c r="O19" s="6" t="inlineStr">
        <is>
          <t>BCBS</t>
        </is>
      </c>
      <c r="P19" s="6" t="inlineStr">
        <is>
          <t>XU</t>
        </is>
      </c>
      <c r="Q19" s="6" t="inlineStr">
        <is>
          <t>RT</t>
        </is>
      </c>
      <c r="R19" s="6" t="n"/>
      <c r="S19" s="5" t="n">
        <v>1</v>
      </c>
      <c r="T19" s="8" t="n">
        <v>1037.19</v>
      </c>
      <c r="U19" s="8" t="n">
        <v>0</v>
      </c>
      <c r="V19" s="8" t="n">
        <v>0</v>
      </c>
      <c r="W19" s="6" t="inlineStr">
        <is>
          <t>05/12/2026</t>
        </is>
      </c>
      <c r="X19" s="8" t="n">
        <v>1037.19</v>
      </c>
      <c r="Y19" s="5" t="n">
        <v>173</v>
      </c>
      <c r="Z19" s="6" t="inlineStr">
        <is>
          <t>M1711</t>
        </is>
      </c>
      <c r="AA19" s="6" t="inlineStr">
        <is>
          <t>I798</t>
        </is>
      </c>
      <c r="AB19" s="6" t="inlineStr">
        <is>
          <t>M25561</t>
        </is>
      </c>
      <c r="AC19" s="6" t="n"/>
      <c r="AD19" s="5" t="n"/>
      <c r="AE19" s="6" t="inlineStr">
        <is>
          <t>HUNTER, DREW</t>
        </is>
      </c>
      <c r="AF19" s="6" t="inlineStr">
        <is>
          <t>ASAP - DEER VALLEY</t>
        </is>
      </c>
      <c r="AG19" s="6" t="inlineStr">
        <is>
          <t>03/09/2026</t>
        </is>
      </c>
      <c r="AH19" s="6" t="inlineStr">
        <is>
          <t>GAE</t>
        </is>
      </c>
      <c r="AI19" s="9" t="inlineStr">
        <is>
          <t>BCBS AZ dropped from 365 to 90 days on 01/01/2026. All dates of service here are 2026, so 90 days applies.</t>
        </is>
      </c>
      <c r="AJ19" s="5" t="n">
        <v>482</v>
      </c>
    </row>
    <row r="20">
      <c r="A20" s="2" t="n"/>
      <c r="B20" s="3" t="n"/>
      <c r="C20" s="4" t="n"/>
      <c r="D20" s="5" t="n">
        <v>557784595</v>
      </c>
      <c r="E20" s="6" t="inlineStr">
        <is>
          <t>HF489558936</t>
        </is>
      </c>
      <c r="F20" s="6" t="inlineStr">
        <is>
          <t>02/16/2026</t>
        </is>
      </c>
      <c r="G20" s="6" t="inlineStr">
        <is>
          <t>Blue Cross Blue Shield of Arizona (BCBS AZ)</t>
        </is>
      </c>
      <c r="H20" s="6" t="inlineStr">
        <is>
          <t>Blue Cross Blue Shield of Arizona (BCBS AZ)</t>
        </is>
      </c>
      <c r="I20" s="6" t="inlineStr">
        <is>
          <t>No Payer</t>
        </is>
      </c>
      <c r="J20" s="6" t="inlineStr">
        <is>
          <t>76937</t>
        </is>
      </c>
      <c r="K20" s="4" t="n"/>
      <c r="L20" s="5">
        <f>IF($M20="","",$M20-TODAY())</f>
        <v/>
      </c>
      <c r="M20" s="7" t="n">
        <v>46159</v>
      </c>
      <c r="N20" s="6" t="inlineStr">
        <is>
          <t>90 days</t>
        </is>
      </c>
      <c r="O20" s="6" t="inlineStr">
        <is>
          <t>BCBS</t>
        </is>
      </c>
      <c r="P20" s="6" t="n"/>
      <c r="Q20" s="6" t="n"/>
      <c r="R20" s="6" t="n"/>
      <c r="S20" s="5" t="n">
        <v>1</v>
      </c>
      <c r="T20" s="8" t="n">
        <v>271.18</v>
      </c>
      <c r="U20" s="8" t="n">
        <v>0</v>
      </c>
      <c r="V20" s="8" t="n">
        <v>0</v>
      </c>
      <c r="W20" s="6" t="inlineStr">
        <is>
          <t>05/12/2026</t>
        </is>
      </c>
      <c r="X20" s="8" t="n">
        <v>271.18</v>
      </c>
      <c r="Y20" s="5" t="n">
        <v>173</v>
      </c>
      <c r="Z20" s="6" t="inlineStr">
        <is>
          <t>M1711</t>
        </is>
      </c>
      <c r="AA20" s="6" t="inlineStr">
        <is>
          <t>I798</t>
        </is>
      </c>
      <c r="AB20" s="6" t="inlineStr">
        <is>
          <t>M25561</t>
        </is>
      </c>
      <c r="AC20" s="6" t="n"/>
      <c r="AD20" s="5" t="n"/>
      <c r="AE20" s="6" t="inlineStr">
        <is>
          <t>HUNTER, DREW</t>
        </is>
      </c>
      <c r="AF20" s="6" t="inlineStr">
        <is>
          <t>ASAP - DEER VALLEY</t>
        </is>
      </c>
      <c r="AG20" s="6" t="inlineStr">
        <is>
          <t>03/09/2026</t>
        </is>
      </c>
      <c r="AH20" s="6" t="inlineStr">
        <is>
          <t>GAE</t>
        </is>
      </c>
      <c r="AI20" s="9" t="inlineStr">
        <is>
          <t>BCBS AZ dropped from 365 to 90 days on 01/01/2026. All dates of service here are 2026, so 90 days applies.</t>
        </is>
      </c>
      <c r="AJ20" s="5" t="n">
        <v>483</v>
      </c>
    </row>
    <row r="21">
      <c r="A21" s="2" t="n"/>
      <c r="B21" s="3" t="n"/>
      <c r="C21" s="4" t="n"/>
      <c r="D21" s="5" t="n">
        <v>557784595</v>
      </c>
      <c r="E21" s="6" t="inlineStr">
        <is>
          <t>HF489558936</t>
        </is>
      </c>
      <c r="F21" s="6" t="inlineStr">
        <is>
          <t>02/16/2026</t>
        </is>
      </c>
      <c r="G21" s="6" t="inlineStr">
        <is>
          <t>Blue Cross Blue Shield of Arizona (BCBS AZ)</t>
        </is>
      </c>
      <c r="H21" s="6" t="inlineStr">
        <is>
          <t>Blue Cross Blue Shield of Arizona (BCBS AZ)</t>
        </is>
      </c>
      <c r="I21" s="6" t="inlineStr">
        <is>
          <t>No Payer</t>
        </is>
      </c>
      <c r="J21" s="6" t="inlineStr">
        <is>
          <t>75774</t>
        </is>
      </c>
      <c r="K21" s="4" t="n"/>
      <c r="L21" s="5">
        <f>IF($M21="","",$M21-TODAY())</f>
        <v/>
      </c>
      <c r="M21" s="7" t="n">
        <v>46159</v>
      </c>
      <c r="N21" s="6" t="inlineStr">
        <is>
          <t>90 days</t>
        </is>
      </c>
      <c r="O21" s="6" t="inlineStr">
        <is>
          <t>BCBS</t>
        </is>
      </c>
      <c r="P21" s="6" t="inlineStr">
        <is>
          <t>XU</t>
        </is>
      </c>
      <c r="Q21" s="6" t="n"/>
      <c r="R21" s="6" t="n"/>
      <c r="S21" s="5" t="n">
        <v>4</v>
      </c>
      <c r="T21" s="8" t="n">
        <v>2685.2</v>
      </c>
      <c r="U21" s="8" t="n">
        <v>0</v>
      </c>
      <c r="V21" s="8" t="n">
        <v>0</v>
      </c>
      <c r="W21" s="6" t="inlineStr">
        <is>
          <t>05/12/2026</t>
        </is>
      </c>
      <c r="X21" s="8" t="n">
        <v>2685.2</v>
      </c>
      <c r="Y21" s="5" t="n">
        <v>173</v>
      </c>
      <c r="Z21" s="6" t="inlineStr">
        <is>
          <t>M1711</t>
        </is>
      </c>
      <c r="AA21" s="6" t="inlineStr">
        <is>
          <t>I798</t>
        </is>
      </c>
      <c r="AB21" s="6" t="inlineStr">
        <is>
          <t>M25561</t>
        </is>
      </c>
      <c r="AC21" s="6" t="n"/>
      <c r="AD21" s="5" t="n"/>
      <c r="AE21" s="6" t="inlineStr">
        <is>
          <t>HUNTER, DREW</t>
        </is>
      </c>
      <c r="AF21" s="6" t="inlineStr">
        <is>
          <t>ASAP - DEER VALLEY</t>
        </is>
      </c>
      <c r="AG21" s="6" t="inlineStr">
        <is>
          <t>03/09/2026</t>
        </is>
      </c>
      <c r="AH21" s="6" t="inlineStr">
        <is>
          <t>GAE</t>
        </is>
      </c>
      <c r="AI21" s="9" t="inlineStr">
        <is>
          <t>BCBS AZ dropped from 365 to 90 days on 01/01/2026. All dates of service here are 2026, so 90 days applies.</t>
        </is>
      </c>
      <c r="AJ21" s="5" t="n">
        <v>484</v>
      </c>
    </row>
    <row r="22">
      <c r="A22" s="2" t="n"/>
      <c r="B22" s="3" t="n"/>
      <c r="C22" s="4" t="n"/>
      <c r="D22" s="5" t="n">
        <v>557784595</v>
      </c>
      <c r="E22" s="6" t="inlineStr">
        <is>
          <t>HF489558936</t>
        </is>
      </c>
      <c r="F22" s="6" t="inlineStr">
        <is>
          <t>02/16/2026</t>
        </is>
      </c>
      <c r="G22" s="6" t="inlineStr">
        <is>
          <t>Blue Cross Blue Shield of Arizona (BCBS AZ)</t>
        </is>
      </c>
      <c r="H22" s="6" t="inlineStr">
        <is>
          <t>Blue Cross Blue Shield of Arizona (BCBS AZ)</t>
        </is>
      </c>
      <c r="I22" s="6" t="inlineStr">
        <is>
          <t>No Payer</t>
        </is>
      </c>
      <c r="J22" s="6" t="inlineStr">
        <is>
          <t>36248</t>
        </is>
      </c>
      <c r="K22" s="4" t="n"/>
      <c r="L22" s="5">
        <f>IF($M22="","",$M22-TODAY())</f>
        <v/>
      </c>
      <c r="M22" s="7" t="n">
        <v>46159</v>
      </c>
      <c r="N22" s="6" t="inlineStr">
        <is>
          <t>90 days</t>
        </is>
      </c>
      <c r="O22" s="6" t="inlineStr">
        <is>
          <t>BCBS</t>
        </is>
      </c>
      <c r="P22" s="6" t="inlineStr">
        <is>
          <t>59</t>
        </is>
      </c>
      <c r="Q22" s="6" t="n"/>
      <c r="R22" s="6" t="n"/>
      <c r="S22" s="5" t="n">
        <v>3</v>
      </c>
      <c r="T22" s="8" t="n">
        <v>2422.77</v>
      </c>
      <c r="U22" s="8" t="n">
        <v>0</v>
      </c>
      <c r="V22" s="8" t="n">
        <v>0</v>
      </c>
      <c r="W22" s="6" t="inlineStr">
        <is>
          <t>05/12/2026</t>
        </is>
      </c>
      <c r="X22" s="8" t="n">
        <v>2422.77</v>
      </c>
      <c r="Y22" s="5" t="n">
        <v>173</v>
      </c>
      <c r="Z22" s="6" t="inlineStr">
        <is>
          <t>M1711</t>
        </is>
      </c>
      <c r="AA22" s="6" t="inlineStr">
        <is>
          <t>I798</t>
        </is>
      </c>
      <c r="AB22" s="6" t="inlineStr">
        <is>
          <t>M25561</t>
        </is>
      </c>
      <c r="AC22" s="6" t="n"/>
      <c r="AD22" s="5" t="n"/>
      <c r="AE22" s="6" t="inlineStr">
        <is>
          <t>HUNTER, DREW</t>
        </is>
      </c>
      <c r="AF22" s="6" t="inlineStr">
        <is>
          <t>ASAP - DEER VALLEY</t>
        </is>
      </c>
      <c r="AG22" s="6" t="inlineStr">
        <is>
          <t>03/09/2026</t>
        </is>
      </c>
      <c r="AH22" s="6" t="inlineStr">
        <is>
          <t>GAE</t>
        </is>
      </c>
      <c r="AI22" s="9" t="inlineStr">
        <is>
          <t>BCBS AZ dropped from 365 to 90 days on 01/01/2026. All dates of service here are 2026, so 90 days applies.</t>
        </is>
      </c>
      <c r="AJ22" s="5" t="n">
        <v>485</v>
      </c>
    </row>
    <row r="23">
      <c r="A23" s="2" t="n"/>
      <c r="B23" s="3" t="n"/>
      <c r="C23" s="4" t="n"/>
      <c r="D23" s="5" t="n">
        <v>557784595</v>
      </c>
      <c r="E23" s="6" t="inlineStr">
        <is>
          <t>HF489558936</t>
        </is>
      </c>
      <c r="F23" s="6" t="inlineStr">
        <is>
          <t>02/16/2026</t>
        </is>
      </c>
      <c r="G23" s="6" t="inlineStr">
        <is>
          <t>Blue Cross Blue Shield of Arizona (BCBS AZ)</t>
        </is>
      </c>
      <c r="H23" s="6" t="inlineStr">
        <is>
          <t>Blue Cross Blue Shield of Arizona (BCBS AZ)</t>
        </is>
      </c>
      <c r="I23" s="6" t="inlineStr">
        <is>
          <t>No Payer</t>
        </is>
      </c>
      <c r="J23" s="6" t="inlineStr">
        <is>
          <t>37242</t>
        </is>
      </c>
      <c r="K23" s="4" t="n"/>
      <c r="L23" s="5">
        <f>IF($M23="","",$M23-TODAY())</f>
        <v/>
      </c>
      <c r="M23" s="7" t="n">
        <v>46159</v>
      </c>
      <c r="N23" s="6" t="inlineStr">
        <is>
          <t>90 days</t>
        </is>
      </c>
      <c r="O23" s="6" t="inlineStr">
        <is>
          <t>BCBS</t>
        </is>
      </c>
      <c r="P23" s="6" t="n"/>
      <c r="Q23" s="6" t="n"/>
      <c r="R23" s="6" t="n"/>
      <c r="S23" s="5" t="n">
        <v>1</v>
      </c>
      <c r="T23" s="8" t="n">
        <v>49162.82</v>
      </c>
      <c r="U23" s="8" t="n">
        <v>0</v>
      </c>
      <c r="V23" s="8" t="n">
        <v>0</v>
      </c>
      <c r="W23" s="6" t="inlineStr">
        <is>
          <t>05/12/2026</t>
        </is>
      </c>
      <c r="X23" s="8" t="n">
        <v>49162.82</v>
      </c>
      <c r="Y23" s="5" t="n">
        <v>173</v>
      </c>
      <c r="Z23" s="6" t="inlineStr">
        <is>
          <t>M1711</t>
        </is>
      </c>
      <c r="AA23" s="6" t="inlineStr">
        <is>
          <t>I798</t>
        </is>
      </c>
      <c r="AB23" s="6" t="inlineStr">
        <is>
          <t>M25561</t>
        </is>
      </c>
      <c r="AC23" s="6" t="n"/>
      <c r="AD23" s="5" t="n"/>
      <c r="AE23" s="6" t="inlineStr">
        <is>
          <t>HUNTER, DREW</t>
        </is>
      </c>
      <c r="AF23" s="6" t="inlineStr">
        <is>
          <t>ASAP - DEER VALLEY</t>
        </is>
      </c>
      <c r="AG23" s="6" t="inlineStr">
        <is>
          <t>03/09/2026</t>
        </is>
      </c>
      <c r="AH23" s="6" t="inlineStr">
        <is>
          <t>GAE</t>
        </is>
      </c>
      <c r="AI23" s="9" t="inlineStr">
        <is>
          <t>BCBS AZ dropped from 365 to 90 days on 01/01/2026. All dates of service here are 2026, so 90 days applies.</t>
        </is>
      </c>
      <c r="AJ23" s="5" t="n">
        <v>486</v>
      </c>
    </row>
  </sheetData>
  <autoFilter ref="A1:AJ23"/>
  <conditionalFormatting sqref="L2:O23">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23"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J17"/>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inlineStr">
        <is>
          <t>Finalized</t>
        </is>
      </c>
      <c r="B2" s="3" t="n"/>
      <c r="C2" s="4" t="n"/>
      <c r="D2" s="5" t="n">
        <v>549835748</v>
      </c>
      <c r="E2" s="6" t="inlineStr">
        <is>
          <t>HF546941796</t>
        </is>
      </c>
      <c r="F2" s="6" t="inlineStr">
        <is>
          <t>02/17/2026</t>
        </is>
      </c>
      <c r="G2" s="6" t="inlineStr">
        <is>
          <t>Physicians Mutual Insurance Company - ENS</t>
        </is>
      </c>
      <c r="H2" s="6" t="inlineStr">
        <is>
          <t>Medicare Part B Arizona *</t>
        </is>
      </c>
      <c r="I2" s="6" t="inlineStr">
        <is>
          <t>Physicians Mutual Insurance Company - ENS</t>
        </is>
      </c>
      <c r="J2" s="6" t="inlineStr">
        <is>
          <t>63685</t>
        </is>
      </c>
      <c r="K2" s="4" t="n"/>
      <c r="L2" s="5">
        <f>IF($M2="","",$M2-TODAY())</f>
        <v/>
      </c>
      <c r="M2" s="7" t="n">
        <v>46435</v>
      </c>
      <c r="N2" s="6" t="inlineStr">
        <is>
          <t>365 days</t>
        </is>
      </c>
      <c r="O2" s="6" t="inlineStr">
        <is>
          <t>MEDICARE</t>
        </is>
      </c>
      <c r="P2" s="6" t="n"/>
      <c r="Q2" s="6" t="n"/>
      <c r="R2" s="6" t="n"/>
      <c r="S2" s="5" t="n">
        <v>1</v>
      </c>
      <c r="T2" s="8" t="n">
        <v>2493.33</v>
      </c>
      <c r="U2" s="8" t="n">
        <v>2340.02</v>
      </c>
      <c r="V2" s="8" t="n">
        <v>153.15</v>
      </c>
      <c r="W2" s="6" t="inlineStr">
        <is>
          <t>04/16/2026</t>
        </is>
      </c>
      <c r="X2" s="8" t="n">
        <v>0.16</v>
      </c>
      <c r="Y2" s="5" t="n">
        <v>172</v>
      </c>
      <c r="Z2" s="6" t="inlineStr">
        <is>
          <t>M961</t>
        </is>
      </c>
      <c r="AA2" s="6" t="inlineStr">
        <is>
          <t>G90523</t>
        </is>
      </c>
      <c r="AB2" s="6" t="n"/>
      <c r="AC2" s="6" t="n"/>
      <c r="AD2" s="5" t="n">
        <v>557765015</v>
      </c>
      <c r="AE2" s="6" t="inlineStr">
        <is>
          <t>KRAUSE, JEFFREY</t>
        </is>
      </c>
      <c r="AF2" s="6" t="inlineStr">
        <is>
          <t>ASAP Surgery Centers North Valley LLC</t>
        </is>
      </c>
      <c r="AG2" s="6" t="inlineStr">
        <is>
          <t>02/19/2026</t>
        </is>
      </c>
      <c r="AH2" s="6" t="inlineStr">
        <is>
          <t>ORTHO</t>
        </is>
      </c>
      <c r="AI2" s="9" t="n"/>
      <c r="AJ2" s="5" t="n">
        <v>316</v>
      </c>
    </row>
    <row r="3">
      <c r="A3" s="2" t="inlineStr">
        <is>
          <t>Finalized</t>
        </is>
      </c>
      <c r="B3" s="3" t="n"/>
      <c r="C3" s="4" t="n"/>
      <c r="D3" s="5" t="n">
        <v>550306697</v>
      </c>
      <c r="E3" s="6" t="inlineStr">
        <is>
          <t>HF444976688</t>
        </is>
      </c>
      <c r="F3" s="6" t="inlineStr">
        <is>
          <t>02/20/2026</t>
        </is>
      </c>
      <c r="G3" s="6" t="inlineStr">
        <is>
          <t>Blue Cross Blue Shield of Arizona (BCBS AZ)</t>
        </is>
      </c>
      <c r="H3" s="6" t="inlineStr">
        <is>
          <t>Medicare Part B Arizona *</t>
        </is>
      </c>
      <c r="I3" s="6" t="inlineStr">
        <is>
          <t>Blue Cross Blue Shield of Arizona (BCBS AZ)</t>
        </is>
      </c>
      <c r="J3" s="6" t="inlineStr">
        <is>
          <t>63685</t>
        </is>
      </c>
      <c r="K3" s="4" t="n"/>
      <c r="L3" s="5">
        <f>IF($M3="","",$M3-TODAY())</f>
        <v/>
      </c>
      <c r="M3" s="7" t="n">
        <v>46438</v>
      </c>
      <c r="N3" s="6" t="inlineStr">
        <is>
          <t>365 days</t>
        </is>
      </c>
      <c r="O3" s="6" t="inlineStr">
        <is>
          <t>MEDICARE</t>
        </is>
      </c>
      <c r="P3" s="6" t="n"/>
      <c r="Q3" s="6" t="n"/>
      <c r="R3" s="6" t="n"/>
      <c r="S3" s="5" t="n">
        <v>1</v>
      </c>
      <c r="T3" s="8" t="n">
        <v>2493.33</v>
      </c>
      <c r="U3" s="8" t="n">
        <v>2340.79</v>
      </c>
      <c r="V3" s="8" t="n">
        <v>121.54</v>
      </c>
      <c r="W3" s="6" t="inlineStr">
        <is>
          <t>03/10/2026</t>
        </is>
      </c>
      <c r="X3" s="8" t="n">
        <v>31</v>
      </c>
      <c r="Y3" s="5" t="n">
        <v>169</v>
      </c>
      <c r="Z3" s="6" t="inlineStr">
        <is>
          <t>M961</t>
        </is>
      </c>
      <c r="AA3" s="6" t="n"/>
      <c r="AB3" s="6" t="n"/>
      <c r="AC3" s="6" t="n"/>
      <c r="AD3" s="5" t="n">
        <v>562575912</v>
      </c>
      <c r="AE3" s="6" t="inlineStr">
        <is>
          <t>CURRIE, DAVID</t>
        </is>
      </c>
      <c r="AF3" s="6" t="inlineStr">
        <is>
          <t>Premier Endoscopy Center, LLC</t>
        </is>
      </c>
      <c r="AG3" s="6" t="inlineStr">
        <is>
          <t>02/24/2026</t>
        </is>
      </c>
      <c r="AH3" s="6" t="inlineStr">
        <is>
          <t>ORTHO</t>
        </is>
      </c>
      <c r="AI3" s="9" t="n"/>
      <c r="AJ3" s="5" t="n">
        <v>284</v>
      </c>
    </row>
    <row r="4">
      <c r="A4" s="2" t="n"/>
      <c r="B4" s="3" t="n"/>
      <c r="C4" s="4" t="n"/>
      <c r="D4" s="5" t="n">
        <v>563073824</v>
      </c>
      <c r="E4" s="6" t="inlineStr">
        <is>
          <t>HF544045379</t>
        </is>
      </c>
      <c r="F4" s="6" t="inlineStr">
        <is>
          <t>02/26/2026</t>
        </is>
      </c>
      <c r="G4" s="6" t="inlineStr">
        <is>
          <t>Mutual of Omaha Medicare Advantage OFAP</t>
        </is>
      </c>
      <c r="H4" s="6" t="inlineStr">
        <is>
          <t>Medicare Part B Arizona *</t>
        </is>
      </c>
      <c r="I4" s="6" t="inlineStr">
        <is>
          <t>Mutual of Omaha Medicare Advantage OFAP</t>
        </is>
      </c>
      <c r="J4" s="6" t="inlineStr">
        <is>
          <t>63030</t>
        </is>
      </c>
      <c r="K4" s="4" t="n"/>
      <c r="L4" s="5">
        <f>IF($M4="","",$M4-TODAY())</f>
        <v/>
      </c>
      <c r="M4" s="7" t="n">
        <v>46444</v>
      </c>
      <c r="N4" s="6" t="inlineStr">
        <is>
          <t>365 days</t>
        </is>
      </c>
      <c r="O4" s="6" t="inlineStr">
        <is>
          <t>MEDICARE</t>
        </is>
      </c>
      <c r="P4" s="6" t="inlineStr">
        <is>
          <t>LT</t>
        </is>
      </c>
      <c r="Q4" s="6" t="n"/>
      <c r="R4" s="6" t="n"/>
      <c r="S4" s="5" t="n">
        <v>1</v>
      </c>
      <c r="T4" s="8" t="n">
        <v>6297.27</v>
      </c>
      <c r="U4" s="8" t="n">
        <v>0</v>
      </c>
      <c r="V4" s="8" t="n">
        <v>1013.09</v>
      </c>
      <c r="W4" s="6" t="inlineStr">
        <is>
          <t>06/29/2026</t>
        </is>
      </c>
      <c r="X4" s="8" t="n">
        <v>5284.18</v>
      </c>
      <c r="Y4" s="5" t="n">
        <v>163</v>
      </c>
      <c r="Z4" s="6" t="inlineStr">
        <is>
          <t>M48062</t>
        </is>
      </c>
      <c r="AA4" s="6" t="inlineStr">
        <is>
          <t>M5416</t>
        </is>
      </c>
      <c r="AB4" s="6" t="inlineStr">
        <is>
          <t>M5126</t>
        </is>
      </c>
      <c r="AC4" s="6" t="inlineStr">
        <is>
          <t>M51362</t>
        </is>
      </c>
      <c r="AD4" s="5" t="n">
        <v>554801761</v>
      </c>
      <c r="AE4" s="6" t="inlineStr">
        <is>
          <t>LUKE, TIMOTHY</t>
        </is>
      </c>
      <c r="AF4" s="6" t="inlineStr">
        <is>
          <t>ASAP Surgery Centers North Valley LLC</t>
        </is>
      </c>
      <c r="AG4" s="6" t="inlineStr">
        <is>
          <t>03/12/2026</t>
        </is>
      </c>
      <c r="AH4" s="6" t="inlineStr">
        <is>
          <t>ORTHO</t>
        </is>
      </c>
      <c r="AI4" s="9" t="n"/>
      <c r="AJ4" s="5" t="n">
        <v>21</v>
      </c>
    </row>
    <row r="5">
      <c r="A5" s="2" t="n"/>
      <c r="B5" s="3" t="n"/>
      <c r="C5" s="4" t="n"/>
      <c r="D5" s="5" t="n">
        <v>563073824</v>
      </c>
      <c r="E5" s="6" t="inlineStr">
        <is>
          <t>HF544045379</t>
        </is>
      </c>
      <c r="F5" s="6" t="inlineStr">
        <is>
          <t>02/26/2026</t>
        </is>
      </c>
      <c r="G5" s="6" t="inlineStr">
        <is>
          <t>Mutual of Omaha Medicare Advantage OFAP</t>
        </is>
      </c>
      <c r="H5" s="6" t="inlineStr">
        <is>
          <t>Medicare Part B Arizona *</t>
        </is>
      </c>
      <c r="I5" s="6" t="inlineStr">
        <is>
          <t>Mutual of Omaha Medicare Advantage OFAP</t>
        </is>
      </c>
      <c r="J5" s="6" t="inlineStr">
        <is>
          <t>63047</t>
        </is>
      </c>
      <c r="K5" s="4" t="n"/>
      <c r="L5" s="5">
        <f>IF($M5="","",$M5-TODAY())</f>
        <v/>
      </c>
      <c r="M5" s="7" t="n">
        <v>46444</v>
      </c>
      <c r="N5" s="6" t="inlineStr">
        <is>
          <t>365 days</t>
        </is>
      </c>
      <c r="O5" s="6" t="inlineStr">
        <is>
          <t>MEDICARE</t>
        </is>
      </c>
      <c r="P5" s="6" t="n"/>
      <c r="Q5" s="6" t="n"/>
      <c r="R5" s="6" t="n"/>
      <c r="S5" s="5" t="n">
        <v>1</v>
      </c>
      <c r="T5" s="8" t="n">
        <v>7623.07</v>
      </c>
      <c r="U5" s="8" t="n">
        <v>0</v>
      </c>
      <c r="V5" s="8" t="n">
        <v>0</v>
      </c>
      <c r="W5" s="6" t="inlineStr">
        <is>
          <t>06/29/2026</t>
        </is>
      </c>
      <c r="X5" s="8" t="n">
        <v>7623.07</v>
      </c>
      <c r="Y5" s="5" t="n">
        <v>163</v>
      </c>
      <c r="Z5" s="6" t="inlineStr">
        <is>
          <t>M48062</t>
        </is>
      </c>
      <c r="AA5" s="6" t="inlineStr">
        <is>
          <t>M5416</t>
        </is>
      </c>
      <c r="AB5" s="6" t="inlineStr">
        <is>
          <t>M5126</t>
        </is>
      </c>
      <c r="AC5" s="6" t="inlineStr">
        <is>
          <t>M51362</t>
        </is>
      </c>
      <c r="AD5" s="5" t="n">
        <v>554801761</v>
      </c>
      <c r="AE5" s="6" t="inlineStr">
        <is>
          <t>LUKE, TIMOTHY</t>
        </is>
      </c>
      <c r="AF5" s="6" t="inlineStr">
        <is>
          <t>ASAP Surgery Centers North Valley LLC</t>
        </is>
      </c>
      <c r="AG5" s="6" t="inlineStr">
        <is>
          <t>03/12/2026</t>
        </is>
      </c>
      <c r="AH5" s="6" t="inlineStr">
        <is>
          <t>ORTHO</t>
        </is>
      </c>
      <c r="AI5" s="9" t="n"/>
      <c r="AJ5" s="5" t="n">
        <v>22</v>
      </c>
    </row>
    <row r="6">
      <c r="A6" s="2" t="n"/>
      <c r="B6" s="3" t="n"/>
      <c r="C6" s="4" t="n"/>
      <c r="D6" s="5" t="n">
        <v>563073824</v>
      </c>
      <c r="E6" s="6" t="inlineStr">
        <is>
          <t>HF544045379</t>
        </is>
      </c>
      <c r="F6" s="6" t="inlineStr">
        <is>
          <t>02/26/2026</t>
        </is>
      </c>
      <c r="G6" s="6" t="inlineStr">
        <is>
          <t>Mutual of Omaha Medicare Advantage OFAP</t>
        </is>
      </c>
      <c r="H6" s="6" t="inlineStr">
        <is>
          <t>Medicare Part B Arizona *</t>
        </is>
      </c>
      <c r="I6" s="6" t="inlineStr">
        <is>
          <t>Mutual of Omaha Medicare Advantage OFAP</t>
        </is>
      </c>
      <c r="J6" s="6" t="inlineStr">
        <is>
          <t>63030</t>
        </is>
      </c>
      <c r="K6" s="4" t="n"/>
      <c r="L6" s="5">
        <f>IF($M6="","",$M6-TODAY())</f>
        <v/>
      </c>
      <c r="M6" s="7" t="n">
        <v>46444</v>
      </c>
      <c r="N6" s="6" t="inlineStr">
        <is>
          <t>365 days</t>
        </is>
      </c>
      <c r="O6" s="6" t="inlineStr">
        <is>
          <t>MEDICARE</t>
        </is>
      </c>
      <c r="P6" s="6" t="inlineStr">
        <is>
          <t>RT</t>
        </is>
      </c>
      <c r="Q6" s="6" t="n"/>
      <c r="R6" s="6" t="n"/>
      <c r="S6" s="5" t="n">
        <v>1</v>
      </c>
      <c r="T6" s="8" t="n">
        <v>6297.27</v>
      </c>
      <c r="U6" s="8" t="n">
        <v>0</v>
      </c>
      <c r="V6" s="8" t="n">
        <v>0</v>
      </c>
      <c r="W6" s="6" t="inlineStr">
        <is>
          <t>06/29/2026</t>
        </is>
      </c>
      <c r="X6" s="8" t="n">
        <v>6297.27</v>
      </c>
      <c r="Y6" s="5" t="n">
        <v>163</v>
      </c>
      <c r="Z6" s="6" t="inlineStr">
        <is>
          <t>M48062</t>
        </is>
      </c>
      <c r="AA6" s="6" t="inlineStr">
        <is>
          <t>M5416</t>
        </is>
      </c>
      <c r="AB6" s="6" t="inlineStr">
        <is>
          <t>M5126</t>
        </is>
      </c>
      <c r="AC6" s="6" t="inlineStr">
        <is>
          <t>M51362</t>
        </is>
      </c>
      <c r="AD6" s="5" t="n">
        <v>554801761</v>
      </c>
      <c r="AE6" s="6" t="inlineStr">
        <is>
          <t>LUKE, TIMOTHY</t>
        </is>
      </c>
      <c r="AF6" s="6" t="inlineStr">
        <is>
          <t>ASAP Surgery Centers North Valley LLC</t>
        </is>
      </c>
      <c r="AG6" s="6" t="inlineStr">
        <is>
          <t>03/12/2026</t>
        </is>
      </c>
      <c r="AH6" s="6" t="inlineStr">
        <is>
          <t>ORTHO</t>
        </is>
      </c>
      <c r="AI6" s="9" t="n"/>
      <c r="AJ6" s="5" t="n">
        <v>23</v>
      </c>
    </row>
    <row r="7">
      <c r="A7" s="2" t="n"/>
      <c r="B7" s="3" t="n"/>
      <c r="C7" s="4" t="n"/>
      <c r="D7" s="5" t="n">
        <v>555677002</v>
      </c>
      <c r="E7" s="6" t="inlineStr">
        <is>
          <t>HF540909294</t>
        </is>
      </c>
      <c r="F7" s="6" t="inlineStr">
        <is>
          <t>02/06/2026</t>
        </is>
      </c>
      <c r="G7" s="6" t="inlineStr">
        <is>
          <t>Humana Gold Plus HMO</t>
        </is>
      </c>
      <c r="H7" s="6" t="inlineStr">
        <is>
          <t>Humana Gold Plus HMO</t>
        </is>
      </c>
      <c r="I7" s="6" t="inlineStr">
        <is>
          <t>No Payer</t>
        </is>
      </c>
      <c r="J7" s="6" t="inlineStr">
        <is>
          <t>63048</t>
        </is>
      </c>
      <c r="K7" s="4" t="n"/>
      <c r="L7" s="5">
        <f>IF($M7="","",$M7-TODAY())</f>
        <v/>
      </c>
      <c r="M7" s="7" t="n">
        <v>46149</v>
      </c>
      <c r="N7" s="6" t="inlineStr">
        <is>
          <t>90 days</t>
        </is>
      </c>
      <c r="O7" s="6" t="inlineStr">
        <is>
          <t>HUMANA MA</t>
        </is>
      </c>
      <c r="P7" s="6" t="n"/>
      <c r="Q7" s="6" t="n"/>
      <c r="R7" s="6" t="n"/>
      <c r="S7" s="5" t="n">
        <v>1</v>
      </c>
      <c r="T7" s="8" t="n">
        <v>1433.32</v>
      </c>
      <c r="U7" s="8" t="n">
        <v>0</v>
      </c>
      <c r="V7" s="8" t="n">
        <v>0</v>
      </c>
      <c r="W7" s="6" t="inlineStr">
        <is>
          <t>05/05/2026</t>
        </is>
      </c>
      <c r="X7" s="8" t="n">
        <v>1433.32</v>
      </c>
      <c r="Y7" s="5" t="n">
        <v>183</v>
      </c>
      <c r="Z7" s="6" t="inlineStr">
        <is>
          <t>M48062</t>
        </is>
      </c>
      <c r="AA7" s="6" t="n"/>
      <c r="AB7" s="6" t="n"/>
      <c r="AC7" s="6" t="n"/>
      <c r="AD7" s="5" t="n"/>
      <c r="AE7" s="6" t="inlineStr">
        <is>
          <t>O'NEIL, ROY</t>
        </is>
      </c>
      <c r="AF7" s="6" t="inlineStr">
        <is>
          <t>ASAP Surgery Centers North Valley LLC</t>
        </is>
      </c>
      <c r="AG7" s="6" t="inlineStr">
        <is>
          <t>02/12/2026</t>
        </is>
      </c>
      <c r="AH7" s="6" t="inlineStr">
        <is>
          <t>ORTHO</t>
        </is>
      </c>
      <c r="AI7" s="9" t="inlineStr">
        <is>
          <t>Shorter of the two Humana limits (90 days ancillary vs 180 days physician). Confirm the rendering provider's category - if they bill as a physician the real deadline is 90 days later.</t>
        </is>
      </c>
      <c r="AJ7" s="5" t="n">
        <v>106</v>
      </c>
    </row>
    <row r="8">
      <c r="A8" s="2" t="n"/>
      <c r="B8" s="3" t="n"/>
      <c r="C8" s="4" t="n"/>
      <c r="D8" s="5" t="n">
        <v>555677002</v>
      </c>
      <c r="E8" s="6" t="inlineStr">
        <is>
          <t>HF540909294</t>
        </is>
      </c>
      <c r="F8" s="6" t="inlineStr">
        <is>
          <t>02/06/2026</t>
        </is>
      </c>
      <c r="G8" s="6" t="inlineStr">
        <is>
          <t>Humana Gold Plus HMO</t>
        </is>
      </c>
      <c r="H8" s="6" t="inlineStr">
        <is>
          <t>Humana Gold Plus HMO</t>
        </is>
      </c>
      <c r="I8" s="6" t="inlineStr">
        <is>
          <t>No Payer</t>
        </is>
      </c>
      <c r="J8" s="6" t="inlineStr">
        <is>
          <t>63047</t>
        </is>
      </c>
      <c r="K8" s="4" t="n"/>
      <c r="L8" s="5">
        <f>IF($M8="","",$M8-TODAY())</f>
        <v/>
      </c>
      <c r="M8" s="7" t="n">
        <v>46149</v>
      </c>
      <c r="N8" s="6" t="inlineStr">
        <is>
          <t>90 days</t>
        </is>
      </c>
      <c r="O8" s="6" t="inlineStr">
        <is>
          <t>HUMANA MA</t>
        </is>
      </c>
      <c r="P8" s="6" t="n"/>
      <c r="Q8" s="6" t="n"/>
      <c r="R8" s="6" t="n"/>
      <c r="S8" s="5" t="n">
        <v>1</v>
      </c>
      <c r="T8" s="8" t="n">
        <v>7623.07</v>
      </c>
      <c r="U8" s="8" t="n">
        <v>0</v>
      </c>
      <c r="V8" s="8" t="n">
        <v>0</v>
      </c>
      <c r="W8" s="6" t="inlineStr">
        <is>
          <t>05/05/2026</t>
        </is>
      </c>
      <c r="X8" s="8" t="n">
        <v>7623.07</v>
      </c>
      <c r="Y8" s="5" t="n">
        <v>183</v>
      </c>
      <c r="Z8" s="6" t="inlineStr">
        <is>
          <t>M48062</t>
        </is>
      </c>
      <c r="AA8" s="6" t="n"/>
      <c r="AB8" s="6" t="n"/>
      <c r="AC8" s="6" t="n"/>
      <c r="AD8" s="5" t="n"/>
      <c r="AE8" s="6" t="inlineStr">
        <is>
          <t>O'NEIL, ROY</t>
        </is>
      </c>
      <c r="AF8" s="6" t="inlineStr">
        <is>
          <t>ASAP Surgery Centers North Valley LLC</t>
        </is>
      </c>
      <c r="AG8" s="6" t="inlineStr">
        <is>
          <t>02/12/2026</t>
        </is>
      </c>
      <c r="AH8" s="6" t="inlineStr">
        <is>
          <t>ORTHO</t>
        </is>
      </c>
      <c r="AI8" s="9" t="inlineStr">
        <is>
          <t>Shorter of the two Humana limits (90 days ancillary vs 180 days physician). Confirm the rendering provider's category - if they bill as a physician the real deadline is 90 days later.</t>
        </is>
      </c>
      <c r="AJ8" s="5" t="n">
        <v>107</v>
      </c>
    </row>
    <row r="9">
      <c r="A9" s="2" t="n"/>
      <c r="B9" s="3" t="n"/>
      <c r="C9" s="4" t="n"/>
      <c r="D9" s="5" t="n">
        <v>551412333</v>
      </c>
      <c r="E9" s="6" t="inlineStr">
        <is>
          <t>HF500464709</t>
        </is>
      </c>
      <c r="F9" s="6" t="inlineStr">
        <is>
          <t>02/19/2026</t>
        </is>
      </c>
      <c r="G9" s="6" t="inlineStr">
        <is>
          <t>UHC Group Medicare Advantage</t>
        </is>
      </c>
      <c r="H9" s="6" t="inlineStr">
        <is>
          <t>UHC Group Medicare Advantage</t>
        </is>
      </c>
      <c r="I9" s="6" t="inlineStr">
        <is>
          <t>No Payer</t>
        </is>
      </c>
      <c r="J9" s="6" t="inlineStr">
        <is>
          <t>63030</t>
        </is>
      </c>
      <c r="K9" s="4" t="n"/>
      <c r="L9" s="5">
        <f>IF($M9="","",$M9-TODAY())</f>
        <v/>
      </c>
      <c r="M9" s="7" t="n">
        <v>46162</v>
      </c>
      <c r="N9" s="6" t="inlineStr">
        <is>
          <t>90 days</t>
        </is>
      </c>
      <c r="O9" s="6" t="inlineStr">
        <is>
          <t>UHC MA</t>
        </is>
      </c>
      <c r="P9" s="6" t="inlineStr">
        <is>
          <t>50</t>
        </is>
      </c>
      <c r="Q9" s="6" t="n"/>
      <c r="R9" s="6" t="n"/>
      <c r="S9" s="5" t="n">
        <v>1</v>
      </c>
      <c r="T9" s="8" t="n">
        <v>6297.27</v>
      </c>
      <c r="U9" s="8" t="n">
        <v>0</v>
      </c>
      <c r="V9" s="8" t="n">
        <v>0</v>
      </c>
      <c r="W9" s="6" t="inlineStr">
        <is>
          <t>04/30/2026</t>
        </is>
      </c>
      <c r="X9" s="8" t="n">
        <v>6297.27</v>
      </c>
      <c r="Y9" s="5" t="n">
        <v>170</v>
      </c>
      <c r="Z9" s="6" t="inlineStr">
        <is>
          <t>M48062</t>
        </is>
      </c>
      <c r="AA9" s="6" t="inlineStr">
        <is>
          <t>M5416</t>
        </is>
      </c>
      <c r="AB9" s="6" t="inlineStr">
        <is>
          <t>M5126</t>
        </is>
      </c>
      <c r="AC9" s="6" t="inlineStr">
        <is>
          <t>M51362</t>
        </is>
      </c>
      <c r="AD9" s="5" t="n"/>
      <c r="AE9" s="6" t="inlineStr">
        <is>
          <t>LUKE, TIMOTHY</t>
        </is>
      </c>
      <c r="AF9" s="6" t="inlineStr">
        <is>
          <t>ASAP Surgery Centers North Valley LLC</t>
        </is>
      </c>
      <c r="AG9" s="6" t="inlineStr">
        <is>
          <t>03/03/2026</t>
        </is>
      </c>
      <c r="AH9" s="6" t="inlineStr">
        <is>
          <t>ORTHO</t>
        </is>
      </c>
      <c r="AI9" s="9" t="n"/>
      <c r="AJ9" s="5" t="n">
        <v>449</v>
      </c>
    </row>
    <row r="10">
      <c r="A10" s="2" t="n"/>
      <c r="B10" s="3" t="n"/>
      <c r="C10" s="4" t="n"/>
      <c r="D10" s="5" t="n">
        <v>563274947</v>
      </c>
      <c r="E10" s="6" t="inlineStr">
        <is>
          <t>HF513477727</t>
        </is>
      </c>
      <c r="F10" s="6" t="inlineStr">
        <is>
          <t>02/26/2026</t>
        </is>
      </c>
      <c r="G10" s="6" t="inlineStr">
        <is>
          <t>Blue Cross Blue Shield of Arizona (BCBS AZ)</t>
        </is>
      </c>
      <c r="H10" s="6" t="inlineStr">
        <is>
          <t>Blue Cross Blue Shield of Arizona (BCBS AZ)</t>
        </is>
      </c>
      <c r="I10" s="6" t="inlineStr">
        <is>
          <t>No Payer</t>
        </is>
      </c>
      <c r="J10" s="6" t="inlineStr">
        <is>
          <t>22845</t>
        </is>
      </c>
      <c r="K10" s="4" t="n"/>
      <c r="L10" s="5">
        <f>IF($M10="","",$M10-TODAY())</f>
        <v/>
      </c>
      <c r="M10" s="7" t="n">
        <v>46169</v>
      </c>
      <c r="N10" s="6" t="inlineStr">
        <is>
          <t>90 days</t>
        </is>
      </c>
      <c r="O10" s="6" t="inlineStr">
        <is>
          <t>BCBS</t>
        </is>
      </c>
      <c r="P10" s="6" t="inlineStr">
        <is>
          <t>59</t>
        </is>
      </c>
      <c r="Q10" s="6" t="n"/>
      <c r="R10" s="6" t="n"/>
      <c r="S10" s="5" t="n">
        <v>1</v>
      </c>
      <c r="T10" s="8" t="n">
        <v>4951.24</v>
      </c>
      <c r="U10" s="8" t="n">
        <v>0</v>
      </c>
      <c r="V10" s="8" t="n">
        <v>0</v>
      </c>
      <c r="W10" s="6" t="inlineStr">
        <is>
          <t>07/09/2026</t>
        </is>
      </c>
      <c r="X10" s="8" t="n">
        <v>4951.24</v>
      </c>
      <c r="Y10" s="5" t="n">
        <v>163</v>
      </c>
      <c r="Z10" s="6" t="inlineStr">
        <is>
          <t>M5416</t>
        </is>
      </c>
      <c r="AA10" s="6" t="inlineStr">
        <is>
          <t>M4807</t>
        </is>
      </c>
      <c r="AB10" s="6" t="n"/>
      <c r="AC10" s="6" t="n"/>
      <c r="AD10" s="5" t="n"/>
      <c r="AE10" s="6" t="inlineStr">
        <is>
          <t>MAYURAN, VIKRAM</t>
        </is>
      </c>
      <c r="AF10" s="6" t="inlineStr">
        <is>
          <t>Banner Desert Medical Center</t>
        </is>
      </c>
      <c r="AG10" s="6" t="inlineStr">
        <is>
          <t>03/11/2026</t>
        </is>
      </c>
      <c r="AH10" s="6" t="inlineStr">
        <is>
          <t>ORTHO</t>
        </is>
      </c>
      <c r="AI10" s="9" t="inlineStr">
        <is>
          <t>BCBS AZ dropped from 365 to 90 days on 01/01/2026. All dates of service here are 2026, so 90 days applies.</t>
        </is>
      </c>
      <c r="AJ10" s="5" t="n">
        <v>892</v>
      </c>
    </row>
    <row r="11">
      <c r="A11" s="2" t="n"/>
      <c r="B11" s="3" t="n"/>
      <c r="C11" s="4" t="n"/>
      <c r="D11" s="5" t="n">
        <v>563274947</v>
      </c>
      <c r="E11" s="6" t="inlineStr">
        <is>
          <t>HF513477727</t>
        </is>
      </c>
      <c r="F11" s="6" t="inlineStr">
        <is>
          <t>02/26/2026</t>
        </is>
      </c>
      <c r="G11" s="6" t="inlineStr">
        <is>
          <t>Blue Cross Blue Shield of Arizona (BCBS AZ)</t>
        </is>
      </c>
      <c r="H11" s="6" t="inlineStr">
        <is>
          <t>Blue Cross Blue Shield of Arizona (BCBS AZ)</t>
        </is>
      </c>
      <c r="I11" s="6" t="inlineStr">
        <is>
          <t>No Payer</t>
        </is>
      </c>
      <c r="J11" s="6" t="inlineStr">
        <is>
          <t>22853</t>
        </is>
      </c>
      <c r="K11" s="4" t="n"/>
      <c r="L11" s="5">
        <f>IF($M11="","",$M11-TODAY())</f>
        <v/>
      </c>
      <c r="M11" s="7" t="n">
        <v>46169</v>
      </c>
      <c r="N11" s="6" t="inlineStr">
        <is>
          <t>90 days</t>
        </is>
      </c>
      <c r="O11" s="6" t="inlineStr">
        <is>
          <t>BCBS</t>
        </is>
      </c>
      <c r="P11" s="6" t="n"/>
      <c r="Q11" s="6" t="n"/>
      <c r="R11" s="6" t="n"/>
      <c r="S11" s="5" t="n">
        <v>1</v>
      </c>
      <c r="T11" s="8" t="n">
        <v>1758.12</v>
      </c>
      <c r="U11" s="8" t="n">
        <v>0</v>
      </c>
      <c r="V11" s="8" t="n">
        <v>0</v>
      </c>
      <c r="W11" s="6" t="inlineStr">
        <is>
          <t>07/09/2026</t>
        </is>
      </c>
      <c r="X11" s="8" t="n">
        <v>1758.12</v>
      </c>
      <c r="Y11" s="5" t="n">
        <v>163</v>
      </c>
      <c r="Z11" s="6" t="inlineStr">
        <is>
          <t>M5416</t>
        </is>
      </c>
      <c r="AA11" s="6" t="inlineStr">
        <is>
          <t>M4807</t>
        </is>
      </c>
      <c r="AB11" s="6" t="n"/>
      <c r="AC11" s="6" t="n"/>
      <c r="AD11" s="5" t="n"/>
      <c r="AE11" s="6" t="inlineStr">
        <is>
          <t>MAYURAN, VIKRAM</t>
        </is>
      </c>
      <c r="AF11" s="6" t="inlineStr">
        <is>
          <t>Banner Desert Medical Center</t>
        </is>
      </c>
      <c r="AG11" s="6" t="inlineStr">
        <is>
          <t>03/11/2026</t>
        </is>
      </c>
      <c r="AH11" s="6" t="inlineStr">
        <is>
          <t>ORTHO</t>
        </is>
      </c>
      <c r="AI11" s="9" t="inlineStr">
        <is>
          <t>BCBS AZ dropped from 365 to 90 days on 01/01/2026. All dates of service here are 2026, so 90 days applies.</t>
        </is>
      </c>
      <c r="AJ11" s="5" t="n">
        <v>893</v>
      </c>
    </row>
    <row r="12">
      <c r="A12" s="2" t="n"/>
      <c r="B12" s="3" t="n"/>
      <c r="C12" s="4" t="n"/>
      <c r="D12" s="5" t="n">
        <v>562083380</v>
      </c>
      <c r="E12" s="6" t="inlineStr">
        <is>
          <t>HF334213960</t>
        </is>
      </c>
      <c r="F12" s="6" t="inlineStr">
        <is>
          <t>02/27/2026</t>
        </is>
      </c>
      <c r="G12" s="6" t="inlineStr">
        <is>
          <t>Optum Care Medical Network of Arizona, Utah, &amp; Washington (LifePrint)</t>
        </is>
      </c>
      <c r="H12" s="6" t="inlineStr">
        <is>
          <t>Optum Care Medical Network of Arizona, Utah, &amp; Washington (LifePrint)</t>
        </is>
      </c>
      <c r="I12" s="6" t="inlineStr">
        <is>
          <t>No Payer</t>
        </is>
      </c>
      <c r="J12" s="6" t="inlineStr">
        <is>
          <t>63047</t>
        </is>
      </c>
      <c r="K12" s="4" t="n"/>
      <c r="L12" s="5">
        <f>IF($M12="","",$M12-TODAY())</f>
        <v/>
      </c>
      <c r="M12" s="7" t="n">
        <v>46170</v>
      </c>
      <c r="N12" s="6" t="inlineStr">
        <is>
          <t>90 days</t>
        </is>
      </c>
      <c r="O12" s="6" t="inlineStr">
        <is>
          <t>OPTUM</t>
        </is>
      </c>
      <c r="P12" s="6" t="inlineStr">
        <is>
          <t>58</t>
        </is>
      </c>
      <c r="Q12" s="6" t="n"/>
      <c r="R12" s="6" t="n"/>
      <c r="S12" s="5" t="n">
        <v>1</v>
      </c>
      <c r="T12" s="8" t="n">
        <v>7623.07</v>
      </c>
      <c r="U12" s="8" t="n">
        <v>0</v>
      </c>
      <c r="V12" s="8" t="n">
        <v>0</v>
      </c>
      <c r="W12" s="6" t="inlineStr">
        <is>
          <t>06/16/2026</t>
        </is>
      </c>
      <c r="X12" s="8" t="n">
        <v>7623.07</v>
      </c>
      <c r="Y12" s="5" t="n">
        <v>162</v>
      </c>
      <c r="Z12" s="6" t="inlineStr">
        <is>
          <t>M48062</t>
        </is>
      </c>
      <c r="AA12" s="6" t="n"/>
      <c r="AB12" s="6" t="n"/>
      <c r="AC12" s="6" t="n"/>
      <c r="AD12" s="5" t="n"/>
      <c r="AE12" s="6" t="inlineStr">
        <is>
          <t>LEATHEM, JARRETT</t>
        </is>
      </c>
      <c r="AF12" s="6" t="inlineStr">
        <is>
          <t>Premier Endoscopy Center, LLC</t>
        </is>
      </c>
      <c r="AG12" s="6" t="inlineStr">
        <is>
          <t>03/02/2026</t>
        </is>
      </c>
      <c r="AH12" s="6" t="inlineStr">
        <is>
          <t>ORTHO</t>
        </is>
      </c>
      <c r="AI12" s="9" t="n"/>
      <c r="AJ12" s="5" t="n">
        <v>518</v>
      </c>
    </row>
    <row r="13">
      <c r="A13" s="2" t="n"/>
      <c r="B13" s="3" t="n"/>
      <c r="C13" s="4" t="n"/>
      <c r="D13" s="5" t="n">
        <v>564578362</v>
      </c>
      <c r="E13" s="6" t="inlineStr">
        <is>
          <t>HF496014369</t>
        </is>
      </c>
      <c r="F13" s="6" t="inlineStr">
        <is>
          <t>02/04/2026</t>
        </is>
      </c>
      <c r="G13" s="6" t="inlineStr">
        <is>
          <t>Arizona Complete Health (Centene)</t>
        </is>
      </c>
      <c r="H13" s="6" t="inlineStr">
        <is>
          <t>Arizona Complete Health (Centene)</t>
        </is>
      </c>
      <c r="I13" s="6" t="inlineStr">
        <is>
          <t>No Payer</t>
        </is>
      </c>
      <c r="J13" s="6" t="inlineStr">
        <is>
          <t>63048</t>
        </is>
      </c>
      <c r="K13" s="4" t="n"/>
      <c r="L13" s="5">
        <f>IF($M13="","",$M13-TODAY())</f>
        <v/>
      </c>
      <c r="M13" s="7" t="n">
        <v>46177</v>
      </c>
      <c r="N13" s="6" t="inlineStr">
        <is>
          <t>120 days</t>
        </is>
      </c>
      <c r="O13" s="6" t="inlineStr">
        <is>
          <t>AZ COMPLETE</t>
        </is>
      </c>
      <c r="P13" s="6" t="n"/>
      <c r="Q13" s="6" t="n"/>
      <c r="R13" s="6" t="n"/>
      <c r="S13" s="5" t="n">
        <v>1</v>
      </c>
      <c r="T13" s="8" t="n">
        <v>1433.32</v>
      </c>
      <c r="U13" s="8" t="n">
        <v>0</v>
      </c>
      <c r="V13" s="8" t="n">
        <v>0</v>
      </c>
      <c r="W13" s="6" t="inlineStr">
        <is>
          <t>07/15/2026</t>
        </is>
      </c>
      <c r="X13" s="8" t="n">
        <v>1433.32</v>
      </c>
      <c r="Y13" s="5" t="n">
        <v>185</v>
      </c>
      <c r="Z13" s="6" t="inlineStr">
        <is>
          <t>M48062</t>
        </is>
      </c>
      <c r="AA13" s="6" t="inlineStr">
        <is>
          <t>M51370</t>
        </is>
      </c>
      <c r="AB13" s="6" t="n"/>
      <c r="AC13" s="6" t="n"/>
      <c r="AD13" s="5" t="n"/>
      <c r="AE13" s="6" t="inlineStr">
        <is>
          <t>MCCUNNIFF, PETER</t>
        </is>
      </c>
      <c r="AF13" s="6" t="inlineStr">
        <is>
          <t>ASAP Surgery Centers North Valley LLC</t>
        </is>
      </c>
      <c r="AG13" s="6" t="inlineStr">
        <is>
          <t>02/24/2026</t>
        </is>
      </c>
      <c r="AH13" s="6" t="inlineStr">
        <is>
          <t>ORTHO</t>
        </is>
      </c>
      <c r="AI13" s="9" t="n"/>
      <c r="AJ13" s="5" t="n">
        <v>947</v>
      </c>
    </row>
    <row r="14">
      <c r="A14" s="2" t="n"/>
      <c r="B14" s="3" t="n"/>
      <c r="C14" s="4" t="n"/>
      <c r="D14" s="5" t="n">
        <v>551321878</v>
      </c>
      <c r="E14" s="6" t="inlineStr">
        <is>
          <t>HF349133597</t>
        </is>
      </c>
      <c r="F14" s="6" t="inlineStr">
        <is>
          <t>02/05/2026</t>
        </is>
      </c>
      <c r="G14" s="6" t="inlineStr">
        <is>
          <t>AARP MedicareComplete (SecureHorizons &amp; Oxford Network)</t>
        </is>
      </c>
      <c r="H14" s="6" t="inlineStr">
        <is>
          <t>AARP MedicareComplete (SecureHorizons &amp; Oxford Network)</t>
        </is>
      </c>
      <c r="I14" s="6" t="inlineStr">
        <is>
          <t>No Payer</t>
        </is>
      </c>
      <c r="J14" s="6" t="inlineStr">
        <is>
          <t>63048</t>
        </is>
      </c>
      <c r="K14" s="4" t="n"/>
      <c r="L14" s="5">
        <f>IF($M14="","",$M14-TODAY())</f>
        <v/>
      </c>
      <c r="M14" s="7" t="n"/>
      <c r="N14" s="6" t="n"/>
      <c r="O14" s="6" t="inlineStr">
        <is>
          <t>AARP MA CHOICE / MEDICARE COMPLETE</t>
        </is>
      </c>
      <c r="P14" s="6" t="n"/>
      <c r="Q14" s="6" t="n"/>
      <c r="R14" s="6" t="n"/>
      <c r="S14" s="5" t="n">
        <v>1</v>
      </c>
      <c r="T14" s="8" t="n">
        <v>1433.32</v>
      </c>
      <c r="U14" s="8" t="n">
        <v>0</v>
      </c>
      <c r="V14" s="8" t="n">
        <v>0</v>
      </c>
      <c r="W14" s="6" t="inlineStr">
        <is>
          <t>04/30/2026</t>
        </is>
      </c>
      <c r="X14" s="8" t="n">
        <v>1433.32</v>
      </c>
      <c r="Y14" s="5" t="n">
        <v>184</v>
      </c>
      <c r="Z14" s="6" t="inlineStr">
        <is>
          <t>M48062</t>
        </is>
      </c>
      <c r="AA14" s="6" t="inlineStr">
        <is>
          <t>M5416</t>
        </is>
      </c>
      <c r="AB14" s="6" t="inlineStr">
        <is>
          <t>M51362</t>
        </is>
      </c>
      <c r="AC14" s="6" t="inlineStr">
        <is>
          <t>M4696</t>
        </is>
      </c>
      <c r="AD14" s="5" t="n"/>
      <c r="AE14" s="6" t="inlineStr">
        <is>
          <t>LUKE, TIMOTHY</t>
        </is>
      </c>
      <c r="AF14" s="6" t="inlineStr">
        <is>
          <t>ASAP Surgery Centers North Valley LLC</t>
        </is>
      </c>
      <c r="AG14" s="6" t="inlineStr">
        <is>
          <t>03/02/2026</t>
        </is>
      </c>
      <c r="AH14" s="6" t="inlineStr">
        <is>
          <t>ORTHO</t>
        </is>
      </c>
      <c r="AI14" s="9" t="n"/>
      <c r="AJ14" s="5" t="n">
        <v>86</v>
      </c>
    </row>
    <row r="15">
      <c r="A15" s="2" t="n"/>
      <c r="B15" s="3" t="n"/>
      <c r="C15" s="4" t="n"/>
      <c r="D15" s="5" t="n">
        <v>551321878</v>
      </c>
      <c r="E15" s="6" t="inlineStr">
        <is>
          <t>HF349133597</t>
        </is>
      </c>
      <c r="F15" s="6" t="inlineStr">
        <is>
          <t>02/05/2026</t>
        </is>
      </c>
      <c r="G15" s="6" t="inlineStr">
        <is>
          <t>AARP MedicareComplete (SecureHorizons &amp; Oxford Network)</t>
        </is>
      </c>
      <c r="H15" s="6" t="inlineStr">
        <is>
          <t>AARP MedicareComplete (SecureHorizons &amp; Oxford Network)</t>
        </is>
      </c>
      <c r="I15" s="6" t="inlineStr">
        <is>
          <t>No Payer</t>
        </is>
      </c>
      <c r="J15" s="6" t="inlineStr">
        <is>
          <t>63047</t>
        </is>
      </c>
      <c r="K15" s="4" t="n"/>
      <c r="L15" s="5">
        <f>IF($M15="","",$M15-TODAY())</f>
        <v/>
      </c>
      <c r="M15" s="7" t="n"/>
      <c r="N15" s="6" t="n"/>
      <c r="O15" s="6" t="inlineStr">
        <is>
          <t>AARP MA CHOICE / MEDICARE COMPLETE</t>
        </is>
      </c>
      <c r="P15" s="6" t="n"/>
      <c r="Q15" s="6" t="n"/>
      <c r="R15" s="6" t="n"/>
      <c r="S15" s="5" t="n">
        <v>1</v>
      </c>
      <c r="T15" s="8" t="n">
        <v>7623.07</v>
      </c>
      <c r="U15" s="8" t="n">
        <v>0</v>
      </c>
      <c r="V15" s="8" t="n">
        <v>0</v>
      </c>
      <c r="W15" s="6" t="inlineStr">
        <is>
          <t>04/30/2026</t>
        </is>
      </c>
      <c r="X15" s="8" t="n">
        <v>7623.07</v>
      </c>
      <c r="Y15" s="5" t="n">
        <v>184</v>
      </c>
      <c r="Z15" s="6" t="inlineStr">
        <is>
          <t>M48062</t>
        </is>
      </c>
      <c r="AA15" s="6" t="inlineStr">
        <is>
          <t>M5416</t>
        </is>
      </c>
      <c r="AB15" s="6" t="inlineStr">
        <is>
          <t>M51362</t>
        </is>
      </c>
      <c r="AC15" s="6" t="inlineStr">
        <is>
          <t>M4696</t>
        </is>
      </c>
      <c r="AD15" s="5" t="n"/>
      <c r="AE15" s="6" t="inlineStr">
        <is>
          <t>LUKE, TIMOTHY</t>
        </is>
      </c>
      <c r="AF15" s="6" t="inlineStr">
        <is>
          <t>ASAP Surgery Centers North Valley LLC</t>
        </is>
      </c>
      <c r="AG15" s="6" t="inlineStr">
        <is>
          <t>03/02/2026</t>
        </is>
      </c>
      <c r="AH15" s="6" t="inlineStr">
        <is>
          <t>ORTHO</t>
        </is>
      </c>
      <c r="AI15" s="9" t="n"/>
      <c r="AJ15" s="5" t="n">
        <v>87</v>
      </c>
    </row>
    <row r="16">
      <c r="A16" s="2" t="n"/>
      <c r="B16" s="3" t="n"/>
      <c r="C16" s="4" t="n"/>
      <c r="D16" s="5" t="n">
        <v>551321878</v>
      </c>
      <c r="E16" s="6" t="inlineStr">
        <is>
          <t>HF349133597</t>
        </is>
      </c>
      <c r="F16" s="6" t="inlineStr">
        <is>
          <t>02/05/2026</t>
        </is>
      </c>
      <c r="G16" s="6" t="inlineStr">
        <is>
          <t>AARP MedicareComplete (SecureHorizons &amp; Oxford Network)</t>
        </is>
      </c>
      <c r="H16" s="6" t="inlineStr">
        <is>
          <t>AARP MedicareComplete (SecureHorizons &amp; Oxford Network)</t>
        </is>
      </c>
      <c r="I16" s="6" t="inlineStr">
        <is>
          <t>No Payer</t>
        </is>
      </c>
      <c r="J16" s="6" t="inlineStr">
        <is>
          <t>64708</t>
        </is>
      </c>
      <c r="K16" s="4" t="n"/>
      <c r="L16" s="5">
        <f>IF($M16="","",$M16-TODAY())</f>
        <v/>
      </c>
      <c r="M16" s="7" t="n"/>
      <c r="N16" s="6" t="n"/>
      <c r="O16" s="6" t="inlineStr">
        <is>
          <t>AARP MA CHOICE / MEDICARE COMPLETE</t>
        </is>
      </c>
      <c r="P16" s="6" t="n"/>
      <c r="Q16" s="6" t="n"/>
      <c r="R16" s="6" t="n"/>
      <c r="S16" s="5" t="n">
        <v>1</v>
      </c>
      <c r="T16" s="8" t="n">
        <v>3471.16</v>
      </c>
      <c r="U16" s="8" t="n">
        <v>0</v>
      </c>
      <c r="V16" s="8" t="n">
        <v>0</v>
      </c>
      <c r="W16" s="6" t="inlineStr">
        <is>
          <t>04/30/2026</t>
        </is>
      </c>
      <c r="X16" s="8" t="n">
        <v>3471.16</v>
      </c>
      <c r="Y16" s="5" t="n">
        <v>184</v>
      </c>
      <c r="Z16" s="6" t="inlineStr">
        <is>
          <t>M48062</t>
        </is>
      </c>
      <c r="AA16" s="6" t="inlineStr">
        <is>
          <t>M5416</t>
        </is>
      </c>
      <c r="AB16" s="6" t="inlineStr">
        <is>
          <t>M51362</t>
        </is>
      </c>
      <c r="AC16" s="6" t="inlineStr">
        <is>
          <t>G59</t>
        </is>
      </c>
      <c r="AD16" s="5" t="n"/>
      <c r="AE16" s="6" t="inlineStr">
        <is>
          <t>LUKE, TIMOTHY</t>
        </is>
      </c>
      <c r="AF16" s="6" t="inlineStr">
        <is>
          <t>ASAP Surgery Centers North Valley LLC</t>
        </is>
      </c>
      <c r="AG16" s="6" t="inlineStr">
        <is>
          <t>03/02/2026</t>
        </is>
      </c>
      <c r="AH16" s="6" t="inlineStr">
        <is>
          <t>ORTHO</t>
        </is>
      </c>
      <c r="AI16" s="9" t="n"/>
      <c r="AJ16" s="5" t="n">
        <v>88</v>
      </c>
    </row>
    <row r="17">
      <c r="A17" s="2" t="n"/>
      <c r="B17" s="3" t="n"/>
      <c r="C17" s="4" t="n"/>
      <c r="D17" s="5" t="n">
        <v>552275426</v>
      </c>
      <c r="E17" s="6" t="inlineStr">
        <is>
          <t>HF532203609</t>
        </is>
      </c>
      <c r="F17" s="6" t="inlineStr">
        <is>
          <t>02/26/2026</t>
        </is>
      </c>
      <c r="G17" s="6" t="inlineStr">
        <is>
          <t>UMR Wausau / UHIS</t>
        </is>
      </c>
      <c r="H17" s="6" t="inlineStr">
        <is>
          <t>UMR Wausau / UHIS</t>
        </is>
      </c>
      <c r="I17" s="6" t="inlineStr">
        <is>
          <t>No Payer</t>
        </is>
      </c>
      <c r="J17" s="6" t="inlineStr">
        <is>
          <t>22853</t>
        </is>
      </c>
      <c r="K17" s="4" t="n"/>
      <c r="L17" s="5">
        <f>IF($M17="","",$M17-TODAY())</f>
        <v/>
      </c>
      <c r="M17" s="7" t="n"/>
      <c r="N17" s="6" t="n"/>
      <c r="O17" s="6" t="inlineStr">
        <is>
          <t>UMR / WAUSAU</t>
        </is>
      </c>
      <c r="P17" s="6" t="n"/>
      <c r="Q17" s="6" t="n"/>
      <c r="R17" s="6" t="n"/>
      <c r="S17" s="5" t="n">
        <v>1</v>
      </c>
      <c r="T17" s="8" t="n">
        <v>1758.12</v>
      </c>
      <c r="U17" s="8" t="n">
        <v>0</v>
      </c>
      <c r="V17" s="8" t="n">
        <v>0</v>
      </c>
      <c r="W17" s="6" t="inlineStr">
        <is>
          <t>03/26/2026</t>
        </is>
      </c>
      <c r="X17" s="8" t="n">
        <v>1758.12</v>
      </c>
      <c r="Y17" s="5" t="n">
        <v>163</v>
      </c>
      <c r="Z17" s="6" t="inlineStr">
        <is>
          <t>M5416</t>
        </is>
      </c>
      <c r="AA17" s="6" t="inlineStr">
        <is>
          <t>M21371</t>
        </is>
      </c>
      <c r="AB17" s="6" t="n"/>
      <c r="AC17" s="6" t="n"/>
      <c r="AD17" s="5" t="n"/>
      <c r="AE17" s="6" t="inlineStr">
        <is>
          <t>MAYURAN, VIKRAM</t>
        </is>
      </c>
      <c r="AF17" s="6" t="inlineStr">
        <is>
          <t>Banner Desert Medical Center</t>
        </is>
      </c>
      <c r="AG17" s="6" t="inlineStr">
        <is>
          <t>03/11/2026</t>
        </is>
      </c>
      <c r="AH17" s="6" t="inlineStr">
        <is>
          <t>ORTHO</t>
        </is>
      </c>
      <c r="AI17" s="9" t="n"/>
      <c r="AJ17" s="5" t="n">
        <v>461</v>
      </c>
    </row>
  </sheetData>
  <autoFilter ref="A1:AJ17"/>
  <conditionalFormatting sqref="L2:O17">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17"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J7"/>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inlineStr">
        <is>
          <t>Finalized</t>
        </is>
      </c>
      <c r="B2" s="3" t="n"/>
      <c r="C2" s="4" t="n"/>
      <c r="D2" s="5" t="n">
        <v>563152890</v>
      </c>
      <c r="E2" s="6" t="inlineStr">
        <is>
          <t>HF544172142</t>
        </is>
      </c>
      <c r="F2" s="6" t="inlineStr">
        <is>
          <t>02/04/2026</t>
        </is>
      </c>
      <c r="G2" s="6" t="inlineStr">
        <is>
          <t>Blue Cross Blue Shield of Arizona (BCBS AZ)</t>
        </is>
      </c>
      <c r="H2" s="6" t="inlineStr">
        <is>
          <t>Medicare Part B Arizona *</t>
        </is>
      </c>
      <c r="I2" s="6" t="inlineStr">
        <is>
          <t>Blue Cross Blue Shield of Arizona (BCBS AZ)</t>
        </is>
      </c>
      <c r="J2" s="6" t="inlineStr">
        <is>
          <t>93970</t>
        </is>
      </c>
      <c r="K2" s="4" t="n"/>
      <c r="L2" s="5">
        <f>IF($M2="","",$M2-TODAY())</f>
        <v/>
      </c>
      <c r="M2" s="7" t="n">
        <v>46422</v>
      </c>
      <c r="N2" s="6" t="inlineStr">
        <is>
          <t>365 days</t>
        </is>
      </c>
      <c r="O2" s="6" t="inlineStr">
        <is>
          <t>MEDICARE</t>
        </is>
      </c>
      <c r="P2" s="6" t="n"/>
      <c r="Q2" s="6" t="n"/>
      <c r="R2" s="6" t="n"/>
      <c r="S2" s="5" t="n">
        <v>1</v>
      </c>
      <c r="T2" s="8" t="n">
        <v>1294.23</v>
      </c>
      <c r="U2" s="8" t="n">
        <v>1127.69</v>
      </c>
      <c r="V2" s="8" t="n">
        <v>130.8</v>
      </c>
      <c r="W2" s="6" t="inlineStr">
        <is>
          <t>07/08/2026</t>
        </is>
      </c>
      <c r="X2" s="8" t="n">
        <v>35.74</v>
      </c>
      <c r="Y2" s="5" t="n">
        <v>185</v>
      </c>
      <c r="Z2" s="6" t="inlineStr">
        <is>
          <t>R600</t>
        </is>
      </c>
      <c r="AA2" s="6" t="inlineStr">
        <is>
          <t>M79672</t>
        </is>
      </c>
      <c r="AB2" s="6" t="inlineStr">
        <is>
          <t>Z86718</t>
        </is>
      </c>
      <c r="AC2" s="6" t="inlineStr">
        <is>
          <t>Z8781</t>
        </is>
      </c>
      <c r="AD2" s="5" t="n">
        <v>566075115</v>
      </c>
      <c r="AE2" s="6" t="inlineStr">
        <is>
          <t>BURGHER, ABRAM</t>
        </is>
      </c>
      <c r="AF2" s="6" t="inlineStr">
        <is>
          <t>ASAP - Surprise - Reems</t>
        </is>
      </c>
      <c r="AG2" s="6" t="inlineStr">
        <is>
          <t>02/19/2026</t>
        </is>
      </c>
      <c r="AH2" s="6" t="inlineStr">
        <is>
          <t>US</t>
        </is>
      </c>
      <c r="AI2" s="9" t="n"/>
      <c r="AJ2" s="5" t="n">
        <v>3</v>
      </c>
    </row>
    <row r="3">
      <c r="A3" s="2" t="inlineStr">
        <is>
          <t>Finalized</t>
        </is>
      </c>
      <c r="B3" s="3" t="n"/>
      <c r="C3" s="4" t="n"/>
      <c r="D3" s="5" t="n">
        <v>563153622</v>
      </c>
      <c r="E3" s="6" t="inlineStr">
        <is>
          <t>HF467995431</t>
        </is>
      </c>
      <c r="F3" s="6" t="inlineStr">
        <is>
          <t>02/12/2026</t>
        </is>
      </c>
      <c r="G3" s="6" t="inlineStr">
        <is>
          <t>AARP United Healthcare</t>
        </is>
      </c>
      <c r="H3" s="6" t="inlineStr">
        <is>
          <t>Medicare Part B Arizona *</t>
        </is>
      </c>
      <c r="I3" s="6" t="inlineStr">
        <is>
          <t>AARP United Healthcare</t>
        </is>
      </c>
      <c r="J3" s="6" t="inlineStr">
        <is>
          <t>93970</t>
        </is>
      </c>
      <c r="K3" s="4" t="n"/>
      <c r="L3" s="5">
        <f>IF($M3="","",$M3-TODAY())</f>
        <v/>
      </c>
      <c r="M3" s="7" t="n">
        <v>46430</v>
      </c>
      <c r="N3" s="6" t="inlineStr">
        <is>
          <t>365 days</t>
        </is>
      </c>
      <c r="O3" s="6" t="inlineStr">
        <is>
          <t>MEDICARE</t>
        </is>
      </c>
      <c r="P3" s="6" t="n"/>
      <c r="Q3" s="6" t="n"/>
      <c r="R3" s="6" t="n"/>
      <c r="S3" s="5" t="n">
        <v>1</v>
      </c>
      <c r="T3" s="8" t="n">
        <v>1294.23</v>
      </c>
      <c r="U3" s="8" t="n">
        <v>1164.6</v>
      </c>
      <c r="V3" s="8" t="n">
        <v>101.25</v>
      </c>
      <c r="W3" s="6" t="inlineStr">
        <is>
          <t>07/08/2026</t>
        </is>
      </c>
      <c r="X3" s="8" t="n">
        <v>28.38</v>
      </c>
      <c r="Y3" s="5" t="n">
        <v>177</v>
      </c>
      <c r="Z3" s="6" t="inlineStr">
        <is>
          <t>I872</t>
        </is>
      </c>
      <c r="AA3" s="6" t="n"/>
      <c r="AB3" s="6" t="n"/>
      <c r="AC3" s="6" t="n"/>
      <c r="AD3" s="5" t="n">
        <v>565916751</v>
      </c>
      <c r="AE3" s="6" t="inlineStr">
        <is>
          <t>TURLEY, TODD</t>
        </is>
      </c>
      <c r="AF3" s="6" t="inlineStr">
        <is>
          <t>ASAP - DEER VALLEY</t>
        </is>
      </c>
      <c r="AG3" s="6" t="inlineStr">
        <is>
          <t>04/07/2026</t>
        </is>
      </c>
      <c r="AH3" s="6" t="inlineStr">
        <is>
          <t>US</t>
        </is>
      </c>
      <c r="AI3" s="9" t="n"/>
      <c r="AJ3" s="5" t="n">
        <v>41</v>
      </c>
    </row>
    <row r="4">
      <c r="A4" s="2" t="inlineStr">
        <is>
          <t>Finalized</t>
        </is>
      </c>
      <c r="B4" s="3" t="n"/>
      <c r="C4" s="4" t="n"/>
      <c r="D4" s="5" t="n">
        <v>563153622</v>
      </c>
      <c r="E4" s="6" t="inlineStr">
        <is>
          <t>HF467995431</t>
        </is>
      </c>
      <c r="F4" s="6" t="inlineStr">
        <is>
          <t>02/12/2026</t>
        </is>
      </c>
      <c r="G4" s="6" t="inlineStr">
        <is>
          <t>AARP United Healthcare</t>
        </is>
      </c>
      <c r="H4" s="6" t="inlineStr">
        <is>
          <t>Medicare Part B Arizona *</t>
        </is>
      </c>
      <c r="I4" s="6" t="inlineStr">
        <is>
          <t>AARP United Healthcare</t>
        </is>
      </c>
      <c r="J4" s="6" t="inlineStr">
        <is>
          <t>93925</t>
        </is>
      </c>
      <c r="K4" s="4" t="n"/>
      <c r="L4" s="5">
        <f>IF($M4="","",$M4-TODAY())</f>
        <v/>
      </c>
      <c r="M4" s="7" t="n">
        <v>46430</v>
      </c>
      <c r="N4" s="6" t="inlineStr">
        <is>
          <t>365 days</t>
        </is>
      </c>
      <c r="O4" s="6" t="inlineStr">
        <is>
          <t>MEDICARE</t>
        </is>
      </c>
      <c r="P4" s="6" t="n"/>
      <c r="Q4" s="6" t="n"/>
      <c r="R4" s="6" t="n"/>
      <c r="S4" s="5" t="n">
        <v>1</v>
      </c>
      <c r="T4" s="8" t="n">
        <v>1649.2</v>
      </c>
      <c r="U4" s="8" t="n">
        <v>1438.65</v>
      </c>
      <c r="V4" s="8" t="n">
        <v>164.45</v>
      </c>
      <c r="W4" s="6" t="inlineStr">
        <is>
          <t>07/08/2026</t>
        </is>
      </c>
      <c r="X4" s="8" t="n">
        <v>46.1</v>
      </c>
      <c r="Y4" s="5" t="n">
        <v>177</v>
      </c>
      <c r="Z4" s="6" t="inlineStr">
        <is>
          <t>I70213</t>
        </is>
      </c>
      <c r="AA4" s="6" t="n"/>
      <c r="AB4" s="6" t="n"/>
      <c r="AC4" s="6" t="n"/>
      <c r="AD4" s="5" t="n">
        <v>565916751</v>
      </c>
      <c r="AE4" s="6" t="inlineStr">
        <is>
          <t>TURLEY, TODD</t>
        </is>
      </c>
      <c r="AF4" s="6" t="inlineStr">
        <is>
          <t>ASAP - DEER VALLEY</t>
        </is>
      </c>
      <c r="AG4" s="6" t="inlineStr">
        <is>
          <t>04/07/2026</t>
        </is>
      </c>
      <c r="AH4" s="6" t="inlineStr">
        <is>
          <t>US</t>
        </is>
      </c>
      <c r="AI4" s="9" t="n"/>
      <c r="AJ4" s="5" t="n">
        <v>42</v>
      </c>
    </row>
    <row r="5">
      <c r="A5" s="2" t="inlineStr">
        <is>
          <t>Finalized</t>
        </is>
      </c>
      <c r="B5" s="3" t="n"/>
      <c r="C5" s="4" t="n"/>
      <c r="D5" s="5" t="n">
        <v>563152081</v>
      </c>
      <c r="E5" s="6" t="inlineStr">
        <is>
          <t>HF497596195</t>
        </is>
      </c>
      <c r="F5" s="6" t="inlineStr">
        <is>
          <t>02/17/2026</t>
        </is>
      </c>
      <c r="G5" s="6" t="inlineStr">
        <is>
          <t>AARP United Healthcare</t>
        </is>
      </c>
      <c r="H5" s="6" t="inlineStr">
        <is>
          <t>Medicare Part B Arizona *</t>
        </is>
      </c>
      <c r="I5" s="6" t="inlineStr">
        <is>
          <t>AARP United Healthcare</t>
        </is>
      </c>
      <c r="J5" s="6" t="inlineStr">
        <is>
          <t>93970</t>
        </is>
      </c>
      <c r="K5" s="4" t="n"/>
      <c r="L5" s="5">
        <f>IF($M5="","",$M5-TODAY())</f>
        <v/>
      </c>
      <c r="M5" s="7" t="n">
        <v>46435</v>
      </c>
      <c r="N5" s="6" t="inlineStr">
        <is>
          <t>365 days</t>
        </is>
      </c>
      <c r="O5" s="6" t="inlineStr">
        <is>
          <t>MEDICARE</t>
        </is>
      </c>
      <c r="P5" s="6" t="n"/>
      <c r="Q5" s="6" t="n"/>
      <c r="R5" s="6" t="n"/>
      <c r="S5" s="5" t="n">
        <v>1</v>
      </c>
      <c r="T5" s="8" t="n">
        <v>1294.23</v>
      </c>
      <c r="U5" s="8" t="n">
        <v>1131</v>
      </c>
      <c r="V5" s="8" t="n">
        <v>127.49</v>
      </c>
      <c r="W5" s="6" t="inlineStr">
        <is>
          <t>07/07/2026</t>
        </is>
      </c>
      <c r="X5" s="8" t="n">
        <v>35.74</v>
      </c>
      <c r="Y5" s="5" t="n">
        <v>172</v>
      </c>
      <c r="Z5" s="6" t="inlineStr">
        <is>
          <t>I872</t>
        </is>
      </c>
      <c r="AA5" s="6" t="n"/>
      <c r="AB5" s="6" t="n"/>
      <c r="AC5" s="6" t="n"/>
      <c r="AD5" s="5" t="n">
        <v>566075094</v>
      </c>
      <c r="AE5" s="6" t="inlineStr">
        <is>
          <t>LEATHEM, JARRETT</t>
        </is>
      </c>
      <c r="AF5" s="6" t="inlineStr">
        <is>
          <t>ASAP - Gilbert</t>
        </is>
      </c>
      <c r="AG5" s="6" t="inlineStr">
        <is>
          <t>02/23/2026</t>
        </is>
      </c>
      <c r="AH5" s="6" t="inlineStr">
        <is>
          <t>US</t>
        </is>
      </c>
      <c r="AI5" s="9" t="n"/>
      <c r="AJ5" s="5" t="n">
        <v>318</v>
      </c>
    </row>
    <row r="6">
      <c r="A6" s="2" t="inlineStr">
        <is>
          <t>Finalized</t>
        </is>
      </c>
      <c r="B6" s="3" t="n"/>
      <c r="C6" s="4" t="n"/>
      <c r="D6" s="5" t="n">
        <v>563152473</v>
      </c>
      <c r="E6" s="6" t="inlineStr">
        <is>
          <t>HF544172142</t>
        </is>
      </c>
      <c r="F6" s="6" t="inlineStr">
        <is>
          <t>02/18/2026</t>
        </is>
      </c>
      <c r="G6" s="6" t="inlineStr">
        <is>
          <t>Blue Cross Blue Shield of Arizona (BCBS AZ)</t>
        </is>
      </c>
      <c r="H6" s="6" t="inlineStr">
        <is>
          <t>Medicare Part B Arizona *</t>
        </is>
      </c>
      <c r="I6" s="6" t="inlineStr">
        <is>
          <t>Blue Cross Blue Shield of Arizona (BCBS AZ)</t>
        </is>
      </c>
      <c r="J6" s="6" t="inlineStr">
        <is>
          <t>93923</t>
        </is>
      </c>
      <c r="K6" s="4" t="n"/>
      <c r="L6" s="5">
        <f>IF($M6="","",$M6-TODAY())</f>
        <v/>
      </c>
      <c r="M6" s="7" t="n">
        <v>46436</v>
      </c>
      <c r="N6" s="6" t="inlineStr">
        <is>
          <t>365 days</t>
        </is>
      </c>
      <c r="O6" s="6" t="inlineStr">
        <is>
          <t>MEDICARE</t>
        </is>
      </c>
      <c r="P6" s="6" t="n"/>
      <c r="Q6" s="6" t="n"/>
      <c r="R6" s="6" t="n"/>
      <c r="S6" s="5" t="n">
        <v>1</v>
      </c>
      <c r="T6" s="8" t="n">
        <v>879.0599999999999</v>
      </c>
      <c r="U6" s="8" t="n">
        <v>758.3</v>
      </c>
      <c r="V6" s="8" t="n">
        <v>94.84</v>
      </c>
      <c r="W6" s="6" t="inlineStr">
        <is>
          <t>07/07/2026</t>
        </is>
      </c>
      <c r="X6" s="8" t="n">
        <v>25.92</v>
      </c>
      <c r="Y6" s="5" t="n">
        <v>171</v>
      </c>
      <c r="Z6" s="6" t="inlineStr">
        <is>
          <t>I739</t>
        </is>
      </c>
      <c r="AA6" s="6" t="n"/>
      <c r="AB6" s="6" t="n"/>
      <c r="AC6" s="6" t="n"/>
      <c r="AD6" s="5" t="n">
        <v>566075128</v>
      </c>
      <c r="AE6" s="6" t="inlineStr">
        <is>
          <t>BURGHER, ABRAM</t>
        </is>
      </c>
      <c r="AF6" s="6" t="inlineStr">
        <is>
          <t>ASAP - Surprise - Reems</t>
        </is>
      </c>
      <c r="AG6" s="6" t="inlineStr">
        <is>
          <t>04/07/2026</t>
        </is>
      </c>
      <c r="AH6" s="6" t="inlineStr">
        <is>
          <t>US</t>
        </is>
      </c>
      <c r="AI6" s="9" t="n"/>
      <c r="AJ6" s="5" t="n">
        <v>281</v>
      </c>
    </row>
    <row r="7">
      <c r="A7" s="2" t="inlineStr">
        <is>
          <t>Finalized</t>
        </is>
      </c>
      <c r="B7" s="3" t="n"/>
      <c r="C7" s="4" t="n"/>
      <c r="D7" s="5" t="n">
        <v>563161793</v>
      </c>
      <c r="E7" s="6" t="inlineStr">
        <is>
          <t>HF548452117</t>
        </is>
      </c>
      <c r="F7" s="6" t="inlineStr">
        <is>
          <t>02/12/2026</t>
        </is>
      </c>
      <c r="G7" s="6" t="inlineStr">
        <is>
          <t>Humana</t>
        </is>
      </c>
      <c r="H7" s="6" t="inlineStr">
        <is>
          <t>Humana</t>
        </is>
      </c>
      <c r="I7" s="6" t="inlineStr">
        <is>
          <t>Humana</t>
        </is>
      </c>
      <c r="J7" s="6" t="inlineStr">
        <is>
          <t>93970</t>
        </is>
      </c>
      <c r="K7" s="4" t="n"/>
      <c r="L7" s="5">
        <f>IF($M7="","",$M7-TODAY())</f>
        <v/>
      </c>
      <c r="M7" s="7" t="n">
        <v>46155</v>
      </c>
      <c r="N7" s="6" t="inlineStr">
        <is>
          <t>90 days</t>
        </is>
      </c>
      <c r="O7" s="6" t="inlineStr">
        <is>
          <t>HUMANA COMMERCIAL</t>
        </is>
      </c>
      <c r="P7" s="6" t="n"/>
      <c r="Q7" s="6" t="n"/>
      <c r="R7" s="6" t="n"/>
      <c r="S7" s="5" t="n">
        <v>1</v>
      </c>
      <c r="T7" s="8" t="n">
        <v>1294.23</v>
      </c>
      <c r="U7" s="8" t="n">
        <v>1131</v>
      </c>
      <c r="V7" s="8" t="n">
        <v>127.49</v>
      </c>
      <c r="W7" s="6" t="inlineStr">
        <is>
          <t>07/08/2026</t>
        </is>
      </c>
      <c r="X7" s="8" t="n">
        <v>35.74</v>
      </c>
      <c r="Y7" s="5" t="n">
        <v>177</v>
      </c>
      <c r="Z7" s="6" t="inlineStr">
        <is>
          <t>R600</t>
        </is>
      </c>
      <c r="AA7" s="6" t="inlineStr">
        <is>
          <t>E785</t>
        </is>
      </c>
      <c r="AB7" s="6" t="inlineStr">
        <is>
          <t>G9050</t>
        </is>
      </c>
      <c r="AC7" s="6" t="inlineStr">
        <is>
          <t>I10</t>
        </is>
      </c>
      <c r="AD7" s="5" t="n">
        <v>566075130</v>
      </c>
      <c r="AE7" s="6" t="inlineStr">
        <is>
          <t>TURLEY, TODD</t>
        </is>
      </c>
      <c r="AF7" s="6" t="inlineStr">
        <is>
          <t>ASAP - DEER VALLEY</t>
        </is>
      </c>
      <c r="AG7" s="6" t="inlineStr">
        <is>
          <t>02/23/2026</t>
        </is>
      </c>
      <c r="AH7" s="6" t="inlineStr">
        <is>
          <t>US</t>
        </is>
      </c>
      <c r="AI7" s="9" t="inlineStr">
        <is>
          <t>Shorter of the two Humana limits (90 days ancillary vs 180 days physician). Confirm the rendering provider's category - if they bill as a physician the real deadline is 90 days later.</t>
        </is>
      </c>
      <c r="AJ7" s="5" t="n">
        <v>233</v>
      </c>
    </row>
  </sheetData>
  <autoFilter ref="A1:AJ7"/>
  <conditionalFormatting sqref="L2:O7">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7"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32"/>
  <sheetViews>
    <sheetView showGridLines="0" workbookViewId="0">
      <selection activeCell="A1" sqref="A1"/>
    </sheetView>
  </sheetViews>
  <sheetFormatPr baseColWidth="8" defaultRowHeight="15"/>
  <cols>
    <col width="118" customWidth="1" min="1" max="1"/>
  </cols>
  <sheetData>
    <row r="1">
      <c r="A1" s="10" t="inlineStr">
        <is>
          <t>2026-02 February - Specialty Claims</t>
        </is>
      </c>
    </row>
    <row r="2">
      <c r="A2" s="11" t="inlineStr"/>
    </row>
    <row r="3">
      <c r="A3" s="11" t="inlineStr">
        <is>
          <t>68 claim lines with a date of service in 2026-02 February, split into one sheet per specialty: BH, DME, GAE, ORTHO, US.</t>
        </is>
      </c>
    </row>
    <row r="4">
      <c r="A4" s="11" t="inlineStr"/>
    </row>
    <row r="5">
      <c r="A5" s="12" t="inlineStr">
        <is>
          <t>Row order - timely filing deadline</t>
        </is>
      </c>
    </row>
    <row r="6">
      <c r="A6" s="11" t="inlineStr">
        <is>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is>
      </c>
    </row>
    <row r="7">
      <c r="A7" s="11" t="inlineStr">
        <is>
          <t>Order down the sheet, with the colour band each row gets:</t>
        </is>
      </c>
    </row>
    <row r="8">
      <c r="A8" s="11" t="inlineStr">
        <is>
          <t xml:space="preserve">    1 - Due in 5 days or less: 0</t>
        </is>
      </c>
    </row>
    <row r="9">
      <c r="A9" s="11" t="inlineStr">
        <is>
          <t xml:space="preserve">    2 - Due in 6-30 days: 0</t>
        </is>
      </c>
    </row>
    <row r="10">
      <c r="A10" s="11" t="inlineStr">
        <is>
          <t xml:space="preserve">    3 - Due in 31+ days: 34</t>
        </is>
      </c>
    </row>
    <row r="11">
      <c r="A11" s="11" t="inlineStr">
        <is>
          <t xml:space="preserve">    4 - Past deadline: 28</t>
        </is>
      </c>
    </row>
    <row r="12">
      <c r="A12" s="11" t="inlineStr">
        <is>
          <t xml:space="preserve">    5 - No limit on file: 6</t>
        </is>
      </c>
    </row>
    <row r="13">
      <c r="A13" s="11" t="inlineStr"/>
    </row>
    <row r="14">
      <c r="A14" s="11" t="inlineStr">
        <is>
          <t>Past due rows sit below the claims that can still be filed on time rather than at the very top, so the actionable work stays first. That is why the numbers run up to the longest window and then restart at the negatives.</t>
        </is>
      </c>
    </row>
    <row r="15">
      <c r="A15" s="11" t="inlineStr">
        <is>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is>
      </c>
    </row>
    <row r="16">
      <c r="A16" s="11" t="inlineStr">
        <is>
          <t>Read the Limit Caveat column before working a row. It flags payers with two possible limits, limits stated in months, contract-specific limits, and payers with no limit on file at all. Where a payer had two possible limits the shorter one was used, so the real deadline can only be later, never earlier.</t>
        </is>
      </c>
    </row>
    <row r="17">
      <c r="A17" s="11" t="inlineStr">
        <is>
          <t>Deadlines are counted from the date of service. Secondary claims are often counted from the primary payer's remittance date instead - that is not reflected here.</t>
        </is>
      </c>
    </row>
    <row r="18">
      <c r="A18" s="11" t="inlineStr"/>
    </row>
    <row r="19">
      <c r="A19" s="12" t="inlineStr">
        <is>
          <t>Cells you edit</t>
        </is>
      </c>
    </row>
    <row r="20">
      <c r="A20" s="11" t="inlineStr">
        <is>
          <t>Four columns are shaded pale yellow and are the ones meant to be edited here: Claim Status (A), Notes (B), Processed Date (C) and Date Worked 1 (K). Claim Status has a drop-down of the statuses already in use - it is a suggestion, not a restriction, so you can type anything.</t>
        </is>
      </c>
    </row>
    <row r="21">
      <c r="A21" s="11" t="inlineStr">
        <is>
          <t>Statuses currently in use: Denied, Finalized, PAID, Pending, Received, Rejected.</t>
        </is>
      </c>
    </row>
    <row r="22">
      <c r="A22" s="11" t="inlineStr">
        <is>
          <t>Example of the expected format - Claim Status: "Denied";  Notes: "Corrected service line 1 - resubmitted";  Processed Date: "25/06/2026";  Date Worked 1: "12/08/2026".</t>
        </is>
      </c>
    </row>
    <row r="23">
      <c r="A23" s="11" t="inlineStr"/>
    </row>
    <row r="24">
      <c r="A24" s="12" t="inlineStr">
        <is>
          <t>Processed Date and Date Worked 1</t>
        </is>
      </c>
    </row>
    <row r="25">
      <c r="A25" s="11" t="inlineStr">
        <is>
          <t>Both are real dates displayed DD/MM/YYYY. Processed Date is already filled in on the 13 claim lines whose Notes recorded one - the Note still carries the original wording, so nothing was lost. Date Worked 1 starts empty.</t>
        </is>
      </c>
    </row>
    <row r="26">
      <c r="A26" s="11" t="inlineStr">
        <is>
          <t>Careful when typing into them: Excel reads what you type using its own date setting, not the DD/MM/YYYY the cell displays. On a US Excel, typing 06/25/2026 gives 25 June and the cell then shows 25/06/2026. Type the date the way your Excel expects it and let the cell do the formatting, or check the formula bar afterwards. Every other date column in these files is MM/DD/YYYY, as in the source data.</t>
        </is>
      </c>
    </row>
    <row r="27">
      <c r="A27" s="11" t="inlineStr"/>
    </row>
    <row r="28">
      <c r="A28" s="12" t="inlineStr">
        <is>
          <t>How this file feeds the master</t>
        </is>
      </c>
    </row>
    <row r="29">
      <c r="A29" s="11"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30">
      <c r="A30" s="11" t="inlineStr">
        <is>
          <t>The link is matched on Line ID (last column), not on row position, so sorting and filtering these sheets is safe. Do not edit or delete the Line ID column, and do not rename the specialty sheet tabs.</t>
        </is>
      </c>
    </row>
    <row r="31">
      <c r="A31" s="11" t="inlineStr"/>
    </row>
    <row r="32">
      <c r="A32" s="11"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2026-08-12T19:39:31Z</dcterms:created>
  <dcterms:modified xsi:type="dcterms:W3CDTF">2026-08-12T19:39:31Z</dcterms:modified>
</cp:coreProperties>
</file>