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'BH'!$A$1:$AO$9</definedName>
    <definedName name="_xlnm._FilterDatabase" localSheetId="1" hidden="1">'DME'!$A$1:$AO$12</definedName>
    <definedName name="_xlnm._FilterDatabase" localSheetId="2" hidden="1">'GAE'!$A$1:$AO$6</definedName>
    <definedName name="_xlnm._FilterDatabase" localSheetId="3" hidden="1">'ORTHO'!$A$1:$AO$11</definedName>
    <definedName name="_xlnm._FilterDatabase" localSheetId="4" hidden="1">'US'!$A$1:$AO$6</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5"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0" fontId="2" fillId="0" borderId="1" applyAlignment="1" pivotButton="0" quotePrefix="0" xfId="0">
      <alignment vertical="top" wrapText="1"/>
    </xf>
    <xf numFmtId="4" fontId="2" fillId="0" borderId="1" applyAlignment="1" pivotButton="0" quotePrefix="0" xfId="0">
      <alignment vertical="top"/>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O9"/>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n"/>
      <c r="B2" s="3" t="n"/>
      <c r="C2" s="4" t="n">
        <v>46098</v>
      </c>
      <c r="D2" s="5" t="n">
        <v>548676737</v>
      </c>
      <c r="E2" s="6" t="inlineStr">
        <is>
          <t>HF499806568</t>
        </is>
      </c>
      <c r="F2" s="7" t="n">
        <v>46056</v>
      </c>
      <c r="G2" s="6" t="inlineStr">
        <is>
          <t>Blue Cross Blue Shield of Arizona (BCBS AZ)</t>
        </is>
      </c>
      <c r="H2" s="6" t="inlineStr">
        <is>
          <t>Blue Cross Blue Shield of Arizona (BCBS AZ)</t>
        </is>
      </c>
      <c r="I2" s="6" t="inlineStr">
        <is>
          <t>No Payer</t>
        </is>
      </c>
      <c r="J2" s="8" t="inlineStr">
        <is>
          <t>99494 x1; 99493 x1</t>
        </is>
      </c>
      <c r="K2" s="4" t="n"/>
      <c r="L2" s="5">
        <f>IF($O2="","",$O2-TODAY())</f>
        <v/>
      </c>
      <c r="M2" s="5">
        <f>IF($C2="","",$C2+365-TODAY())</f>
        <v/>
      </c>
      <c r="N2" s="5">
        <f>IF($C2="","",$C2+365-TODAY())</f>
        <v/>
      </c>
      <c r="O2" s="7" t="n">
        <v>46146</v>
      </c>
      <c r="P2" s="6" t="inlineStr">
        <is>
          <t>90 days</t>
        </is>
      </c>
      <c r="Q2" s="6" t="inlineStr">
        <is>
          <t>BCBS</t>
        </is>
      </c>
      <c r="R2" s="6" t="inlineStr">
        <is>
          <t>365 days</t>
        </is>
      </c>
      <c r="S2" s="6" t="inlineStr">
        <is>
          <t>Processed date</t>
        </is>
      </c>
      <c r="T2" s="6" t="inlineStr">
        <is>
          <t>365 days</t>
        </is>
      </c>
      <c r="U2" s="6" t="inlineStr">
        <is>
          <t>Processed date</t>
        </is>
      </c>
      <c r="V2" s="6" t="n"/>
      <c r="W2" s="6" t="n"/>
      <c r="X2" s="6" t="n"/>
      <c r="Y2" s="6" t="inlineStr">
        <is>
          <t>1</t>
        </is>
      </c>
      <c r="Z2" s="9" t="n">
        <v>1372.91</v>
      </c>
      <c r="AA2" s="9" t="n">
        <v>0</v>
      </c>
      <c r="AB2" s="9" t="n">
        <v>0</v>
      </c>
      <c r="AC2" s="7" t="n">
        <v>46098</v>
      </c>
      <c r="AD2" s="9" t="n">
        <v>1372.91</v>
      </c>
      <c r="AE2" s="5" t="n">
        <v>186</v>
      </c>
      <c r="AF2" s="6" t="inlineStr">
        <is>
          <t>F4320</t>
        </is>
      </c>
      <c r="AG2" s="6" t="n"/>
      <c r="AH2" s="6" t="n"/>
      <c r="AI2" s="6" t="n"/>
      <c r="AJ2" s="5" t="n"/>
      <c r="AK2" s="6" t="inlineStr">
        <is>
          <t>LEATHEM, JARRETT</t>
        </is>
      </c>
      <c r="AL2" s="6" t="inlineStr">
        <is>
          <t>ASAP - Goodyear</t>
        </is>
      </c>
      <c r="AM2" s="7" t="n">
        <v>46086</v>
      </c>
      <c r="AN2" s="6" t="inlineStr">
        <is>
          <t>BH</t>
        </is>
      </c>
      <c r="AO2" s="6" t="inlineStr">
        <is>
          <t>611, 612</t>
        </is>
      </c>
    </row>
    <row r="3">
      <c r="A3" s="2" t="n"/>
      <c r="B3" s="3" t="n"/>
      <c r="C3" s="4" t="n">
        <v>46148</v>
      </c>
      <c r="D3" s="5" t="n">
        <v>548979329</v>
      </c>
      <c r="E3" s="6" t="inlineStr">
        <is>
          <t>HF527306886</t>
        </is>
      </c>
      <c r="F3" s="7" t="n">
        <v>46062</v>
      </c>
      <c r="G3" s="6" t="inlineStr">
        <is>
          <t>Blue Cross Blue Shield of Arizona (BCBS AZ)</t>
        </is>
      </c>
      <c r="H3" s="6" t="inlineStr">
        <is>
          <t>Blue Cross Blue Shield of Arizona (BCBS AZ)</t>
        </is>
      </c>
      <c r="I3" s="6" t="inlineStr">
        <is>
          <t>No Payer</t>
        </is>
      </c>
      <c r="J3" s="8" t="inlineStr">
        <is>
          <t>99493 x1; 99494 x1</t>
        </is>
      </c>
      <c r="K3" s="4" t="n"/>
      <c r="L3" s="5">
        <f>IF($O3="","",$O3-TODAY())</f>
        <v/>
      </c>
      <c r="M3" s="5">
        <f>IF($C3="","",$C3+365-TODAY())</f>
        <v/>
      </c>
      <c r="N3" s="5">
        <f>IF($C3="","",$C3+365-TODAY())</f>
        <v/>
      </c>
      <c r="O3" s="7" t="n">
        <v>46152</v>
      </c>
      <c r="P3" s="6" t="inlineStr">
        <is>
          <t>90 days</t>
        </is>
      </c>
      <c r="Q3" s="6" t="inlineStr">
        <is>
          <t>BCBS</t>
        </is>
      </c>
      <c r="R3" s="6" t="inlineStr">
        <is>
          <t>365 days</t>
        </is>
      </c>
      <c r="S3" s="6" t="inlineStr">
        <is>
          <t>Processed date</t>
        </is>
      </c>
      <c r="T3" s="6" t="inlineStr">
        <is>
          <t>365 days</t>
        </is>
      </c>
      <c r="U3" s="6" t="inlineStr">
        <is>
          <t>Processed date</t>
        </is>
      </c>
      <c r="V3" s="6" t="n"/>
      <c r="W3" s="6" t="n"/>
      <c r="X3" s="6" t="n"/>
      <c r="Y3" s="6" t="inlineStr">
        <is>
          <t>1</t>
        </is>
      </c>
      <c r="Z3" s="9" t="n">
        <v>1372.91</v>
      </c>
      <c r="AA3" s="9" t="n">
        <v>0</v>
      </c>
      <c r="AB3" s="9" t="n">
        <v>0</v>
      </c>
      <c r="AC3" s="7" t="n">
        <v>46148</v>
      </c>
      <c r="AD3" s="9" t="n">
        <v>1372.91</v>
      </c>
      <c r="AE3" s="5" t="n">
        <v>180</v>
      </c>
      <c r="AF3" s="6" t="inlineStr">
        <is>
          <t>F4320</t>
        </is>
      </c>
      <c r="AG3" s="6" t="n"/>
      <c r="AH3" s="6" t="n"/>
      <c r="AI3" s="6" t="n"/>
      <c r="AJ3" s="5" t="n"/>
      <c r="AK3" s="6" t="inlineStr">
        <is>
          <t>KALLGREN, MARK</t>
        </is>
      </c>
      <c r="AL3" s="6" t="inlineStr">
        <is>
          <t>ASAP Peoria</t>
        </is>
      </c>
      <c r="AM3" s="7" t="n">
        <v>46090</v>
      </c>
      <c r="AN3" s="6" t="inlineStr">
        <is>
          <t>BH</t>
        </is>
      </c>
      <c r="AO3" s="6" t="inlineStr">
        <is>
          <t>447, 448</t>
        </is>
      </c>
    </row>
    <row r="4">
      <c r="A4" s="2" t="inlineStr">
        <is>
          <t>Finalized</t>
        </is>
      </c>
      <c r="B4" s="3" t="n"/>
      <c r="C4" s="4" t="n">
        <v>46119</v>
      </c>
      <c r="D4" s="5" t="n">
        <v>549765437</v>
      </c>
      <c r="E4" s="6" t="inlineStr">
        <is>
          <t>HF359780591</t>
        </is>
      </c>
      <c r="F4" s="7" t="n">
        <v>46065</v>
      </c>
      <c r="G4" s="6" t="inlineStr">
        <is>
          <t>TRIADA GAP BENEFITS</t>
        </is>
      </c>
      <c r="H4" s="6" t="inlineStr">
        <is>
          <t>Blue Cross Blue Shield of Arizona (BCBS AZ)</t>
        </is>
      </c>
      <c r="I4" s="6" t="inlineStr">
        <is>
          <t>TRIADA GAP BENEFITS</t>
        </is>
      </c>
      <c r="J4" s="8" t="inlineStr">
        <is>
          <t>99493 x1; 99494 x1</t>
        </is>
      </c>
      <c r="K4" s="4" t="n"/>
      <c r="L4" s="5">
        <f>IF($O4="","",$O4-TODAY())</f>
        <v/>
      </c>
      <c r="M4" s="5">
        <f>IF($C4="","",$C4+365-TODAY())</f>
        <v/>
      </c>
      <c r="N4" s="5">
        <f>IF($C4="","",$C4+365-TODAY())</f>
        <v/>
      </c>
      <c r="O4" s="7" t="n">
        <v>46155</v>
      </c>
      <c r="P4" s="6" t="inlineStr">
        <is>
          <t>90 days</t>
        </is>
      </c>
      <c r="Q4" s="6" t="inlineStr">
        <is>
          <t>BCBS</t>
        </is>
      </c>
      <c r="R4" s="6" t="inlineStr">
        <is>
          <t>365 days</t>
        </is>
      </c>
      <c r="S4" s="6" t="inlineStr">
        <is>
          <t>Processed date</t>
        </is>
      </c>
      <c r="T4" s="6" t="inlineStr">
        <is>
          <t>365 days</t>
        </is>
      </c>
      <c r="U4" s="6" t="inlineStr">
        <is>
          <t>Processed date</t>
        </is>
      </c>
      <c r="V4" s="6" t="n"/>
      <c r="W4" s="6" t="n"/>
      <c r="X4" s="6" t="n"/>
      <c r="Y4" s="6" t="inlineStr">
        <is>
          <t>1</t>
        </is>
      </c>
      <c r="Z4" s="9" t="n">
        <v>1372.91</v>
      </c>
      <c r="AA4" s="9" t="n">
        <v>1179.89</v>
      </c>
      <c r="AB4" s="9" t="n">
        <v>0</v>
      </c>
      <c r="AC4" s="7" t="n">
        <v>46119</v>
      </c>
      <c r="AD4" s="9" t="n">
        <v>193.02</v>
      </c>
      <c r="AE4" s="5" t="n">
        <v>177</v>
      </c>
      <c r="AF4" s="6" t="inlineStr">
        <is>
          <t>F411</t>
        </is>
      </c>
      <c r="AG4" s="6" t="n"/>
      <c r="AH4" s="6" t="n"/>
      <c r="AI4" s="6" t="n"/>
      <c r="AJ4" s="5" t="n">
        <v>558453526</v>
      </c>
      <c r="AK4" s="6" t="inlineStr">
        <is>
          <t>LEATHEM, JARRETT</t>
        </is>
      </c>
      <c r="AL4" s="6" t="inlineStr">
        <is>
          <t>ASAP - DEER VALLEY</t>
        </is>
      </c>
      <c r="AM4" s="7" t="n">
        <v>46086</v>
      </c>
      <c r="AN4" s="6" t="inlineStr">
        <is>
          <t>BH</t>
        </is>
      </c>
      <c r="AO4" s="6" t="inlineStr">
        <is>
          <t>100, 101</t>
        </is>
      </c>
    </row>
    <row r="5">
      <c r="A5" s="2" t="n"/>
      <c r="B5" s="3" t="n"/>
      <c r="C5" s="4" t="n">
        <v>46147</v>
      </c>
      <c r="D5" s="5" t="n">
        <v>557794433</v>
      </c>
      <c r="E5" s="6" t="inlineStr">
        <is>
          <t>HF434792716</t>
        </is>
      </c>
      <c r="F5" s="7" t="n">
        <v>46066</v>
      </c>
      <c r="G5" s="6" t="inlineStr">
        <is>
          <t>Optum Care Medical Network of Arizona, Utah, &amp; Washington (LifePrint)</t>
        </is>
      </c>
      <c r="H5" s="6" t="inlineStr">
        <is>
          <t>Optum Care Medical Network of Arizona, Utah, &amp; Washington (LifePrint)</t>
        </is>
      </c>
      <c r="I5" s="6" t="inlineStr">
        <is>
          <t>No Payer</t>
        </is>
      </c>
      <c r="J5" s="8" t="inlineStr">
        <is>
          <t>99493 x1</t>
        </is>
      </c>
      <c r="K5" s="4" t="n"/>
      <c r="L5" s="5">
        <f>IF($O5="","",$O5-TODAY())</f>
        <v/>
      </c>
      <c r="M5" s="5">
        <f>IF($C5="","",$C5+365-TODAY())</f>
        <v/>
      </c>
      <c r="N5" s="5">
        <f>IF($C5="","",$C5+365-TODAY())</f>
        <v/>
      </c>
      <c r="O5" s="7" t="n">
        <v>46156</v>
      </c>
      <c r="P5" s="6" t="inlineStr">
        <is>
          <t>90 days</t>
        </is>
      </c>
      <c r="Q5" s="6" t="inlineStr">
        <is>
          <t>OPTUM</t>
        </is>
      </c>
      <c r="R5" s="6" t="inlineStr">
        <is>
          <t>365 days</t>
        </is>
      </c>
      <c r="S5" s="6" t="inlineStr">
        <is>
          <t>Processed date</t>
        </is>
      </c>
      <c r="T5" s="6" t="inlineStr">
        <is>
          <t>365 days</t>
        </is>
      </c>
      <c r="U5" s="6" t="inlineStr">
        <is>
          <t>Processed date</t>
        </is>
      </c>
      <c r="V5" s="6" t="n"/>
      <c r="W5" s="6" t="n"/>
      <c r="X5" s="6" t="n"/>
      <c r="Y5" s="6" t="inlineStr">
        <is>
          <t>1</t>
        </is>
      </c>
      <c r="Z5" s="9" t="n">
        <v>976.64</v>
      </c>
      <c r="AA5" s="9" t="n">
        <v>0</v>
      </c>
      <c r="AB5" s="9" t="n">
        <v>0</v>
      </c>
      <c r="AC5" s="7" t="n">
        <v>46147</v>
      </c>
      <c r="AD5" s="9" t="n">
        <v>976.64</v>
      </c>
      <c r="AE5" s="5" t="n">
        <v>176</v>
      </c>
      <c r="AF5" s="6" t="inlineStr">
        <is>
          <t>F1190</t>
        </is>
      </c>
      <c r="AG5" s="6" t="n"/>
      <c r="AH5" s="6" t="n"/>
      <c r="AI5" s="6" t="n"/>
      <c r="AJ5" s="5" t="n"/>
      <c r="AK5" s="6" t="inlineStr">
        <is>
          <t>LEATHEM, JARRETT</t>
        </is>
      </c>
      <c r="AL5" s="6" t="inlineStr">
        <is>
          <t>ASAP - Gilbert</t>
        </is>
      </c>
      <c r="AM5" s="7" t="n">
        <v>46086</v>
      </c>
      <c r="AN5" s="6" t="inlineStr">
        <is>
          <t>BH</t>
        </is>
      </c>
      <c r="AO5" s="6" t="inlineStr">
        <is>
          <t>109</t>
        </is>
      </c>
    </row>
    <row r="6">
      <c r="A6" s="2" t="n"/>
      <c r="B6" s="3" t="n"/>
      <c r="C6" s="4" t="n">
        <v>46147</v>
      </c>
      <c r="D6" s="5" t="n">
        <v>557794882</v>
      </c>
      <c r="E6" s="6" t="inlineStr">
        <is>
          <t>HF431164004</t>
        </is>
      </c>
      <c r="F6" s="7" t="n">
        <v>46070</v>
      </c>
      <c r="G6" s="6" t="inlineStr">
        <is>
          <t>Optum Care Medical Network of Arizona, Utah, &amp; Washington (LifePrint)</t>
        </is>
      </c>
      <c r="H6" s="6" t="inlineStr">
        <is>
          <t>Optum Care Medical Network of Arizona, Utah, &amp; Washington (LifePrint)</t>
        </is>
      </c>
      <c r="I6" s="6" t="inlineStr">
        <is>
          <t>No Payer</t>
        </is>
      </c>
      <c r="J6" s="8" t="inlineStr">
        <is>
          <t>99493 x1</t>
        </is>
      </c>
      <c r="K6" s="4" t="n"/>
      <c r="L6" s="5">
        <f>IF($O6="","",$O6-TODAY())</f>
        <v/>
      </c>
      <c r="M6" s="5">
        <f>IF($C6="","",$C6+365-TODAY())</f>
        <v/>
      </c>
      <c r="N6" s="5">
        <f>IF($C6="","",$C6+365-TODAY())</f>
        <v/>
      </c>
      <c r="O6" s="7" t="n">
        <v>46160</v>
      </c>
      <c r="P6" s="6" t="inlineStr">
        <is>
          <t>90 days</t>
        </is>
      </c>
      <c r="Q6" s="6" t="inlineStr">
        <is>
          <t>OPTUM</t>
        </is>
      </c>
      <c r="R6" s="6" t="inlineStr">
        <is>
          <t>365 days</t>
        </is>
      </c>
      <c r="S6" s="6" t="inlineStr">
        <is>
          <t>Processed date</t>
        </is>
      </c>
      <c r="T6" s="6" t="inlineStr">
        <is>
          <t>365 days</t>
        </is>
      </c>
      <c r="U6" s="6" t="inlineStr">
        <is>
          <t>Processed date</t>
        </is>
      </c>
      <c r="V6" s="6" t="n"/>
      <c r="W6" s="6" t="n"/>
      <c r="X6" s="6" t="n"/>
      <c r="Y6" s="6" t="inlineStr">
        <is>
          <t>1</t>
        </is>
      </c>
      <c r="Z6" s="9" t="n">
        <v>976.64</v>
      </c>
      <c r="AA6" s="9" t="n">
        <v>0</v>
      </c>
      <c r="AB6" s="9" t="n">
        <v>0</v>
      </c>
      <c r="AC6" s="7" t="n">
        <v>46147</v>
      </c>
      <c r="AD6" s="9" t="n">
        <v>976.64</v>
      </c>
      <c r="AE6" s="5" t="n">
        <v>172</v>
      </c>
      <c r="AF6" s="6" t="inlineStr">
        <is>
          <t>F331</t>
        </is>
      </c>
      <c r="AG6" s="6" t="inlineStr">
        <is>
          <t>F411</t>
        </is>
      </c>
      <c r="AH6" s="6" t="n"/>
      <c r="AI6" s="6" t="n"/>
      <c r="AJ6" s="5" t="n"/>
      <c r="AK6" s="6" t="inlineStr">
        <is>
          <t>O'NEIL, ROY</t>
        </is>
      </c>
      <c r="AL6" s="6" t="inlineStr">
        <is>
          <t>ASAP - Goodyear</t>
        </is>
      </c>
      <c r="AM6" s="7" t="n">
        <v>46086</v>
      </c>
      <c r="AN6" s="6" t="inlineStr">
        <is>
          <t>BH</t>
        </is>
      </c>
      <c r="AO6" s="6" t="inlineStr">
        <is>
          <t>432</t>
        </is>
      </c>
    </row>
    <row r="7">
      <c r="A7" s="2" t="n"/>
      <c r="B7" s="3" t="n"/>
      <c r="C7" s="4" t="n">
        <v>46101</v>
      </c>
      <c r="D7" s="5" t="n">
        <v>550288006</v>
      </c>
      <c r="E7" s="6" t="inlineStr">
        <is>
          <t>HF331718997</t>
        </is>
      </c>
      <c r="F7" s="7" t="n">
        <v>46071</v>
      </c>
      <c r="G7" s="6" t="inlineStr">
        <is>
          <t>Blue Cross Blue Shield of Arizona (BCBS AZ)</t>
        </is>
      </c>
      <c r="H7" s="6" t="inlineStr">
        <is>
          <t>Blue Cross Blue Shield of Arizona (BCBS AZ)</t>
        </is>
      </c>
      <c r="I7" s="6" t="inlineStr">
        <is>
          <t>No Payer</t>
        </is>
      </c>
      <c r="J7" s="8" t="inlineStr">
        <is>
          <t>99494 x2; 99492 x1</t>
        </is>
      </c>
      <c r="K7" s="4" t="n"/>
      <c r="L7" s="5">
        <f>IF($O7="","",$O7-TODAY())</f>
        <v/>
      </c>
      <c r="M7" s="5">
        <f>IF($C7="","",$C7+365-TODAY())</f>
        <v/>
      </c>
      <c r="N7" s="5">
        <f>IF($C7="","",$C7+365-TODAY())</f>
        <v/>
      </c>
      <c r="O7" s="7" t="n">
        <v>46161</v>
      </c>
      <c r="P7" s="6" t="inlineStr">
        <is>
          <t>90 days</t>
        </is>
      </c>
      <c r="Q7" s="6" t="inlineStr">
        <is>
          <t>BCBS</t>
        </is>
      </c>
      <c r="R7" s="6" t="inlineStr">
        <is>
          <t>365 days</t>
        </is>
      </c>
      <c r="S7" s="6" t="inlineStr">
        <is>
          <t>Processed date</t>
        </is>
      </c>
      <c r="T7" s="6" t="inlineStr">
        <is>
          <t>365 days</t>
        </is>
      </c>
      <c r="U7" s="6" t="inlineStr">
        <is>
          <t>Processed date</t>
        </is>
      </c>
      <c r="V7" s="6" t="n"/>
      <c r="W7" s="6" t="n"/>
      <c r="X7" s="6" t="n"/>
      <c r="Y7" s="6" t="inlineStr">
        <is>
          <t>2, 1</t>
        </is>
      </c>
      <c r="Z7" s="9" t="n">
        <v>1822.52</v>
      </c>
      <c r="AA7" s="9" t="n">
        <v>0</v>
      </c>
      <c r="AB7" s="9" t="n">
        <v>0</v>
      </c>
      <c r="AC7" s="7" t="n">
        <v>46101</v>
      </c>
      <c r="AD7" s="9" t="n">
        <v>1822.52</v>
      </c>
      <c r="AE7" s="5" t="n">
        <v>171</v>
      </c>
      <c r="AF7" s="6" t="inlineStr">
        <is>
          <t>F4323</t>
        </is>
      </c>
      <c r="AG7" s="6" t="n"/>
      <c r="AH7" s="6" t="n"/>
      <c r="AI7" s="6" t="n"/>
      <c r="AJ7" s="5" t="n"/>
      <c r="AK7" s="6" t="inlineStr">
        <is>
          <t>SARKAR, AWNIK</t>
        </is>
      </c>
      <c r="AL7" s="6" t="inlineStr">
        <is>
          <t>ASAP - DEER VALLEY</t>
        </is>
      </c>
      <c r="AM7" s="7" t="n">
        <v>46086</v>
      </c>
      <c r="AN7" s="6" t="inlineStr">
        <is>
          <t>BH</t>
        </is>
      </c>
      <c r="AO7" s="6" t="inlineStr">
        <is>
          <t>654, 655</t>
        </is>
      </c>
    </row>
    <row r="8">
      <c r="A8" s="2" t="n"/>
      <c r="B8" s="3" t="n"/>
      <c r="C8" s="4" t="n">
        <v>46147</v>
      </c>
      <c r="D8" s="5" t="n">
        <v>557793858</v>
      </c>
      <c r="E8" s="6" t="inlineStr">
        <is>
          <t>HF443112560</t>
        </is>
      </c>
      <c r="F8" s="7" t="n">
        <v>46073</v>
      </c>
      <c r="G8" s="6" t="inlineStr">
        <is>
          <t>Optum Care Medical Network of Arizona, Utah, &amp; Washington (LifePrint)</t>
        </is>
      </c>
      <c r="H8" s="6" t="inlineStr">
        <is>
          <t>Optum Care Medical Network of Arizona, Utah, &amp; Washington (LifePrint)</t>
        </is>
      </c>
      <c r="I8" s="6" t="inlineStr">
        <is>
          <t>No Payer</t>
        </is>
      </c>
      <c r="J8" s="8" t="inlineStr">
        <is>
          <t>99493 x1</t>
        </is>
      </c>
      <c r="K8" s="4" t="n"/>
      <c r="L8" s="5">
        <f>IF($O8="","",$O8-TODAY())</f>
        <v/>
      </c>
      <c r="M8" s="5">
        <f>IF($C8="","",$C8+365-TODAY())</f>
        <v/>
      </c>
      <c r="N8" s="5">
        <f>IF($C8="","",$C8+365-TODAY())</f>
        <v/>
      </c>
      <c r="O8" s="7" t="n">
        <v>46163</v>
      </c>
      <c r="P8" s="6" t="inlineStr">
        <is>
          <t>90 days</t>
        </is>
      </c>
      <c r="Q8" s="6" t="inlineStr">
        <is>
          <t>OPTUM</t>
        </is>
      </c>
      <c r="R8" s="6" t="inlineStr">
        <is>
          <t>365 days</t>
        </is>
      </c>
      <c r="S8" s="6" t="inlineStr">
        <is>
          <t>Processed date</t>
        </is>
      </c>
      <c r="T8" s="6" t="inlineStr">
        <is>
          <t>365 days</t>
        </is>
      </c>
      <c r="U8" s="6" t="inlineStr">
        <is>
          <t>Processed date</t>
        </is>
      </c>
      <c r="V8" s="6" t="n"/>
      <c r="W8" s="6" t="n"/>
      <c r="X8" s="6" t="n"/>
      <c r="Y8" s="6" t="inlineStr">
        <is>
          <t>1</t>
        </is>
      </c>
      <c r="Z8" s="9" t="n">
        <v>976.64</v>
      </c>
      <c r="AA8" s="9" t="n">
        <v>0</v>
      </c>
      <c r="AB8" s="9" t="n">
        <v>0</v>
      </c>
      <c r="AC8" s="7" t="n">
        <v>46147</v>
      </c>
      <c r="AD8" s="9" t="n">
        <v>976.64</v>
      </c>
      <c r="AE8" s="5" t="n">
        <v>169</v>
      </c>
      <c r="AF8" s="6" t="inlineStr">
        <is>
          <t>F1190</t>
        </is>
      </c>
      <c r="AG8" s="6" t="n"/>
      <c r="AH8" s="6" t="n"/>
      <c r="AI8" s="6" t="n"/>
      <c r="AJ8" s="5" t="n"/>
      <c r="AK8" s="6" t="inlineStr">
        <is>
          <t>LEATHEM, JARRETT</t>
        </is>
      </c>
      <c r="AL8" s="6" t="inlineStr">
        <is>
          <t>ASAP - Gilbert</t>
        </is>
      </c>
      <c r="AM8" s="7" t="n">
        <v>46086</v>
      </c>
      <c r="AN8" s="6" t="inlineStr">
        <is>
          <t>BH</t>
        </is>
      </c>
      <c r="AO8" s="6" t="inlineStr">
        <is>
          <t>464</t>
        </is>
      </c>
    </row>
    <row r="9">
      <c r="A9" s="2" t="n"/>
      <c r="B9" s="3" t="n"/>
      <c r="C9" s="4" t="n">
        <v>46147</v>
      </c>
      <c r="D9" s="5" t="n">
        <v>557794229</v>
      </c>
      <c r="E9" s="6" t="inlineStr">
        <is>
          <t>HF460603685</t>
        </is>
      </c>
      <c r="F9" s="7" t="n">
        <v>46073</v>
      </c>
      <c r="G9" s="6" t="inlineStr">
        <is>
          <t>Optum Care Medical Network of Arizona, Utah, &amp; Washington (LifePrint)</t>
        </is>
      </c>
      <c r="H9" s="6" t="inlineStr">
        <is>
          <t>Optum Care Medical Network of Arizona, Utah, &amp; Washington (LifePrint)</t>
        </is>
      </c>
      <c r="I9" s="6" t="inlineStr">
        <is>
          <t>No Payer</t>
        </is>
      </c>
      <c r="J9" s="8" t="inlineStr">
        <is>
          <t>99493 x1</t>
        </is>
      </c>
      <c r="K9" s="4" t="n"/>
      <c r="L9" s="5">
        <f>IF($O9="","",$O9-TODAY())</f>
        <v/>
      </c>
      <c r="M9" s="5">
        <f>IF($C9="","",$C9+365-TODAY())</f>
        <v/>
      </c>
      <c r="N9" s="5">
        <f>IF($C9="","",$C9+365-TODAY())</f>
        <v/>
      </c>
      <c r="O9" s="7" t="n">
        <v>46163</v>
      </c>
      <c r="P9" s="6" t="inlineStr">
        <is>
          <t>90 days</t>
        </is>
      </c>
      <c r="Q9" s="6" t="inlineStr">
        <is>
          <t>OPTUM</t>
        </is>
      </c>
      <c r="R9" s="6" t="inlineStr">
        <is>
          <t>365 days</t>
        </is>
      </c>
      <c r="S9" s="6" t="inlineStr">
        <is>
          <t>Processed date</t>
        </is>
      </c>
      <c r="T9" s="6" t="inlineStr">
        <is>
          <t>365 days</t>
        </is>
      </c>
      <c r="U9" s="6" t="inlineStr">
        <is>
          <t>Processed date</t>
        </is>
      </c>
      <c r="V9" s="6" t="n"/>
      <c r="W9" s="6" t="n"/>
      <c r="X9" s="6" t="n"/>
      <c r="Y9" s="6" t="inlineStr">
        <is>
          <t>1</t>
        </is>
      </c>
      <c r="Z9" s="9" t="n">
        <v>976.64</v>
      </c>
      <c r="AA9" s="9" t="n">
        <v>0</v>
      </c>
      <c r="AB9" s="9" t="n">
        <v>0</v>
      </c>
      <c r="AC9" s="7" t="n">
        <v>46147</v>
      </c>
      <c r="AD9" s="9" t="n">
        <v>976.64</v>
      </c>
      <c r="AE9" s="5" t="n">
        <v>169</v>
      </c>
      <c r="AF9" s="6" t="inlineStr">
        <is>
          <t>F1190</t>
        </is>
      </c>
      <c r="AG9" s="6" t="n"/>
      <c r="AH9" s="6" t="n"/>
      <c r="AI9" s="6" t="n"/>
      <c r="AJ9" s="5" t="n"/>
      <c r="AK9" s="6" t="inlineStr">
        <is>
          <t>KALLGREN, MARK</t>
        </is>
      </c>
      <c r="AL9" s="6" t="inlineStr">
        <is>
          <t>ASAP - Gilbert</t>
        </is>
      </c>
      <c r="AM9" s="7" t="n">
        <v>46086</v>
      </c>
      <c r="AN9" s="6" t="inlineStr">
        <is>
          <t>BH</t>
        </is>
      </c>
      <c r="AO9" s="6" t="inlineStr">
        <is>
          <t>797</t>
        </is>
      </c>
    </row>
  </sheetData>
  <autoFilter ref="A1:AO9"/>
  <conditionalFormatting sqref="L2:L9">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9">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9">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9">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9"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O12"/>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inlineStr">
        <is>
          <t>Denied</t>
        </is>
      </c>
      <c r="B2" s="3" t="n"/>
      <c r="C2" s="4" t="n">
        <v>46105</v>
      </c>
      <c r="D2" s="5" t="n">
        <v>553137846</v>
      </c>
      <c r="E2" s="6" t="inlineStr">
        <is>
          <t>HF540630932</t>
        </is>
      </c>
      <c r="F2" s="7" t="n">
        <v>46063</v>
      </c>
      <c r="G2" s="6" t="inlineStr">
        <is>
          <t>Tricare for Life (All Regions)</t>
        </is>
      </c>
      <c r="H2" s="6" t="inlineStr">
        <is>
          <t>DME Region D</t>
        </is>
      </c>
      <c r="I2" s="6" t="inlineStr">
        <is>
          <t>Tricare for Life (All Regions)</t>
        </is>
      </c>
      <c r="J2" s="8" t="inlineStr">
        <is>
          <t>A6010+A1 x20</t>
        </is>
      </c>
      <c r="K2" s="4" t="n"/>
      <c r="L2" s="5">
        <f>IF($O2="","",$O2-TODAY())</f>
        <v/>
      </c>
      <c r="M2" s="5">
        <f>IF($C2="","",$C2+365-TODAY())</f>
        <v/>
      </c>
      <c r="N2" s="5">
        <f>IF($C2="","",$C2+120-TODAY())</f>
        <v/>
      </c>
      <c r="O2" s="7" t="n">
        <v>46428</v>
      </c>
      <c r="P2" s="6" t="inlineStr">
        <is>
          <t>365 days</t>
        </is>
      </c>
      <c r="Q2" s="6" t="inlineStr">
        <is>
          <t>MEDICARE</t>
        </is>
      </c>
      <c r="R2" s="6" t="inlineStr">
        <is>
          <t>365 days</t>
        </is>
      </c>
      <c r="S2" s="6" t="inlineStr">
        <is>
          <t>Processed date</t>
        </is>
      </c>
      <c r="T2" s="6" t="inlineStr">
        <is>
          <t>120 days</t>
        </is>
      </c>
      <c r="U2" s="6" t="inlineStr">
        <is>
          <t>Processed date</t>
        </is>
      </c>
      <c r="V2" s="6" t="inlineStr">
        <is>
          <t>A1</t>
        </is>
      </c>
      <c r="W2" s="6" t="n"/>
      <c r="X2" s="6" t="n"/>
      <c r="Y2" s="6" t="inlineStr">
        <is>
          <t>20</t>
        </is>
      </c>
      <c r="Z2" s="9" t="n">
        <v>5916.4</v>
      </c>
      <c r="AA2" s="9" t="n">
        <v>5047.72</v>
      </c>
      <c r="AB2" s="9" t="n">
        <v>692.12</v>
      </c>
      <c r="AC2" s="7" t="n">
        <v>46105</v>
      </c>
      <c r="AD2" s="9" t="n">
        <v>176.56</v>
      </c>
      <c r="AE2" s="5" t="n">
        <v>179</v>
      </c>
      <c r="AF2" s="6" t="inlineStr">
        <is>
          <t>G894</t>
        </is>
      </c>
      <c r="AG2" s="6" t="n"/>
      <c r="AH2" s="6" t="n"/>
      <c r="AI2" s="6" t="n"/>
      <c r="AJ2" s="5" t="n">
        <v>564731184</v>
      </c>
      <c r="AK2" s="6" t="inlineStr">
        <is>
          <t>Advanced Spine and Pain LLC DME PEO</t>
        </is>
      </c>
      <c r="AL2" s="6" t="inlineStr">
        <is>
          <t>Advanced Spine and Pain LLC DME - Peoria</t>
        </is>
      </c>
      <c r="AM2" s="7" t="n">
        <v>46099</v>
      </c>
      <c r="AN2" s="6" t="inlineStr">
        <is>
          <t>DME</t>
        </is>
      </c>
      <c r="AO2" s="6" t="inlineStr">
        <is>
          <t>169</t>
        </is>
      </c>
    </row>
    <row r="3">
      <c r="A3" s="2" t="n"/>
      <c r="B3" s="3" t="n"/>
      <c r="C3" s="4" t="n">
        <v>46133</v>
      </c>
      <c r="D3" s="5" t="n">
        <v>553677900</v>
      </c>
      <c r="E3" s="6" t="inlineStr">
        <is>
          <t>HF537353546</t>
        </is>
      </c>
      <c r="F3" s="7" t="n">
        <v>46063</v>
      </c>
      <c r="G3" s="6" t="inlineStr">
        <is>
          <t>DME Region D</t>
        </is>
      </c>
      <c r="H3" s="6" t="inlineStr">
        <is>
          <t>DME Region D</t>
        </is>
      </c>
      <c r="I3" s="6" t="inlineStr">
        <is>
          <t>Blue Cross Blue Shield of Arizona (BCBS AZ)</t>
        </is>
      </c>
      <c r="J3" s="8" t="inlineStr">
        <is>
          <t>A6010+A2 x20</t>
        </is>
      </c>
      <c r="K3" s="4" t="n"/>
      <c r="L3" s="5">
        <f>IF($O3="","",$O3-TODAY())</f>
        <v/>
      </c>
      <c r="M3" s="5">
        <f>IF($C3="","",$C3+365-TODAY())</f>
        <v/>
      </c>
      <c r="N3" s="5">
        <f>IF($C3="","",$C3+120-TODAY())</f>
        <v/>
      </c>
      <c r="O3" s="7" t="n">
        <v>46428</v>
      </c>
      <c r="P3" s="6" t="inlineStr">
        <is>
          <t>365 days</t>
        </is>
      </c>
      <c r="Q3" s="6" t="inlineStr">
        <is>
          <t>MEDICARE</t>
        </is>
      </c>
      <c r="R3" s="6" t="inlineStr">
        <is>
          <t>365 days</t>
        </is>
      </c>
      <c r="S3" s="6" t="inlineStr">
        <is>
          <t>Processed date</t>
        </is>
      </c>
      <c r="T3" s="6" t="inlineStr">
        <is>
          <t>120 days</t>
        </is>
      </c>
      <c r="U3" s="6" t="inlineStr">
        <is>
          <t>Processed date</t>
        </is>
      </c>
      <c r="V3" s="6" t="inlineStr">
        <is>
          <t>A2</t>
        </is>
      </c>
      <c r="W3" s="6" t="n"/>
      <c r="X3" s="6" t="n"/>
      <c r="Y3" s="6" t="inlineStr">
        <is>
          <t>20</t>
        </is>
      </c>
      <c r="Z3" s="9" t="n">
        <v>5916.4</v>
      </c>
      <c r="AA3" s="9" t="n">
        <v>0</v>
      </c>
      <c r="AB3" s="9" t="n">
        <v>0</v>
      </c>
      <c r="AC3" s="7" t="n">
        <v>46133</v>
      </c>
      <c r="AD3" s="9" t="n">
        <v>5916.4</v>
      </c>
      <c r="AE3" s="5" t="n">
        <v>179</v>
      </c>
      <c r="AF3" s="6" t="inlineStr">
        <is>
          <t>G894</t>
        </is>
      </c>
      <c r="AG3" s="6" t="n"/>
      <c r="AH3" s="6" t="n"/>
      <c r="AI3" s="6" t="n"/>
      <c r="AJ3" s="5" t="n"/>
      <c r="AK3" s="6" t="inlineStr">
        <is>
          <t>Advanced Spine and Pain LLC DME PEO</t>
        </is>
      </c>
      <c r="AL3" s="6" t="inlineStr">
        <is>
          <t>Advanced Spine and Pain LLC DME - Peoria</t>
        </is>
      </c>
      <c r="AM3" s="7" t="n">
        <v>46105</v>
      </c>
      <c r="AN3" s="6" t="inlineStr">
        <is>
          <t>DME</t>
        </is>
      </c>
      <c r="AO3" s="6" t="inlineStr">
        <is>
          <t>545</t>
        </is>
      </c>
    </row>
    <row r="4">
      <c r="A4" s="2" t="inlineStr">
        <is>
          <t>Denied</t>
        </is>
      </c>
      <c r="B4" s="3" t="n"/>
      <c r="C4" s="4" t="n">
        <v>46133</v>
      </c>
      <c r="D4" s="5" t="n">
        <v>550531610</v>
      </c>
      <c r="E4" s="6" t="inlineStr">
        <is>
          <t>HF497918792</t>
        </is>
      </c>
      <c r="F4" s="7" t="n">
        <v>46066</v>
      </c>
      <c r="G4" s="6" t="inlineStr">
        <is>
          <t>Tricare for Life (All Regions)</t>
        </is>
      </c>
      <c r="H4" s="6" t="inlineStr">
        <is>
          <t>DME Region D</t>
        </is>
      </c>
      <c r="I4" s="6" t="inlineStr">
        <is>
          <t>Tricare for Life (All Regions)</t>
        </is>
      </c>
      <c r="J4" s="8" t="inlineStr">
        <is>
          <t>A6023+A2 x40</t>
        </is>
      </c>
      <c r="K4" s="4" t="n"/>
      <c r="L4" s="5">
        <f>IF($O4="","",$O4-TODAY())</f>
        <v/>
      </c>
      <c r="M4" s="5">
        <f>IF($C4="","",$C4+365-TODAY())</f>
        <v/>
      </c>
      <c r="N4" s="5">
        <f>IF($C4="","",$C4+120-TODAY())</f>
        <v/>
      </c>
      <c r="O4" s="7" t="n">
        <v>46431</v>
      </c>
      <c r="P4" s="6" t="inlineStr">
        <is>
          <t>365 days</t>
        </is>
      </c>
      <c r="Q4" s="6" t="inlineStr">
        <is>
          <t>MEDICARE</t>
        </is>
      </c>
      <c r="R4" s="6" t="inlineStr">
        <is>
          <t>365 days</t>
        </is>
      </c>
      <c r="S4" s="6" t="inlineStr">
        <is>
          <t>Processed date</t>
        </is>
      </c>
      <c r="T4" s="6" t="inlineStr">
        <is>
          <t>120 days</t>
        </is>
      </c>
      <c r="U4" s="6" t="inlineStr">
        <is>
          <t>Processed date</t>
        </is>
      </c>
      <c r="V4" s="6" t="inlineStr">
        <is>
          <t>A2</t>
        </is>
      </c>
      <c r="W4" s="6" t="n"/>
      <c r="X4" s="6" t="n"/>
      <c r="Y4" s="6" t="inlineStr">
        <is>
          <t>40</t>
        </is>
      </c>
      <c r="Z4" s="9" t="n">
        <v>72707.60000000001</v>
      </c>
      <c r="AA4" s="9" t="n">
        <v>62032.38</v>
      </c>
      <c r="AB4" s="9" t="n">
        <v>8505.459999999999</v>
      </c>
      <c r="AC4" s="7" t="n">
        <v>46133</v>
      </c>
      <c r="AD4" s="9" t="n">
        <v>2169.76</v>
      </c>
      <c r="AE4" s="5" t="n">
        <v>176</v>
      </c>
      <c r="AF4" s="6" t="inlineStr">
        <is>
          <t>G894</t>
        </is>
      </c>
      <c r="AG4" s="6" t="inlineStr">
        <is>
          <t>M5417</t>
        </is>
      </c>
      <c r="AH4" s="6" t="inlineStr">
        <is>
          <t>M961</t>
        </is>
      </c>
      <c r="AI4" s="6" t="n"/>
      <c r="AJ4" s="5" t="n">
        <v>563428910</v>
      </c>
      <c r="AK4" s="6" t="inlineStr">
        <is>
          <t>Advanced Spine and Pain LLC DME PEO</t>
        </is>
      </c>
      <c r="AL4" s="6" t="inlineStr">
        <is>
          <t>Advanced Spine and Pain LLC DME - Peoria</t>
        </is>
      </c>
      <c r="AM4" s="7" t="n">
        <v>46077</v>
      </c>
      <c r="AN4" s="6" t="inlineStr">
        <is>
          <t>DME</t>
        </is>
      </c>
      <c r="AO4" s="6" t="inlineStr">
        <is>
          <t>503</t>
        </is>
      </c>
    </row>
    <row r="5">
      <c r="A5" s="2" t="inlineStr">
        <is>
          <t>Finalized</t>
        </is>
      </c>
      <c r="B5" s="3" t="n"/>
      <c r="C5" s="4" t="n">
        <v>46133</v>
      </c>
      <c r="D5" s="5" t="n">
        <v>551104780</v>
      </c>
      <c r="E5" s="6" t="inlineStr">
        <is>
          <t>HF499790971</t>
        </is>
      </c>
      <c r="F5" s="7" t="n">
        <v>46069</v>
      </c>
      <c r="G5" s="6" t="inlineStr">
        <is>
          <t>AARP United Healthcare</t>
        </is>
      </c>
      <c r="H5" s="6" t="inlineStr">
        <is>
          <t>DME Region D</t>
        </is>
      </c>
      <c r="I5" s="6" t="inlineStr">
        <is>
          <t>AARP United Healthcare</t>
        </is>
      </c>
      <c r="J5" s="8" t="inlineStr">
        <is>
          <t>L3916+KX+RT x1; L3916+KX+LT x1</t>
        </is>
      </c>
      <c r="K5" s="4" t="n"/>
      <c r="L5" s="5">
        <f>IF($O5="","",$O5-TODAY())</f>
        <v/>
      </c>
      <c r="M5" s="5">
        <f>IF($C5="","",$C5+365-TODAY())</f>
        <v/>
      </c>
      <c r="N5" s="5">
        <f>IF($C5="","",$C5+120-TODAY())</f>
        <v/>
      </c>
      <c r="O5" s="7" t="n">
        <v>46434</v>
      </c>
      <c r="P5" s="6" t="inlineStr">
        <is>
          <t>365 days</t>
        </is>
      </c>
      <c r="Q5" s="6" t="inlineStr">
        <is>
          <t>MEDICARE</t>
        </is>
      </c>
      <c r="R5" s="6" t="inlineStr">
        <is>
          <t>365 days</t>
        </is>
      </c>
      <c r="S5" s="6" t="inlineStr">
        <is>
          <t>Processed date</t>
        </is>
      </c>
      <c r="T5" s="6" t="inlineStr">
        <is>
          <t>120 days</t>
        </is>
      </c>
      <c r="U5" s="6" t="inlineStr">
        <is>
          <t>Processed date</t>
        </is>
      </c>
      <c r="V5" s="6" t="inlineStr">
        <is>
          <t>KX</t>
        </is>
      </c>
      <c r="W5" s="6" t="inlineStr">
        <is>
          <t>RT, LT</t>
        </is>
      </c>
      <c r="X5" s="6" t="n"/>
      <c r="Y5" s="6" t="inlineStr">
        <is>
          <t>1</t>
        </is>
      </c>
      <c r="Z5" s="9" t="n">
        <v>1082.98</v>
      </c>
      <c r="AA5" s="9" t="n">
        <v>17.32</v>
      </c>
      <c r="AB5" s="9" t="n">
        <v>849.0599999999999</v>
      </c>
      <c r="AC5" s="7" t="n">
        <v>46133</v>
      </c>
      <c r="AD5" s="9" t="n">
        <v>216.6</v>
      </c>
      <c r="AE5" s="5" t="n">
        <v>173</v>
      </c>
      <c r="AF5" s="6" t="inlineStr">
        <is>
          <t>G5601, G5602</t>
        </is>
      </c>
      <c r="AG5" s="6" t="inlineStr">
        <is>
          <t>M25531, G589</t>
        </is>
      </c>
      <c r="AH5" s="6" t="inlineStr">
        <is>
          <t>G589</t>
        </is>
      </c>
      <c r="AI5" s="6" t="n"/>
      <c r="AJ5" s="5" t="n">
        <v>566111704</v>
      </c>
      <c r="AK5" s="6" t="inlineStr">
        <is>
          <t>Advanced Spine and Pain LLC DME PEO</t>
        </is>
      </c>
      <c r="AL5" s="6" t="inlineStr">
        <is>
          <t>Advanced Spine and Pain LLC DME - Peoria</t>
        </is>
      </c>
      <c r="AM5" s="7" t="n">
        <v>46080</v>
      </c>
      <c r="AN5" s="6" t="inlineStr">
        <is>
          <t>DME</t>
        </is>
      </c>
      <c r="AO5" s="6" t="inlineStr">
        <is>
          <t>66, 67</t>
        </is>
      </c>
    </row>
    <row r="6">
      <c r="A6" s="2" t="inlineStr">
        <is>
          <t>Finalized</t>
        </is>
      </c>
      <c r="B6" s="3" t="n"/>
      <c r="C6" s="4" t="n">
        <v>46121</v>
      </c>
      <c r="D6" s="5" t="n">
        <v>553095408</v>
      </c>
      <c r="E6" s="6" t="inlineStr">
        <is>
          <t>HF435406148</t>
        </is>
      </c>
      <c r="F6" s="7" t="n">
        <v>46069</v>
      </c>
      <c r="G6" s="6" t="inlineStr">
        <is>
          <t>SILAC INSURANCE</t>
        </is>
      </c>
      <c r="H6" s="6" t="inlineStr">
        <is>
          <t>DME Region D</t>
        </is>
      </c>
      <c r="I6" s="6" t="inlineStr">
        <is>
          <t>SILAC INSURANCE</t>
        </is>
      </c>
      <c r="J6" s="8" t="inlineStr">
        <is>
          <t>A6023+A2 x10</t>
        </is>
      </c>
      <c r="K6" s="4" t="n"/>
      <c r="L6" s="5">
        <f>IF($O6="","",$O6-TODAY())</f>
        <v/>
      </c>
      <c r="M6" s="5">
        <f>IF($C6="","",$C6+365-TODAY())</f>
        <v/>
      </c>
      <c r="N6" s="5">
        <f>IF($C6="","",$C6+120-TODAY())</f>
        <v/>
      </c>
      <c r="O6" s="7" t="n">
        <v>46434</v>
      </c>
      <c r="P6" s="6" t="inlineStr">
        <is>
          <t>365 days</t>
        </is>
      </c>
      <c r="Q6" s="6" t="inlineStr">
        <is>
          <t>MEDICARE</t>
        </is>
      </c>
      <c r="R6" s="6" t="inlineStr">
        <is>
          <t>365 days</t>
        </is>
      </c>
      <c r="S6" s="6" t="inlineStr">
        <is>
          <t>Processed date</t>
        </is>
      </c>
      <c r="T6" s="6" t="inlineStr">
        <is>
          <t>120 days</t>
        </is>
      </c>
      <c r="U6" s="6" t="inlineStr">
        <is>
          <t>Processed date</t>
        </is>
      </c>
      <c r="V6" s="6" t="inlineStr">
        <is>
          <t>A2</t>
        </is>
      </c>
      <c r="W6" s="6" t="n"/>
      <c r="X6" s="6" t="n"/>
      <c r="Y6" s="6" t="inlineStr">
        <is>
          <t>10</t>
        </is>
      </c>
      <c r="Z6" s="9" t="n">
        <v>18176.9</v>
      </c>
      <c r="AA6" s="9" t="n">
        <v>15508.1</v>
      </c>
      <c r="AB6" s="9" t="n">
        <v>542.4400000000001</v>
      </c>
      <c r="AC6" s="7" t="n">
        <v>46121</v>
      </c>
      <c r="AD6" s="9" t="n">
        <v>2126.36</v>
      </c>
      <c r="AE6" s="5" t="n">
        <v>173</v>
      </c>
      <c r="AF6" s="6" t="inlineStr">
        <is>
          <t>G894</t>
        </is>
      </c>
      <c r="AG6" s="6" t="inlineStr">
        <is>
          <t>M961</t>
        </is>
      </c>
      <c r="AH6" s="6" t="n"/>
      <c r="AI6" s="6" t="n"/>
      <c r="AJ6" s="5" t="n">
        <v>557144068</v>
      </c>
      <c r="AK6" s="6" t="inlineStr">
        <is>
          <t>Advanced Spine and Pain LLC DME SUR</t>
        </is>
      </c>
      <c r="AL6" s="6" t="inlineStr">
        <is>
          <t>Advanced Spine and Pain LLC DME - Surprise Reems</t>
        </is>
      </c>
      <c r="AM6" s="7" t="n">
        <v>46099</v>
      </c>
      <c r="AN6" s="6" t="inlineStr">
        <is>
          <t>DME</t>
        </is>
      </c>
      <c r="AO6" s="6" t="inlineStr">
        <is>
          <t>120</t>
        </is>
      </c>
    </row>
    <row r="7">
      <c r="A7" s="2" t="n"/>
      <c r="B7" s="3" t="n"/>
      <c r="C7" s="4" t="n">
        <v>46101</v>
      </c>
      <c r="D7" s="5" t="n">
        <v>550127169</v>
      </c>
      <c r="E7" s="6" t="inlineStr">
        <is>
          <t>HF433355246</t>
        </is>
      </c>
      <c r="F7" s="7" t="n">
        <v>46071</v>
      </c>
      <c r="G7" s="6" t="inlineStr">
        <is>
          <t>DME Region D</t>
        </is>
      </c>
      <c r="H7" s="6" t="inlineStr">
        <is>
          <t>DME Region D</t>
        </is>
      </c>
      <c r="I7" s="6" t="inlineStr">
        <is>
          <t>Mercy Care RBHA</t>
        </is>
      </c>
      <c r="J7" s="8" t="inlineStr">
        <is>
          <t>L0650+KX x1</t>
        </is>
      </c>
      <c r="K7" s="4" t="n"/>
      <c r="L7" s="5">
        <f>IF($O7="","",$O7-TODAY())</f>
        <v/>
      </c>
      <c r="M7" s="5">
        <f>IF($C7="","",$C7+365-TODAY())</f>
        <v/>
      </c>
      <c r="N7" s="5">
        <f>IF($C7="","",$C7+120-TODAY())</f>
        <v/>
      </c>
      <c r="O7" s="7" t="n">
        <v>46436</v>
      </c>
      <c r="P7" s="6" t="inlineStr">
        <is>
          <t>365 days</t>
        </is>
      </c>
      <c r="Q7" s="6" t="inlineStr">
        <is>
          <t>MEDICARE</t>
        </is>
      </c>
      <c r="R7" s="6" t="inlineStr">
        <is>
          <t>365 days</t>
        </is>
      </c>
      <c r="S7" s="6" t="inlineStr">
        <is>
          <t>Processed date</t>
        </is>
      </c>
      <c r="T7" s="6" t="inlineStr">
        <is>
          <t>120 days</t>
        </is>
      </c>
      <c r="U7" s="6" t="inlineStr">
        <is>
          <t>Processed date</t>
        </is>
      </c>
      <c r="V7" s="6" t="inlineStr">
        <is>
          <t>KX</t>
        </is>
      </c>
      <c r="W7" s="6" t="n"/>
      <c r="X7" s="6" t="n"/>
      <c r="Y7" s="6" t="inlineStr">
        <is>
          <t>1</t>
        </is>
      </c>
      <c r="Z7" s="9" t="n">
        <v>6392.96</v>
      </c>
      <c r="AA7" s="9" t="n">
        <v>0</v>
      </c>
      <c r="AB7" s="9" t="n">
        <v>0</v>
      </c>
      <c r="AC7" s="7" t="n">
        <v>46101</v>
      </c>
      <c r="AD7" s="9" t="n">
        <v>6392.96</v>
      </c>
      <c r="AE7" s="5" t="n">
        <v>171</v>
      </c>
      <c r="AF7" s="6" t="inlineStr">
        <is>
          <t>M4306</t>
        </is>
      </c>
      <c r="AG7" s="6" t="n"/>
      <c r="AH7" s="6" t="n"/>
      <c r="AI7" s="6" t="n"/>
      <c r="AJ7" s="5" t="n"/>
      <c r="AK7" s="6" t="inlineStr">
        <is>
          <t>Advanced Spine and Pain LLC DME GWY</t>
        </is>
      </c>
      <c r="AL7" s="6" t="inlineStr">
        <is>
          <t>Advanced Spine and Pain LLC DME - Greenway</t>
        </is>
      </c>
      <c r="AM7" s="7" t="n">
        <v>46093</v>
      </c>
      <c r="AN7" s="6" t="inlineStr">
        <is>
          <t>DME</t>
        </is>
      </c>
      <c r="AO7" s="6" t="inlineStr">
        <is>
          <t>44</t>
        </is>
      </c>
    </row>
    <row r="8">
      <c r="A8" s="2" t="n"/>
      <c r="B8" s="3" t="n"/>
      <c r="C8" s="4" t="n">
        <v>46147</v>
      </c>
      <c r="D8" s="5" t="n">
        <v>557715576</v>
      </c>
      <c r="E8" s="6" t="inlineStr">
        <is>
          <t>HF498304433</t>
        </is>
      </c>
      <c r="F8" s="7" t="n">
        <v>46076</v>
      </c>
      <c r="G8" s="6" t="inlineStr">
        <is>
          <t>DME Region C</t>
        </is>
      </c>
      <c r="H8" s="6" t="inlineStr">
        <is>
          <t>DME Region C</t>
        </is>
      </c>
      <c r="I8" s="6" t="inlineStr">
        <is>
          <t>Blue Cross Blue Shield of Arizona (BCBS AZ)</t>
        </is>
      </c>
      <c r="J8" s="8" t="inlineStr">
        <is>
          <t>A6023+A2 x40</t>
        </is>
      </c>
      <c r="K8" s="4" t="n"/>
      <c r="L8" s="5">
        <f>IF($O8="","",$O8-TODAY())</f>
        <v/>
      </c>
      <c r="M8" s="5">
        <f>IF($C8="","",$C8+365-TODAY())</f>
        <v/>
      </c>
      <c r="N8" s="5">
        <f>IF($C8="","",$C8+120-TODAY())</f>
        <v/>
      </c>
      <c r="O8" s="7" t="n">
        <v>46441</v>
      </c>
      <c r="P8" s="6" t="inlineStr">
        <is>
          <t>365 days</t>
        </is>
      </c>
      <c r="Q8" s="6" t="inlineStr">
        <is>
          <t>MEDICARE</t>
        </is>
      </c>
      <c r="R8" s="6" t="inlineStr">
        <is>
          <t>365 days</t>
        </is>
      </c>
      <c r="S8" s="6" t="inlineStr">
        <is>
          <t>Processed date</t>
        </is>
      </c>
      <c r="T8" s="6" t="inlineStr">
        <is>
          <t>120 days</t>
        </is>
      </c>
      <c r="U8" s="6" t="inlineStr">
        <is>
          <t>Processed date</t>
        </is>
      </c>
      <c r="V8" s="6" t="inlineStr">
        <is>
          <t>A2</t>
        </is>
      </c>
      <c r="W8" s="6" t="n"/>
      <c r="X8" s="6" t="n"/>
      <c r="Y8" s="6" t="inlineStr">
        <is>
          <t>40</t>
        </is>
      </c>
      <c r="Z8" s="9" t="n">
        <v>72707.60000000001</v>
      </c>
      <c r="AA8" s="9" t="n">
        <v>0</v>
      </c>
      <c r="AB8" s="9" t="n">
        <v>0</v>
      </c>
      <c r="AC8" s="7" t="n">
        <v>46147</v>
      </c>
      <c r="AD8" s="9" t="n">
        <v>72707.60000000001</v>
      </c>
      <c r="AE8" s="5" t="n">
        <v>166</v>
      </c>
      <c r="AF8" s="6" t="inlineStr">
        <is>
          <t>G894</t>
        </is>
      </c>
      <c r="AG8" s="6" t="inlineStr">
        <is>
          <t>M961</t>
        </is>
      </c>
      <c r="AH8" s="6" t="n"/>
      <c r="AI8" s="6" t="n"/>
      <c r="AJ8" s="5" t="n"/>
      <c r="AK8" s="6" t="inlineStr">
        <is>
          <t>Advanced Spine and Pain LLC DME GIL</t>
        </is>
      </c>
      <c r="AL8" s="6" t="inlineStr">
        <is>
          <t>Advanced Spine and Pain LLC DME - Gilbert</t>
        </is>
      </c>
      <c r="AM8" s="7" t="n">
        <v>46085</v>
      </c>
      <c r="AN8" s="6" t="inlineStr">
        <is>
          <t>DME</t>
        </is>
      </c>
      <c r="AO8" s="6" t="inlineStr">
        <is>
          <t>796</t>
        </is>
      </c>
    </row>
    <row r="9">
      <c r="A9" s="2" t="n"/>
      <c r="B9" s="3" t="n"/>
      <c r="C9" s="4" t="n"/>
      <c r="D9" s="5" t="n">
        <v>565140993</v>
      </c>
      <c r="E9" s="6" t="inlineStr">
        <is>
          <t>HF513477727</t>
        </is>
      </c>
      <c r="F9" s="7" t="n">
        <v>46069</v>
      </c>
      <c r="G9" s="6" t="inlineStr">
        <is>
          <t>Blue Cross Blue Shield of Arizona (BCBS AZ)</t>
        </is>
      </c>
      <c r="H9" s="6" t="inlineStr">
        <is>
          <t>Blue Cross Blue Shield of Arizona (BCBS AZ)</t>
        </is>
      </c>
      <c r="I9" s="6" t="inlineStr">
        <is>
          <t>No Payer</t>
        </is>
      </c>
      <c r="J9" s="8" t="inlineStr">
        <is>
          <t>L0648+KX x1</t>
        </is>
      </c>
      <c r="K9" s="4" t="n"/>
      <c r="L9" s="5">
        <f>IF($O9="","",$O9-TODAY())</f>
        <v/>
      </c>
      <c r="M9" s="5">
        <f>IF($C9="","",$C9+365-TODAY())</f>
        <v/>
      </c>
      <c r="N9" s="5">
        <f>IF($C9="","",$C9+365-TODAY())</f>
        <v/>
      </c>
      <c r="O9" s="7" t="n">
        <v>46159</v>
      </c>
      <c r="P9" s="6" t="inlineStr">
        <is>
          <t>90 days</t>
        </is>
      </c>
      <c r="Q9" s="6" t="inlineStr">
        <is>
          <t>BCBS</t>
        </is>
      </c>
      <c r="R9" s="6" t="inlineStr">
        <is>
          <t>365 days</t>
        </is>
      </c>
      <c r="S9" s="6" t="inlineStr">
        <is>
          <t>Processed date</t>
        </is>
      </c>
      <c r="T9" s="6" t="inlineStr">
        <is>
          <t>365 days</t>
        </is>
      </c>
      <c r="U9" s="6" t="inlineStr">
        <is>
          <t>Processed date</t>
        </is>
      </c>
      <c r="V9" s="6" t="inlineStr">
        <is>
          <t>KX</t>
        </is>
      </c>
      <c r="W9" s="6" t="n"/>
      <c r="X9" s="6" t="n"/>
      <c r="Y9" s="6" t="inlineStr">
        <is>
          <t>1</t>
        </is>
      </c>
      <c r="Z9" s="9" t="n">
        <v>5492.55</v>
      </c>
      <c r="AA9" s="9" t="n">
        <v>0</v>
      </c>
      <c r="AB9" s="9" t="n">
        <v>0</v>
      </c>
      <c r="AC9" s="7" t="n"/>
      <c r="AD9" s="9" t="n">
        <v>5492.55</v>
      </c>
      <c r="AE9" s="5" t="n">
        <v>173</v>
      </c>
      <c r="AF9" s="6" t="inlineStr">
        <is>
          <t>M4316</t>
        </is>
      </c>
      <c r="AG9" s="6" t="inlineStr">
        <is>
          <t>M51362</t>
        </is>
      </c>
      <c r="AH9" s="6" t="n"/>
      <c r="AI9" s="6" t="n"/>
      <c r="AJ9" s="5" t="n"/>
      <c r="AK9" s="6" t="inlineStr">
        <is>
          <t>MAYURAN, VIKRAM</t>
        </is>
      </c>
      <c r="AL9" s="6" t="inlineStr">
        <is>
          <t>ASAP - Mesa</t>
        </is>
      </c>
      <c r="AM9" s="7" t="n">
        <v>46080</v>
      </c>
      <c r="AN9" s="6" t="inlineStr">
        <is>
          <t>DME</t>
        </is>
      </c>
      <c r="AO9" s="6" t="inlineStr">
        <is>
          <t>594</t>
        </is>
      </c>
    </row>
    <row r="10">
      <c r="A10" s="2" t="n"/>
      <c r="B10" s="3" t="n"/>
      <c r="C10" s="4" t="n">
        <v>46106</v>
      </c>
      <c r="D10" s="5" t="n">
        <v>550530483</v>
      </c>
      <c r="E10" s="6" t="inlineStr">
        <is>
          <t>HF544828362</t>
        </is>
      </c>
      <c r="F10" s="7" t="n">
        <v>46072</v>
      </c>
      <c r="G10" s="6" t="inlineStr">
        <is>
          <t>UHC Group Medicare Advantage</t>
        </is>
      </c>
      <c r="H10" s="6" t="inlineStr">
        <is>
          <t>UHC Group Medicare Advantage</t>
        </is>
      </c>
      <c r="I10" s="6" t="inlineStr">
        <is>
          <t>No Payer</t>
        </is>
      </c>
      <c r="J10" s="8" t="inlineStr">
        <is>
          <t>A6010+A1 x20</t>
        </is>
      </c>
      <c r="K10" s="4" t="n"/>
      <c r="L10" s="5">
        <f>IF($O10="","",$O10-TODAY())</f>
        <v/>
      </c>
      <c r="M10" s="5">
        <f>IF($C10="","",$C10+180-TODAY())</f>
        <v/>
      </c>
      <c r="N10" s="5">
        <f>IF($C10="","",$C10+365-TODAY())</f>
        <v/>
      </c>
      <c r="O10" s="7" t="n">
        <v>46162</v>
      </c>
      <c r="P10" s="6" t="inlineStr">
        <is>
          <t>90 days</t>
        </is>
      </c>
      <c r="Q10" s="6" t="inlineStr">
        <is>
          <t>UHC MA</t>
        </is>
      </c>
      <c r="R10" s="6" t="inlineStr">
        <is>
          <t>180 days</t>
        </is>
      </c>
      <c r="S10" s="6" t="inlineStr">
        <is>
          <t>Processed date</t>
        </is>
      </c>
      <c r="T10" s="6" t="inlineStr">
        <is>
          <t>365 days</t>
        </is>
      </c>
      <c r="U10" s="6" t="inlineStr">
        <is>
          <t>Processed date</t>
        </is>
      </c>
      <c r="V10" s="6" t="inlineStr">
        <is>
          <t>A1</t>
        </is>
      </c>
      <c r="W10" s="6" t="n"/>
      <c r="X10" s="6" t="n"/>
      <c r="Y10" s="6" t="inlineStr">
        <is>
          <t>20</t>
        </is>
      </c>
      <c r="Z10" s="9" t="n">
        <v>5916.4</v>
      </c>
      <c r="AA10" s="9" t="n">
        <v>0</v>
      </c>
      <c r="AB10" s="9" t="n">
        <v>0</v>
      </c>
      <c r="AC10" s="7" t="n">
        <v>46106</v>
      </c>
      <c r="AD10" s="9" t="n">
        <v>5916.4</v>
      </c>
      <c r="AE10" s="5" t="n">
        <v>170</v>
      </c>
      <c r="AF10" s="6" t="inlineStr">
        <is>
          <t>G894</t>
        </is>
      </c>
      <c r="AG10" s="6" t="inlineStr">
        <is>
          <t>L97529</t>
        </is>
      </c>
      <c r="AH10" s="6" t="n"/>
      <c r="AI10" s="6" t="n"/>
      <c r="AJ10" s="5" t="n"/>
      <c r="AK10" s="6" t="inlineStr">
        <is>
          <t>MEARS, CHAD</t>
        </is>
      </c>
      <c r="AL10" s="6" t="inlineStr">
        <is>
          <t>ASAP Peoria</t>
        </is>
      </c>
      <c r="AM10" s="7" t="n">
        <v>46077</v>
      </c>
      <c r="AN10" s="6" t="inlineStr">
        <is>
          <t>DME</t>
        </is>
      </c>
      <c r="AO10" s="6" t="inlineStr">
        <is>
          <t>128</t>
        </is>
      </c>
    </row>
    <row r="11">
      <c r="A11" s="2" t="n"/>
      <c r="B11" s="3" t="n"/>
      <c r="C11" s="4" t="n">
        <v>46149</v>
      </c>
      <c r="D11" s="5" t="n">
        <v>556897081</v>
      </c>
      <c r="E11" s="6" t="inlineStr">
        <is>
          <t>HF539993491</t>
        </is>
      </c>
      <c r="F11" s="7" t="n">
        <v>46062</v>
      </c>
      <c r="G11" s="6" t="inlineStr">
        <is>
          <t>Alignment Health Care</t>
        </is>
      </c>
      <c r="H11" s="6" t="inlineStr">
        <is>
          <t>Alignment Health Care</t>
        </is>
      </c>
      <c r="I11" s="6" t="inlineStr">
        <is>
          <t>No Payer</t>
        </is>
      </c>
      <c r="J11" s="8" t="inlineStr">
        <is>
          <t>A6023+A2 x20</t>
        </is>
      </c>
      <c r="K11" s="4" t="n"/>
      <c r="L11" s="5">
        <f>IF($O11="","",$O11-TODAY())</f>
        <v/>
      </c>
      <c r="M11" s="5" t="n"/>
      <c r="N11" s="5" t="n"/>
      <c r="O11" s="7" t="n"/>
      <c r="P11" s="6" t="n"/>
      <c r="Q11" s="6" t="inlineStr">
        <is>
          <t>Not on reference list</t>
        </is>
      </c>
      <c r="R11" s="6" t="n"/>
      <c r="S11" s="6" t="n"/>
      <c r="T11" s="6" t="n"/>
      <c r="U11" s="6" t="n"/>
      <c r="V11" s="6" t="inlineStr">
        <is>
          <t>A2</t>
        </is>
      </c>
      <c r="W11" s="6" t="n"/>
      <c r="X11" s="6" t="n"/>
      <c r="Y11" s="6" t="inlineStr">
        <is>
          <t>20</t>
        </is>
      </c>
      <c r="Z11" s="9" t="n">
        <v>5424.4</v>
      </c>
      <c r="AA11" s="9" t="n">
        <v>0</v>
      </c>
      <c r="AB11" s="9" t="n">
        <v>0</v>
      </c>
      <c r="AC11" s="7" t="n">
        <v>46149</v>
      </c>
      <c r="AD11" s="9" t="n">
        <v>5424.4</v>
      </c>
      <c r="AE11" s="5" t="n">
        <v>180</v>
      </c>
      <c r="AF11" s="6" t="inlineStr">
        <is>
          <t>G894</t>
        </is>
      </c>
      <c r="AG11" s="6" t="n"/>
      <c r="AH11" s="6" t="n"/>
      <c r="AI11" s="6" t="n"/>
      <c r="AJ11" s="5" t="n"/>
      <c r="AK11" s="6" t="inlineStr">
        <is>
          <t>TONDINI, JENISE</t>
        </is>
      </c>
      <c r="AL11" s="6" t="inlineStr">
        <is>
          <t>ASAP - Goodyear</t>
        </is>
      </c>
      <c r="AM11" s="7" t="n">
        <v>46063</v>
      </c>
      <c r="AN11" s="6" t="inlineStr">
        <is>
          <t>DME</t>
        </is>
      </c>
      <c r="AO11" s="6" t="inlineStr">
        <is>
          <t>637</t>
        </is>
      </c>
    </row>
    <row r="12">
      <c r="A12" s="2" t="n"/>
      <c r="B12" s="3" t="n"/>
      <c r="C12" s="4" t="n">
        <v>46112</v>
      </c>
      <c r="D12" s="5" t="n">
        <v>553079628</v>
      </c>
      <c r="E12" s="6" t="inlineStr">
        <is>
          <t>HF548333203</t>
        </is>
      </c>
      <c r="F12" s="7" t="n">
        <v>46064</v>
      </c>
      <c r="G12" s="6" t="inlineStr">
        <is>
          <t>Alignment Health Care</t>
        </is>
      </c>
      <c r="H12" s="6" t="inlineStr">
        <is>
          <t>Alignment Health Care</t>
        </is>
      </c>
      <c r="I12" s="6" t="inlineStr">
        <is>
          <t>No Payer</t>
        </is>
      </c>
      <c r="J12" s="8" t="inlineStr">
        <is>
          <t>A6023+A1 x10</t>
        </is>
      </c>
      <c r="K12" s="4" t="n"/>
      <c r="L12" s="5">
        <f>IF($O12="","",$O12-TODAY())</f>
        <v/>
      </c>
      <c r="M12" s="5" t="n"/>
      <c r="N12" s="5" t="n"/>
      <c r="O12" s="7" t="n"/>
      <c r="P12" s="6" t="n"/>
      <c r="Q12" s="6" t="inlineStr">
        <is>
          <t>Not on reference list</t>
        </is>
      </c>
      <c r="R12" s="6" t="n"/>
      <c r="S12" s="6" t="n"/>
      <c r="T12" s="6" t="n"/>
      <c r="U12" s="6" t="n"/>
      <c r="V12" s="6" t="inlineStr">
        <is>
          <t>A1</t>
        </is>
      </c>
      <c r="W12" s="6" t="n"/>
      <c r="X12" s="6" t="n"/>
      <c r="Y12" s="6" t="inlineStr">
        <is>
          <t>10</t>
        </is>
      </c>
      <c r="Z12" s="9" t="n">
        <v>18176.9</v>
      </c>
      <c r="AA12" s="9" t="n">
        <v>0</v>
      </c>
      <c r="AB12" s="9" t="n">
        <v>0</v>
      </c>
      <c r="AC12" s="7" t="n">
        <v>46112</v>
      </c>
      <c r="AD12" s="9" t="n">
        <v>18176.9</v>
      </c>
      <c r="AE12" s="5" t="n">
        <v>178</v>
      </c>
      <c r="AF12" s="6" t="inlineStr">
        <is>
          <t>G894</t>
        </is>
      </c>
      <c r="AG12" s="6" t="inlineStr">
        <is>
          <t>M4326</t>
        </is>
      </c>
      <c r="AH12" s="6" t="n"/>
      <c r="AI12" s="6" t="n"/>
      <c r="AJ12" s="5" t="n"/>
      <c r="AK12" s="6" t="inlineStr">
        <is>
          <t>MCMURDIE, TODD</t>
        </is>
      </c>
      <c r="AL12" s="6" t="inlineStr">
        <is>
          <t>ASAP - Surprise - Reems</t>
        </is>
      </c>
      <c r="AM12" s="7" t="n">
        <v>46099</v>
      </c>
      <c r="AN12" s="6" t="inlineStr">
        <is>
          <t>DME</t>
        </is>
      </c>
      <c r="AO12" s="6" t="inlineStr">
        <is>
          <t>137</t>
        </is>
      </c>
    </row>
  </sheetData>
  <autoFilter ref="A1:AO12"/>
  <conditionalFormatting sqref="L2:L12">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2">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2">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2">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2"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O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inlineStr">
        <is>
          <t>Received</t>
        </is>
      </c>
      <c r="B2" s="3" t="n"/>
      <c r="C2" s="4" t="n">
        <v>46135</v>
      </c>
      <c r="D2" s="5" t="n">
        <v>549217008</v>
      </c>
      <c r="E2" s="6" t="inlineStr">
        <is>
          <t>HF455471322</t>
        </is>
      </c>
      <c r="F2" s="7" t="n">
        <v>46055</v>
      </c>
      <c r="G2" s="6" t="inlineStr">
        <is>
          <t>COMBINED INSURANCE CO OF AMERICA</t>
        </is>
      </c>
      <c r="H2" s="6" t="inlineStr">
        <is>
          <t>Medicare Part B Arizona *</t>
        </is>
      </c>
      <c r="I2" s="6" t="inlineStr">
        <is>
          <t>COMBINED INSURANCE CO OF AMERICA</t>
        </is>
      </c>
      <c r="J2" s="8" t="inlineStr">
        <is>
          <t>75774+26+XU x3; 76937+26 x1; 36248+59 x1; 37242 x1; 36245+59 x1; 36246+59+LT x1; 75710+26+XU+LT x1</t>
        </is>
      </c>
      <c r="K2" s="4" t="n"/>
      <c r="L2" s="5">
        <f>IF($O2="","",$O2-TODAY())</f>
        <v/>
      </c>
      <c r="M2" s="5">
        <f>IF($C2="","",$C2+365-TODAY())</f>
        <v/>
      </c>
      <c r="N2" s="5">
        <f>IF($C2="","",$C2+120-TODAY())</f>
        <v/>
      </c>
      <c r="O2" s="7" t="n">
        <v>46420</v>
      </c>
      <c r="P2" s="6" t="inlineStr">
        <is>
          <t>365 days</t>
        </is>
      </c>
      <c r="Q2" s="6" t="inlineStr">
        <is>
          <t>MEDICARE</t>
        </is>
      </c>
      <c r="R2" s="6" t="inlineStr">
        <is>
          <t>365 days</t>
        </is>
      </c>
      <c r="S2" s="6" t="inlineStr">
        <is>
          <t>Processed date</t>
        </is>
      </c>
      <c r="T2" s="6" t="inlineStr">
        <is>
          <t>120 days</t>
        </is>
      </c>
      <c r="U2" s="6" t="inlineStr">
        <is>
          <t>Processed date</t>
        </is>
      </c>
      <c r="V2" s="6" t="inlineStr">
        <is>
          <t>26, 59</t>
        </is>
      </c>
      <c r="W2" s="6" t="inlineStr">
        <is>
          <t>XU, LT</t>
        </is>
      </c>
      <c r="X2" s="6" t="inlineStr">
        <is>
          <t>LT</t>
        </is>
      </c>
      <c r="Y2" s="6" t="inlineStr">
        <is>
          <t>3, 1</t>
        </is>
      </c>
      <c r="Z2" s="9" t="n">
        <v>67599.91</v>
      </c>
      <c r="AA2" s="9" t="n">
        <v>66731.28999999999</v>
      </c>
      <c r="AB2" s="9" t="n">
        <v>867.75</v>
      </c>
      <c r="AC2" s="7" t="n">
        <v>46135</v>
      </c>
      <c r="AD2" s="9" t="n">
        <v>0.87</v>
      </c>
      <c r="AE2" s="5" t="n">
        <v>187</v>
      </c>
      <c r="AF2" s="6" t="inlineStr">
        <is>
          <t>M1712</t>
        </is>
      </c>
      <c r="AG2" s="6" t="inlineStr">
        <is>
          <t>I798</t>
        </is>
      </c>
      <c r="AH2" s="6" t="inlineStr">
        <is>
          <t>M25562</t>
        </is>
      </c>
      <c r="AI2" s="6" t="n"/>
      <c r="AJ2" s="5" t="n">
        <v>551630132</v>
      </c>
      <c r="AK2" s="6" t="inlineStr">
        <is>
          <t>HUNTER, DREW</t>
        </is>
      </c>
      <c r="AL2" s="6" t="inlineStr">
        <is>
          <t>ASAP Surgery Centers North Valley LLC</t>
        </is>
      </c>
      <c r="AM2" s="7" t="n">
        <v>46064</v>
      </c>
      <c r="AN2" s="6" t="inlineStr">
        <is>
          <t>GAE</t>
        </is>
      </c>
      <c r="AO2" s="6" t="inlineStr">
        <is>
          <t>494, 495, 496, 497, 498, 499, 500</t>
        </is>
      </c>
    </row>
    <row r="3">
      <c r="A3" s="2" t="n"/>
      <c r="B3" s="3" t="n"/>
      <c r="C3" s="4" t="n">
        <v>46155</v>
      </c>
      <c r="D3" s="5" t="n">
        <v>549217692</v>
      </c>
      <c r="E3" s="6" t="inlineStr">
        <is>
          <t>HF460854286</t>
        </is>
      </c>
      <c r="F3" s="7" t="n">
        <v>46055</v>
      </c>
      <c r="G3" s="6" t="inlineStr">
        <is>
          <t>United HealthCare Dual Complete</t>
        </is>
      </c>
      <c r="H3" s="6" t="inlineStr">
        <is>
          <t>United HealthCare Dual Complete</t>
        </is>
      </c>
      <c r="I3" s="6" t="inlineStr">
        <is>
          <t>Mercy Care Health Plan Advantage (AHCCCS)</t>
        </is>
      </c>
      <c r="J3" s="8" t="inlineStr">
        <is>
          <t>75710+26+XU+LT x1; 76937+26 x1; 75774+26+XU x4; 36245+59 x1; 36248+59 x3</t>
        </is>
      </c>
      <c r="K3" s="4" t="n"/>
      <c r="L3" s="5">
        <f>IF($O3="","",$O3-TODAY())</f>
        <v/>
      </c>
      <c r="M3" s="5">
        <f>IF($C3="","",$C3+180-TODAY())</f>
        <v/>
      </c>
      <c r="N3" s="5">
        <f>IF($C3="","",$C3+365-TODAY())</f>
        <v/>
      </c>
      <c r="O3" s="7" t="n">
        <v>46420</v>
      </c>
      <c r="P3" s="6" t="inlineStr">
        <is>
          <t>365 days</t>
        </is>
      </c>
      <c r="Q3" s="6" t="inlineStr">
        <is>
          <t>UHC DUAL COMPLETE</t>
        </is>
      </c>
      <c r="R3" s="6" t="inlineStr">
        <is>
          <t>180 days</t>
        </is>
      </c>
      <c r="S3" s="6" t="inlineStr">
        <is>
          <t>Processed date</t>
        </is>
      </c>
      <c r="T3" s="6" t="inlineStr">
        <is>
          <t>365 days</t>
        </is>
      </c>
      <c r="U3" s="6" t="inlineStr">
        <is>
          <t>Processed date</t>
        </is>
      </c>
      <c r="V3" s="6" t="inlineStr">
        <is>
          <t>26, 59</t>
        </is>
      </c>
      <c r="W3" s="6" t="inlineStr">
        <is>
          <t>XU</t>
        </is>
      </c>
      <c r="X3" s="6" t="inlineStr">
        <is>
          <t>LT</t>
        </is>
      </c>
      <c r="Y3" s="6" t="inlineStr">
        <is>
          <t>1, 4, 3</t>
        </is>
      </c>
      <c r="Z3" s="9" t="n">
        <v>14982.38</v>
      </c>
      <c r="AA3" s="9" t="n">
        <v>0</v>
      </c>
      <c r="AB3" s="9" t="n">
        <v>0</v>
      </c>
      <c r="AC3" s="7" t="n">
        <v>46155</v>
      </c>
      <c r="AD3" s="9" t="n">
        <v>14982.38</v>
      </c>
      <c r="AE3" s="5" t="n">
        <v>187</v>
      </c>
      <c r="AF3" s="6" t="inlineStr">
        <is>
          <t>M1712</t>
        </is>
      </c>
      <c r="AG3" s="6" t="inlineStr">
        <is>
          <t>I798</t>
        </is>
      </c>
      <c r="AH3" s="6" t="inlineStr">
        <is>
          <t>M25562</t>
        </is>
      </c>
      <c r="AI3" s="6" t="n"/>
      <c r="AJ3" s="5" t="n"/>
      <c r="AK3" s="6" t="inlineStr">
        <is>
          <t>HUNTER, DREW</t>
        </is>
      </c>
      <c r="AL3" s="6" t="inlineStr">
        <is>
          <t>ASAP Surgery Centers North Valley LLC</t>
        </is>
      </c>
      <c r="AM3" s="7" t="n">
        <v>46064</v>
      </c>
      <c r="AN3" s="6" t="inlineStr">
        <is>
          <t>GAE</t>
        </is>
      </c>
      <c r="AO3" s="6" t="inlineStr">
        <is>
          <t>695, 696, 754, 755, 756</t>
        </is>
      </c>
    </row>
    <row r="4">
      <c r="A4" s="2" t="n"/>
      <c r="B4" s="3" t="n"/>
      <c r="C4" s="4" t="n">
        <v>46126</v>
      </c>
      <c r="D4" s="5" t="n">
        <v>549219539</v>
      </c>
      <c r="E4" s="6" t="inlineStr">
        <is>
          <t>HF538917701</t>
        </is>
      </c>
      <c r="F4" s="7" t="n">
        <v>46062</v>
      </c>
      <c r="G4" s="6" t="inlineStr">
        <is>
          <t>Medicare Part B Arizona *</t>
        </is>
      </c>
      <c r="H4" s="6" t="inlineStr">
        <is>
          <t>Medicare Part B Arizona *</t>
        </is>
      </c>
      <c r="I4" s="6" t="inlineStr">
        <is>
          <t>AARP United Healthcare</t>
        </is>
      </c>
      <c r="J4" s="8" t="inlineStr">
        <is>
          <t>76937+26 x3</t>
        </is>
      </c>
      <c r="K4" s="4" t="n"/>
      <c r="L4" s="5">
        <f>IF($O4="","",$O4-TODAY())</f>
        <v/>
      </c>
      <c r="M4" s="5">
        <f>IF($C4="","",$C4+365-TODAY())</f>
        <v/>
      </c>
      <c r="N4" s="5">
        <f>IF($C4="","",$C4+120-TODAY())</f>
        <v/>
      </c>
      <c r="O4" s="7" t="n">
        <v>46427</v>
      </c>
      <c r="P4" s="6" t="inlineStr">
        <is>
          <t>365 days</t>
        </is>
      </c>
      <c r="Q4" s="6" t="inlineStr">
        <is>
          <t>MEDICARE</t>
        </is>
      </c>
      <c r="R4" s="6" t="inlineStr">
        <is>
          <t>365 days</t>
        </is>
      </c>
      <c r="S4" s="6" t="inlineStr">
        <is>
          <t>Processed date</t>
        </is>
      </c>
      <c r="T4" s="6" t="inlineStr">
        <is>
          <t>120 days</t>
        </is>
      </c>
      <c r="U4" s="6" t="inlineStr">
        <is>
          <t>Processed date</t>
        </is>
      </c>
      <c r="V4" s="6" t="inlineStr">
        <is>
          <t>26</t>
        </is>
      </c>
      <c r="W4" s="6" t="n"/>
      <c r="X4" s="6" t="n"/>
      <c r="Y4" s="6" t="inlineStr">
        <is>
          <t>3</t>
        </is>
      </c>
      <c r="Z4" s="9" t="n">
        <v>813.54</v>
      </c>
      <c r="AA4" s="9" t="n">
        <v>0</v>
      </c>
      <c r="AB4" s="9" t="n">
        <v>0</v>
      </c>
      <c r="AC4" s="7" t="n">
        <v>46126</v>
      </c>
      <c r="AD4" s="9" t="n">
        <v>813.54</v>
      </c>
      <c r="AE4" s="5" t="n">
        <v>180</v>
      </c>
      <c r="AF4" s="6" t="inlineStr">
        <is>
          <t>M25562</t>
        </is>
      </c>
      <c r="AG4" s="6" t="inlineStr">
        <is>
          <t>I798</t>
        </is>
      </c>
      <c r="AH4" s="6" t="n"/>
      <c r="AI4" s="6" t="n"/>
      <c r="AJ4" s="5" t="n"/>
      <c r="AK4" s="6" t="inlineStr">
        <is>
          <t>HUNTER, DREW</t>
        </is>
      </c>
      <c r="AL4" s="6" t="inlineStr">
        <is>
          <t>Premier Endoscopy Center, LLC</t>
        </is>
      </c>
      <c r="AM4" s="7" t="n">
        <v>46065</v>
      </c>
      <c r="AN4" s="6" t="inlineStr">
        <is>
          <t>GAE</t>
        </is>
      </c>
      <c r="AO4" s="6" t="inlineStr">
        <is>
          <t>127</t>
        </is>
      </c>
    </row>
    <row r="5">
      <c r="A5" s="2" t="n"/>
      <c r="B5" s="3" t="n"/>
      <c r="C5" s="4" t="n">
        <v>46155</v>
      </c>
      <c r="D5" s="5" t="n">
        <v>551974048</v>
      </c>
      <c r="E5" s="6" t="inlineStr">
        <is>
          <t>HF460854286</t>
        </is>
      </c>
      <c r="F5" s="7" t="n">
        <v>46069</v>
      </c>
      <c r="G5" s="6" t="inlineStr">
        <is>
          <t>United HealthCare Dual Complete</t>
        </is>
      </c>
      <c r="H5" s="6" t="inlineStr">
        <is>
          <t>United HealthCare Dual Complete</t>
        </is>
      </c>
      <c r="I5" s="6" t="inlineStr">
        <is>
          <t>Mercy Care Health Plan Advantage (AHCCCS)</t>
        </is>
      </c>
      <c r="J5" s="8" t="inlineStr">
        <is>
          <t>75774+26+XU x5; 75710+26+XU+RT x1; 36245+59 x1</t>
        </is>
      </c>
      <c r="K5" s="4" t="n"/>
      <c r="L5" s="5">
        <f>IF($O5="","",$O5-TODAY())</f>
        <v/>
      </c>
      <c r="M5" s="5">
        <f>IF($C5="","",$C5+180-TODAY())</f>
        <v/>
      </c>
      <c r="N5" s="5">
        <f>IF($C5="","",$C5+365-TODAY())</f>
        <v/>
      </c>
      <c r="O5" s="7" t="n">
        <v>46434</v>
      </c>
      <c r="P5" s="6" t="inlineStr">
        <is>
          <t>365 days</t>
        </is>
      </c>
      <c r="Q5" s="6" t="inlineStr">
        <is>
          <t>UHC DUAL COMPLETE</t>
        </is>
      </c>
      <c r="R5" s="6" t="inlineStr">
        <is>
          <t>180 days</t>
        </is>
      </c>
      <c r="S5" s="6" t="inlineStr">
        <is>
          <t>Processed date</t>
        </is>
      </c>
      <c r="T5" s="6" t="inlineStr">
        <is>
          <t>365 days</t>
        </is>
      </c>
      <c r="U5" s="6" t="inlineStr">
        <is>
          <t>Processed date</t>
        </is>
      </c>
      <c r="V5" s="6" t="inlineStr">
        <is>
          <t>26, 59</t>
        </is>
      </c>
      <c r="W5" s="6" t="inlineStr">
        <is>
          <t>XU</t>
        </is>
      </c>
      <c r="X5" s="6" t="inlineStr">
        <is>
          <t>RT</t>
        </is>
      </c>
      <c r="Y5" s="6" t="inlineStr">
        <is>
          <t>5, 1</t>
        </is>
      </c>
      <c r="Z5" s="9" t="n">
        <v>12959.73</v>
      </c>
      <c r="AA5" s="9" t="n">
        <v>0</v>
      </c>
      <c r="AB5" s="9" t="n">
        <v>0</v>
      </c>
      <c r="AC5" s="7" t="n">
        <v>46155</v>
      </c>
      <c r="AD5" s="9" t="n">
        <v>12959.73</v>
      </c>
      <c r="AE5" s="5" t="n">
        <v>173</v>
      </c>
      <c r="AF5" s="6" t="inlineStr">
        <is>
          <t>M1711</t>
        </is>
      </c>
      <c r="AG5" s="6" t="inlineStr">
        <is>
          <t>I798</t>
        </is>
      </c>
      <c r="AH5" s="6" t="inlineStr">
        <is>
          <t>M25561</t>
        </is>
      </c>
      <c r="AI5" s="6" t="n"/>
      <c r="AJ5" s="5" t="n"/>
      <c r="AK5" s="6" t="inlineStr">
        <is>
          <t>HUNTER, DREW</t>
        </is>
      </c>
      <c r="AL5" s="6" t="inlineStr">
        <is>
          <t>ASAP Surgery Centers North Valley LLC</t>
        </is>
      </c>
      <c r="AM5" s="7" t="n">
        <v>46090</v>
      </c>
      <c r="AN5" s="6" t="inlineStr">
        <is>
          <t>GAE</t>
        </is>
      </c>
      <c r="AO5" s="6" t="inlineStr">
        <is>
          <t>297, 298, 299</t>
        </is>
      </c>
    </row>
    <row r="6">
      <c r="A6" s="2" t="n"/>
      <c r="B6" s="3" t="n"/>
      <c r="C6" s="4" t="n">
        <v>46154</v>
      </c>
      <c r="D6" s="5" t="n">
        <v>557784595</v>
      </c>
      <c r="E6" s="6" t="inlineStr">
        <is>
          <t>HF489558936</t>
        </is>
      </c>
      <c r="F6" s="7" t="n">
        <v>46069</v>
      </c>
      <c r="G6" s="6" t="inlineStr">
        <is>
          <t>Blue Cross Blue Shield of Arizona (BCBS AZ)</t>
        </is>
      </c>
      <c r="H6" s="6" t="inlineStr">
        <is>
          <t>Blue Cross Blue Shield of Arizona (BCBS AZ)</t>
        </is>
      </c>
      <c r="I6" s="6" t="inlineStr">
        <is>
          <t>No Payer</t>
        </is>
      </c>
      <c r="J6" s="8" t="inlineStr">
        <is>
          <t>36246+59+RT x1; 75710+XU+RT x1; 76937 x1; 75774+XU x4; 36248+59 x3; 37242 x1</t>
        </is>
      </c>
      <c r="K6" s="4" t="n"/>
      <c r="L6" s="5">
        <f>IF($O6="","",$O6-TODAY())</f>
        <v/>
      </c>
      <c r="M6" s="5">
        <f>IF($C6="","",$C6+365-TODAY())</f>
        <v/>
      </c>
      <c r="N6" s="5">
        <f>IF($C6="","",$C6+365-TODAY())</f>
        <v/>
      </c>
      <c r="O6" s="7" t="n">
        <v>46159</v>
      </c>
      <c r="P6" s="6" t="inlineStr">
        <is>
          <t>90 days</t>
        </is>
      </c>
      <c r="Q6" s="6" t="inlineStr">
        <is>
          <t>BCBS</t>
        </is>
      </c>
      <c r="R6" s="6" t="inlineStr">
        <is>
          <t>365 days</t>
        </is>
      </c>
      <c r="S6" s="6" t="inlineStr">
        <is>
          <t>Processed date</t>
        </is>
      </c>
      <c r="T6" s="6" t="inlineStr">
        <is>
          <t>365 days</t>
        </is>
      </c>
      <c r="U6" s="6" t="inlineStr">
        <is>
          <t>Processed date</t>
        </is>
      </c>
      <c r="V6" s="6" t="inlineStr">
        <is>
          <t>59, XU</t>
        </is>
      </c>
      <c r="W6" s="6" t="inlineStr">
        <is>
          <t>RT</t>
        </is>
      </c>
      <c r="X6" s="6" t="n"/>
      <c r="Y6" s="6" t="inlineStr">
        <is>
          <t>1, 4, 3</t>
        </is>
      </c>
      <c r="Z6" s="9" t="n">
        <v>61320.35</v>
      </c>
      <c r="AA6" s="9" t="n">
        <v>0</v>
      </c>
      <c r="AB6" s="9" t="n">
        <v>0</v>
      </c>
      <c r="AC6" s="7" t="n">
        <v>46154</v>
      </c>
      <c r="AD6" s="9" t="n">
        <v>61320.35</v>
      </c>
      <c r="AE6" s="5" t="n">
        <v>173</v>
      </c>
      <c r="AF6" s="6" t="inlineStr">
        <is>
          <t>M1711</t>
        </is>
      </c>
      <c r="AG6" s="6" t="inlineStr">
        <is>
          <t>I798</t>
        </is>
      </c>
      <c r="AH6" s="6" t="inlineStr">
        <is>
          <t>M25561</t>
        </is>
      </c>
      <c r="AI6" s="6" t="n"/>
      <c r="AJ6" s="5" t="n"/>
      <c r="AK6" s="6" t="inlineStr">
        <is>
          <t>HUNTER, DREW</t>
        </is>
      </c>
      <c r="AL6" s="6" t="inlineStr">
        <is>
          <t>ASAP - DEER VALLEY</t>
        </is>
      </c>
      <c r="AM6" s="7" t="n">
        <v>46090</v>
      </c>
      <c r="AN6" s="6" t="inlineStr">
        <is>
          <t>GAE</t>
        </is>
      </c>
      <c r="AO6" s="6" t="inlineStr">
        <is>
          <t>481, 482, 483, 484, 485, 486</t>
        </is>
      </c>
    </row>
  </sheetData>
  <autoFilter ref="A1:AO6"/>
  <conditionalFormatting sqref="L2:L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6">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6">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6">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O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inlineStr">
        <is>
          <t>Finalized</t>
        </is>
      </c>
      <c r="B2" s="3" t="n"/>
      <c r="C2" s="4" t="n">
        <v>46128</v>
      </c>
      <c r="D2" s="5" t="n">
        <v>549835748</v>
      </c>
      <c r="E2" s="6" t="inlineStr">
        <is>
          <t>HF546941796</t>
        </is>
      </c>
      <c r="F2" s="7" t="n">
        <v>46070</v>
      </c>
      <c r="G2" s="6" t="inlineStr">
        <is>
          <t>Physicians Mutual Insurance Company - ENS</t>
        </is>
      </c>
      <c r="H2" s="6" t="inlineStr">
        <is>
          <t>Medicare Part B Arizona *</t>
        </is>
      </c>
      <c r="I2" s="6" t="inlineStr">
        <is>
          <t>Physicians Mutual Insurance Company - ENS</t>
        </is>
      </c>
      <c r="J2" s="8" t="inlineStr">
        <is>
          <t>63685 x1</t>
        </is>
      </c>
      <c r="K2" s="4" t="n"/>
      <c r="L2" s="5">
        <f>IF($O2="","",$O2-TODAY())</f>
        <v/>
      </c>
      <c r="M2" s="5">
        <f>IF($C2="","",$C2+365-TODAY())</f>
        <v/>
      </c>
      <c r="N2" s="5">
        <f>IF($C2="","",$C2+120-TODAY())</f>
        <v/>
      </c>
      <c r="O2" s="7" t="n">
        <v>46435</v>
      </c>
      <c r="P2" s="6" t="inlineStr">
        <is>
          <t>365 days</t>
        </is>
      </c>
      <c r="Q2" s="6" t="inlineStr">
        <is>
          <t>MEDICARE</t>
        </is>
      </c>
      <c r="R2" s="6" t="inlineStr">
        <is>
          <t>365 days</t>
        </is>
      </c>
      <c r="S2" s="6" t="inlineStr">
        <is>
          <t>Processed date</t>
        </is>
      </c>
      <c r="T2" s="6" t="inlineStr">
        <is>
          <t>120 days</t>
        </is>
      </c>
      <c r="U2" s="6" t="inlineStr">
        <is>
          <t>Processed date</t>
        </is>
      </c>
      <c r="V2" s="6" t="n"/>
      <c r="W2" s="6" t="n"/>
      <c r="X2" s="6" t="n"/>
      <c r="Y2" s="6" t="inlineStr">
        <is>
          <t>1</t>
        </is>
      </c>
      <c r="Z2" s="9" t="n">
        <v>2493.33</v>
      </c>
      <c r="AA2" s="9" t="n">
        <v>2340.02</v>
      </c>
      <c r="AB2" s="9" t="n">
        <v>153.15</v>
      </c>
      <c r="AC2" s="7" t="n">
        <v>46128</v>
      </c>
      <c r="AD2" s="9" t="n">
        <v>0.16</v>
      </c>
      <c r="AE2" s="5" t="n">
        <v>172</v>
      </c>
      <c r="AF2" s="6" t="inlineStr">
        <is>
          <t>M961</t>
        </is>
      </c>
      <c r="AG2" s="6" t="inlineStr">
        <is>
          <t>G90523</t>
        </is>
      </c>
      <c r="AH2" s="6" t="n"/>
      <c r="AI2" s="6" t="n"/>
      <c r="AJ2" s="5" t="n">
        <v>557765015</v>
      </c>
      <c r="AK2" s="6" t="inlineStr">
        <is>
          <t>KRAUSE, JEFFREY</t>
        </is>
      </c>
      <c r="AL2" s="6" t="inlineStr">
        <is>
          <t>ASAP Surgery Centers North Valley LLC</t>
        </is>
      </c>
      <c r="AM2" s="7" t="n">
        <v>46072</v>
      </c>
      <c r="AN2" s="6" t="inlineStr">
        <is>
          <t>ORTHO</t>
        </is>
      </c>
      <c r="AO2" s="6" t="inlineStr">
        <is>
          <t>316</t>
        </is>
      </c>
    </row>
    <row r="3">
      <c r="A3" s="2" t="inlineStr">
        <is>
          <t>Finalized</t>
        </is>
      </c>
      <c r="B3" s="3" t="n"/>
      <c r="C3" s="4" t="n">
        <v>46091</v>
      </c>
      <c r="D3" s="5" t="n">
        <v>550306697</v>
      </c>
      <c r="E3" s="6" t="inlineStr">
        <is>
          <t>HF444976688</t>
        </is>
      </c>
      <c r="F3" s="7" t="n">
        <v>46073</v>
      </c>
      <c r="G3" s="6" t="inlineStr">
        <is>
          <t>Blue Cross Blue Shield of Arizona (BCBS AZ)</t>
        </is>
      </c>
      <c r="H3" s="6" t="inlineStr">
        <is>
          <t>Medicare Part B Arizona *</t>
        </is>
      </c>
      <c r="I3" s="6" t="inlineStr">
        <is>
          <t>Blue Cross Blue Shield of Arizona (BCBS AZ)</t>
        </is>
      </c>
      <c r="J3" s="8" t="inlineStr">
        <is>
          <t>63685 x1</t>
        </is>
      </c>
      <c r="K3" s="4" t="n"/>
      <c r="L3" s="5">
        <f>IF($O3="","",$O3-TODAY())</f>
        <v/>
      </c>
      <c r="M3" s="5">
        <f>IF($C3="","",$C3+365-TODAY())</f>
        <v/>
      </c>
      <c r="N3" s="5">
        <f>IF($C3="","",$C3+120-TODAY())</f>
        <v/>
      </c>
      <c r="O3" s="7" t="n">
        <v>46438</v>
      </c>
      <c r="P3" s="6" t="inlineStr">
        <is>
          <t>365 days</t>
        </is>
      </c>
      <c r="Q3" s="6" t="inlineStr">
        <is>
          <t>MEDICARE</t>
        </is>
      </c>
      <c r="R3" s="6" t="inlineStr">
        <is>
          <t>365 days</t>
        </is>
      </c>
      <c r="S3" s="6" t="inlineStr">
        <is>
          <t>Processed date</t>
        </is>
      </c>
      <c r="T3" s="6" t="inlineStr">
        <is>
          <t>120 days</t>
        </is>
      </c>
      <c r="U3" s="6" t="inlineStr">
        <is>
          <t>Processed date</t>
        </is>
      </c>
      <c r="V3" s="6" t="n"/>
      <c r="W3" s="6" t="n"/>
      <c r="X3" s="6" t="n"/>
      <c r="Y3" s="6" t="inlineStr">
        <is>
          <t>1</t>
        </is>
      </c>
      <c r="Z3" s="9" t="n">
        <v>2493.33</v>
      </c>
      <c r="AA3" s="9" t="n">
        <v>2340.79</v>
      </c>
      <c r="AB3" s="9" t="n">
        <v>121.54</v>
      </c>
      <c r="AC3" s="7" t="n">
        <v>46091</v>
      </c>
      <c r="AD3" s="9" t="n">
        <v>31</v>
      </c>
      <c r="AE3" s="5" t="n">
        <v>169</v>
      </c>
      <c r="AF3" s="6" t="inlineStr">
        <is>
          <t>M961</t>
        </is>
      </c>
      <c r="AG3" s="6" t="n"/>
      <c r="AH3" s="6" t="n"/>
      <c r="AI3" s="6" t="n"/>
      <c r="AJ3" s="5" t="n">
        <v>562575912</v>
      </c>
      <c r="AK3" s="6" t="inlineStr">
        <is>
          <t>CURRIE, DAVID</t>
        </is>
      </c>
      <c r="AL3" s="6" t="inlineStr">
        <is>
          <t>Premier Endoscopy Center, LLC</t>
        </is>
      </c>
      <c r="AM3" s="7" t="n">
        <v>46077</v>
      </c>
      <c r="AN3" s="6" t="inlineStr">
        <is>
          <t>ORTHO</t>
        </is>
      </c>
      <c r="AO3" s="6" t="inlineStr">
        <is>
          <t>284</t>
        </is>
      </c>
    </row>
    <row r="4">
      <c r="A4" s="2" t="n"/>
      <c r="B4" s="3" t="n"/>
      <c r="C4" s="4" t="n">
        <v>46202</v>
      </c>
      <c r="D4" s="5" t="n">
        <v>563073824</v>
      </c>
      <c r="E4" s="6" t="inlineStr">
        <is>
          <t>HF544045379</t>
        </is>
      </c>
      <c r="F4" s="7" t="n">
        <v>46079</v>
      </c>
      <c r="G4" s="6" t="inlineStr">
        <is>
          <t>Mutual of Omaha Medicare Advantage OFAP</t>
        </is>
      </c>
      <c r="H4" s="6" t="inlineStr">
        <is>
          <t>Medicare Part B Arizona *</t>
        </is>
      </c>
      <c r="I4" s="6" t="inlineStr">
        <is>
          <t>Mutual of Omaha Medicare Advantage OFAP</t>
        </is>
      </c>
      <c r="J4" s="8" t="inlineStr">
        <is>
          <t>63030+LT x1; 63047 x1; 63030+RT x1</t>
        </is>
      </c>
      <c r="K4" s="4" t="n"/>
      <c r="L4" s="5">
        <f>IF($O4="","",$O4-TODAY())</f>
        <v/>
      </c>
      <c r="M4" s="5">
        <f>IF($C4="","",$C4+365-TODAY())</f>
        <v/>
      </c>
      <c r="N4" s="5">
        <f>IF($C4="","",$C4+120-TODAY())</f>
        <v/>
      </c>
      <c r="O4" s="7" t="n">
        <v>46444</v>
      </c>
      <c r="P4" s="6" t="inlineStr">
        <is>
          <t>365 days</t>
        </is>
      </c>
      <c r="Q4" s="6" t="inlineStr">
        <is>
          <t>MEDICARE</t>
        </is>
      </c>
      <c r="R4" s="6" t="inlineStr">
        <is>
          <t>365 days</t>
        </is>
      </c>
      <c r="S4" s="6" t="inlineStr">
        <is>
          <t>Processed date</t>
        </is>
      </c>
      <c r="T4" s="6" t="inlineStr">
        <is>
          <t>120 days</t>
        </is>
      </c>
      <c r="U4" s="6" t="inlineStr">
        <is>
          <t>Processed date</t>
        </is>
      </c>
      <c r="V4" s="6" t="inlineStr">
        <is>
          <t>LT, RT</t>
        </is>
      </c>
      <c r="W4" s="6" t="n"/>
      <c r="X4" s="6" t="n"/>
      <c r="Y4" s="6" t="inlineStr">
        <is>
          <t>1</t>
        </is>
      </c>
      <c r="Z4" s="9" t="n">
        <v>20217.61</v>
      </c>
      <c r="AA4" s="9" t="n">
        <v>0</v>
      </c>
      <c r="AB4" s="9" t="n">
        <v>1013.09</v>
      </c>
      <c r="AC4" s="7" t="n">
        <v>46202</v>
      </c>
      <c r="AD4" s="9" t="n">
        <v>19204.52</v>
      </c>
      <c r="AE4" s="5" t="n">
        <v>163</v>
      </c>
      <c r="AF4" s="6" t="inlineStr">
        <is>
          <t>M48062</t>
        </is>
      </c>
      <c r="AG4" s="6" t="inlineStr">
        <is>
          <t>M5416</t>
        </is>
      </c>
      <c r="AH4" s="6" t="inlineStr">
        <is>
          <t>M5126</t>
        </is>
      </c>
      <c r="AI4" s="6" t="inlineStr">
        <is>
          <t>M51362</t>
        </is>
      </c>
      <c r="AJ4" s="5" t="n">
        <v>554801761</v>
      </c>
      <c r="AK4" s="6" t="inlineStr">
        <is>
          <t>LUKE, TIMOTHY</t>
        </is>
      </c>
      <c r="AL4" s="6" t="inlineStr">
        <is>
          <t>ASAP Surgery Centers North Valley LLC</t>
        </is>
      </c>
      <c r="AM4" s="7" t="n">
        <v>46093</v>
      </c>
      <c r="AN4" s="6" t="inlineStr">
        <is>
          <t>ORTHO</t>
        </is>
      </c>
      <c r="AO4" s="6" t="inlineStr">
        <is>
          <t>21, 22, 23</t>
        </is>
      </c>
    </row>
    <row r="5">
      <c r="A5" s="2" t="n"/>
      <c r="B5" s="3" t="n"/>
      <c r="C5" s="4" t="n">
        <v>46147</v>
      </c>
      <c r="D5" s="5" t="n">
        <v>555677002</v>
      </c>
      <c r="E5" s="6" t="inlineStr">
        <is>
          <t>HF540909294</t>
        </is>
      </c>
      <c r="F5" s="7" t="n">
        <v>46059</v>
      </c>
      <c r="G5" s="6" t="inlineStr">
        <is>
          <t>Humana Gold Plus HMO</t>
        </is>
      </c>
      <c r="H5" s="6" t="inlineStr">
        <is>
          <t>Humana Gold Plus HMO</t>
        </is>
      </c>
      <c r="I5" s="6" t="inlineStr">
        <is>
          <t>No Payer</t>
        </is>
      </c>
      <c r="J5" s="8" t="inlineStr">
        <is>
          <t>63048 x1; 63047 x1</t>
        </is>
      </c>
      <c r="K5" s="4" t="n"/>
      <c r="L5" s="5">
        <f>IF($O5="","",$O5-TODAY())</f>
        <v/>
      </c>
      <c r="M5" s="5">
        <f>IF($F5="","",$F5+90-TODAY())</f>
        <v/>
      </c>
      <c r="N5" s="5">
        <f>IF($C5="","",$C5+60-TODAY())</f>
        <v/>
      </c>
      <c r="O5" s="7" t="n">
        <v>46149</v>
      </c>
      <c r="P5" s="6" t="inlineStr">
        <is>
          <t>90 days</t>
        </is>
      </c>
      <c r="Q5" s="6" t="inlineStr">
        <is>
          <t>HUMANA MA</t>
        </is>
      </c>
      <c r="R5" s="6" t="inlineStr">
        <is>
          <t>90 days</t>
        </is>
      </c>
      <c r="S5" s="6" t="inlineStr">
        <is>
          <t>Date of service</t>
        </is>
      </c>
      <c r="T5" s="6" t="inlineStr">
        <is>
          <t>60 days</t>
        </is>
      </c>
      <c r="U5" s="6" t="inlineStr">
        <is>
          <t>Processed date</t>
        </is>
      </c>
      <c r="V5" s="6" t="n"/>
      <c r="W5" s="6" t="n"/>
      <c r="X5" s="6" t="n"/>
      <c r="Y5" s="6" t="inlineStr">
        <is>
          <t>1</t>
        </is>
      </c>
      <c r="Z5" s="9" t="n">
        <v>9056.389999999999</v>
      </c>
      <c r="AA5" s="9" t="n">
        <v>0</v>
      </c>
      <c r="AB5" s="9" t="n">
        <v>0</v>
      </c>
      <c r="AC5" s="7" t="n">
        <v>46147</v>
      </c>
      <c r="AD5" s="9" t="n">
        <v>9056.389999999999</v>
      </c>
      <c r="AE5" s="5" t="n">
        <v>183</v>
      </c>
      <c r="AF5" s="6" t="inlineStr">
        <is>
          <t>M48062</t>
        </is>
      </c>
      <c r="AG5" s="6" t="n"/>
      <c r="AH5" s="6" t="n"/>
      <c r="AI5" s="6" t="n"/>
      <c r="AJ5" s="5" t="n"/>
      <c r="AK5" s="6" t="inlineStr">
        <is>
          <t>O'NEIL, ROY</t>
        </is>
      </c>
      <c r="AL5" s="6" t="inlineStr">
        <is>
          <t>ASAP Surgery Centers North Valley LLC</t>
        </is>
      </c>
      <c r="AM5" s="7" t="n">
        <v>46065</v>
      </c>
      <c r="AN5" s="6" t="inlineStr">
        <is>
          <t>ORTHO</t>
        </is>
      </c>
      <c r="AO5" s="6" t="inlineStr">
        <is>
          <t>106, 107</t>
        </is>
      </c>
    </row>
    <row r="6">
      <c r="A6" s="2" t="n"/>
      <c r="B6" s="3" t="n"/>
      <c r="C6" s="4" t="n">
        <v>46142</v>
      </c>
      <c r="D6" s="5" t="n">
        <v>551412333</v>
      </c>
      <c r="E6" s="6" t="inlineStr">
        <is>
          <t>HF500464709</t>
        </is>
      </c>
      <c r="F6" s="7" t="n">
        <v>46072</v>
      </c>
      <c r="G6" s="6" t="inlineStr">
        <is>
          <t>UHC Group Medicare Advantage</t>
        </is>
      </c>
      <c r="H6" s="6" t="inlineStr">
        <is>
          <t>UHC Group Medicare Advantage</t>
        </is>
      </c>
      <c r="I6" s="6" t="inlineStr">
        <is>
          <t>No Payer</t>
        </is>
      </c>
      <c r="J6" s="8" t="inlineStr">
        <is>
          <t>63030+50 x1</t>
        </is>
      </c>
      <c r="K6" s="4" t="n"/>
      <c r="L6" s="5">
        <f>IF($O6="","",$O6-TODAY())</f>
        <v/>
      </c>
      <c r="M6" s="5">
        <f>IF($C6="","",$C6+180-TODAY())</f>
        <v/>
      </c>
      <c r="N6" s="5">
        <f>IF($C6="","",$C6+365-TODAY())</f>
        <v/>
      </c>
      <c r="O6" s="7" t="n">
        <v>46162</v>
      </c>
      <c r="P6" s="6" t="inlineStr">
        <is>
          <t>90 days</t>
        </is>
      </c>
      <c r="Q6" s="6" t="inlineStr">
        <is>
          <t>UHC MA</t>
        </is>
      </c>
      <c r="R6" s="6" t="inlineStr">
        <is>
          <t>180 days</t>
        </is>
      </c>
      <c r="S6" s="6" t="inlineStr">
        <is>
          <t>Processed date</t>
        </is>
      </c>
      <c r="T6" s="6" t="inlineStr">
        <is>
          <t>365 days</t>
        </is>
      </c>
      <c r="U6" s="6" t="inlineStr">
        <is>
          <t>Processed date</t>
        </is>
      </c>
      <c r="V6" s="6" t="inlineStr">
        <is>
          <t>50</t>
        </is>
      </c>
      <c r="W6" s="6" t="n"/>
      <c r="X6" s="6" t="n"/>
      <c r="Y6" s="6" t="inlineStr">
        <is>
          <t>1</t>
        </is>
      </c>
      <c r="Z6" s="9" t="n">
        <v>6297.27</v>
      </c>
      <c r="AA6" s="9" t="n">
        <v>0</v>
      </c>
      <c r="AB6" s="9" t="n">
        <v>0</v>
      </c>
      <c r="AC6" s="7" t="n">
        <v>46142</v>
      </c>
      <c r="AD6" s="9" t="n">
        <v>6297.27</v>
      </c>
      <c r="AE6" s="5" t="n">
        <v>170</v>
      </c>
      <c r="AF6" s="6" t="inlineStr">
        <is>
          <t>M48062</t>
        </is>
      </c>
      <c r="AG6" s="6" t="inlineStr">
        <is>
          <t>M5416</t>
        </is>
      </c>
      <c r="AH6" s="6" t="inlineStr">
        <is>
          <t>M5126</t>
        </is>
      </c>
      <c r="AI6" s="6" t="inlineStr">
        <is>
          <t>M51362</t>
        </is>
      </c>
      <c r="AJ6" s="5" t="n"/>
      <c r="AK6" s="6" t="inlineStr">
        <is>
          <t>LUKE, TIMOTHY</t>
        </is>
      </c>
      <c r="AL6" s="6" t="inlineStr">
        <is>
          <t>ASAP Surgery Centers North Valley LLC</t>
        </is>
      </c>
      <c r="AM6" s="7" t="n">
        <v>46084</v>
      </c>
      <c r="AN6" s="6" t="inlineStr">
        <is>
          <t>ORTHO</t>
        </is>
      </c>
      <c r="AO6" s="6" t="inlineStr">
        <is>
          <t>449</t>
        </is>
      </c>
    </row>
    <row r="7">
      <c r="A7" s="2" t="n"/>
      <c r="B7" s="3" t="n"/>
      <c r="C7" s="4" t="n">
        <v>46212</v>
      </c>
      <c r="D7" s="5" t="n">
        <v>563274947</v>
      </c>
      <c r="E7" s="6" t="inlineStr">
        <is>
          <t>HF513477727</t>
        </is>
      </c>
      <c r="F7" s="7" t="n">
        <v>46079</v>
      </c>
      <c r="G7" s="6" t="inlineStr">
        <is>
          <t>Blue Cross Blue Shield of Arizona (BCBS AZ)</t>
        </is>
      </c>
      <c r="H7" s="6" t="inlineStr">
        <is>
          <t>Blue Cross Blue Shield of Arizona (BCBS AZ)</t>
        </is>
      </c>
      <c r="I7" s="6" t="inlineStr">
        <is>
          <t>No Payer</t>
        </is>
      </c>
      <c r="J7" s="8" t="inlineStr">
        <is>
          <t>22845+59 x1; 22853 x1</t>
        </is>
      </c>
      <c r="K7" s="4" t="n"/>
      <c r="L7" s="5">
        <f>IF($O7="","",$O7-TODAY())</f>
        <v/>
      </c>
      <c r="M7" s="5">
        <f>IF($C7="","",$C7+365-TODAY())</f>
        <v/>
      </c>
      <c r="N7" s="5">
        <f>IF($C7="","",$C7+365-TODAY())</f>
        <v/>
      </c>
      <c r="O7" s="7" t="n">
        <v>46169</v>
      </c>
      <c r="P7" s="6" t="inlineStr">
        <is>
          <t>90 days</t>
        </is>
      </c>
      <c r="Q7" s="6" t="inlineStr">
        <is>
          <t>BCBS</t>
        </is>
      </c>
      <c r="R7" s="6" t="inlineStr">
        <is>
          <t>365 days</t>
        </is>
      </c>
      <c r="S7" s="6" t="inlineStr">
        <is>
          <t>Processed date</t>
        </is>
      </c>
      <c r="T7" s="6" t="inlineStr">
        <is>
          <t>365 days</t>
        </is>
      </c>
      <c r="U7" s="6" t="inlineStr">
        <is>
          <t>Processed date</t>
        </is>
      </c>
      <c r="V7" s="6" t="inlineStr">
        <is>
          <t>59</t>
        </is>
      </c>
      <c r="W7" s="6" t="n"/>
      <c r="X7" s="6" t="n"/>
      <c r="Y7" s="6" t="inlineStr">
        <is>
          <t>1</t>
        </is>
      </c>
      <c r="Z7" s="9" t="n">
        <v>6709.36</v>
      </c>
      <c r="AA7" s="9" t="n">
        <v>0</v>
      </c>
      <c r="AB7" s="9" t="n">
        <v>0</v>
      </c>
      <c r="AC7" s="7" t="n">
        <v>46212</v>
      </c>
      <c r="AD7" s="9" t="n">
        <v>6709.36</v>
      </c>
      <c r="AE7" s="5" t="n">
        <v>163</v>
      </c>
      <c r="AF7" s="6" t="inlineStr">
        <is>
          <t>M5416</t>
        </is>
      </c>
      <c r="AG7" s="6" t="inlineStr">
        <is>
          <t>M4807</t>
        </is>
      </c>
      <c r="AH7" s="6" t="n"/>
      <c r="AI7" s="6" t="n"/>
      <c r="AJ7" s="5" t="n"/>
      <c r="AK7" s="6" t="inlineStr">
        <is>
          <t>MAYURAN, VIKRAM</t>
        </is>
      </c>
      <c r="AL7" s="6" t="inlineStr">
        <is>
          <t>Banner Desert Medical Center</t>
        </is>
      </c>
      <c r="AM7" s="7" t="n">
        <v>46092</v>
      </c>
      <c r="AN7" s="6" t="inlineStr">
        <is>
          <t>ORTHO</t>
        </is>
      </c>
      <c r="AO7" s="6" t="inlineStr">
        <is>
          <t>892, 893</t>
        </is>
      </c>
    </row>
    <row r="8">
      <c r="A8" s="2" t="n"/>
      <c r="B8" s="3" t="n"/>
      <c r="C8" s="4" t="n">
        <v>46189</v>
      </c>
      <c r="D8" s="5" t="n">
        <v>562083380</v>
      </c>
      <c r="E8" s="6" t="inlineStr">
        <is>
          <t>HF334213960</t>
        </is>
      </c>
      <c r="F8" s="7" t="n">
        <v>46080</v>
      </c>
      <c r="G8" s="6" t="inlineStr">
        <is>
          <t>Optum Care Medical Network of Arizona, Utah, &amp; Washington (LifePrint)</t>
        </is>
      </c>
      <c r="H8" s="6" t="inlineStr">
        <is>
          <t>Optum Care Medical Network of Arizona, Utah, &amp; Washington (LifePrint)</t>
        </is>
      </c>
      <c r="I8" s="6" t="inlineStr">
        <is>
          <t>No Payer</t>
        </is>
      </c>
      <c r="J8" s="8" t="inlineStr">
        <is>
          <t>63047+58 x1</t>
        </is>
      </c>
      <c r="K8" s="4" t="n"/>
      <c r="L8" s="5">
        <f>IF($O8="","",$O8-TODAY())</f>
        <v/>
      </c>
      <c r="M8" s="5">
        <f>IF($C8="","",$C8+365-TODAY())</f>
        <v/>
      </c>
      <c r="N8" s="5">
        <f>IF($C8="","",$C8+365-TODAY())</f>
        <v/>
      </c>
      <c r="O8" s="7" t="n">
        <v>46170</v>
      </c>
      <c r="P8" s="6" t="inlineStr">
        <is>
          <t>90 days</t>
        </is>
      </c>
      <c r="Q8" s="6" t="inlineStr">
        <is>
          <t>OPTUM</t>
        </is>
      </c>
      <c r="R8" s="6" t="inlineStr">
        <is>
          <t>365 days</t>
        </is>
      </c>
      <c r="S8" s="6" t="inlineStr">
        <is>
          <t>Processed date</t>
        </is>
      </c>
      <c r="T8" s="6" t="inlineStr">
        <is>
          <t>365 days</t>
        </is>
      </c>
      <c r="U8" s="6" t="inlineStr">
        <is>
          <t>Processed date</t>
        </is>
      </c>
      <c r="V8" s="6" t="inlineStr">
        <is>
          <t>58</t>
        </is>
      </c>
      <c r="W8" s="6" t="n"/>
      <c r="X8" s="6" t="n"/>
      <c r="Y8" s="6" t="inlineStr">
        <is>
          <t>1</t>
        </is>
      </c>
      <c r="Z8" s="9" t="n">
        <v>7623.07</v>
      </c>
      <c r="AA8" s="9" t="n">
        <v>0</v>
      </c>
      <c r="AB8" s="9" t="n">
        <v>0</v>
      </c>
      <c r="AC8" s="7" t="n">
        <v>46189</v>
      </c>
      <c r="AD8" s="9" t="n">
        <v>7623.07</v>
      </c>
      <c r="AE8" s="5" t="n">
        <v>162</v>
      </c>
      <c r="AF8" s="6" t="inlineStr">
        <is>
          <t>M48062</t>
        </is>
      </c>
      <c r="AG8" s="6" t="n"/>
      <c r="AH8" s="6" t="n"/>
      <c r="AI8" s="6" t="n"/>
      <c r="AJ8" s="5" t="n"/>
      <c r="AK8" s="6" t="inlineStr">
        <is>
          <t>LEATHEM, JARRETT</t>
        </is>
      </c>
      <c r="AL8" s="6" t="inlineStr">
        <is>
          <t>Premier Endoscopy Center, LLC</t>
        </is>
      </c>
      <c r="AM8" s="7" t="n">
        <v>46083</v>
      </c>
      <c r="AN8" s="6" t="inlineStr">
        <is>
          <t>ORTHO</t>
        </is>
      </c>
      <c r="AO8" s="6" t="inlineStr">
        <is>
          <t>518</t>
        </is>
      </c>
    </row>
    <row r="9">
      <c r="A9" s="2" t="n"/>
      <c r="B9" s="3" t="n"/>
      <c r="C9" s="4" t="n">
        <v>46218</v>
      </c>
      <c r="D9" s="5" t="n">
        <v>564578362</v>
      </c>
      <c r="E9" s="6" t="inlineStr">
        <is>
          <t>HF496014369</t>
        </is>
      </c>
      <c r="F9" s="7" t="n">
        <v>46057</v>
      </c>
      <c r="G9" s="6" t="inlineStr">
        <is>
          <t>Arizona Complete Health (Centene)</t>
        </is>
      </c>
      <c r="H9" s="6" t="inlineStr">
        <is>
          <t>Arizona Complete Health (Centene)</t>
        </is>
      </c>
      <c r="I9" s="6" t="inlineStr">
        <is>
          <t>No Payer</t>
        </is>
      </c>
      <c r="J9" s="8" t="inlineStr">
        <is>
          <t>63048 x1</t>
        </is>
      </c>
      <c r="K9" s="4" t="n"/>
      <c r="L9" s="5">
        <f>IF($O9="","",$O9-TODAY())</f>
        <v/>
      </c>
      <c r="M9" s="5">
        <f>IF($F9="","",$F9+365-TODAY())</f>
        <v/>
      </c>
      <c r="N9" s="5">
        <f>IF($F9="","",$F9+365-TODAY())</f>
        <v/>
      </c>
      <c r="O9" s="7" t="n">
        <v>46177</v>
      </c>
      <c r="P9" s="6" t="inlineStr">
        <is>
          <t>120 days</t>
        </is>
      </c>
      <c r="Q9" s="6" t="inlineStr">
        <is>
          <t>AZ COMPLETE</t>
        </is>
      </c>
      <c r="R9" s="6" t="inlineStr">
        <is>
          <t>365 days</t>
        </is>
      </c>
      <c r="S9" s="6" t="inlineStr">
        <is>
          <t>Date of service</t>
        </is>
      </c>
      <c r="T9" s="6" t="inlineStr">
        <is>
          <t>365 days</t>
        </is>
      </c>
      <c r="U9" s="6" t="inlineStr">
        <is>
          <t>Date of service</t>
        </is>
      </c>
      <c r="V9" s="6" t="n"/>
      <c r="W9" s="6" t="n"/>
      <c r="X9" s="6" t="n"/>
      <c r="Y9" s="6" t="inlineStr">
        <is>
          <t>1</t>
        </is>
      </c>
      <c r="Z9" s="9" t="n">
        <v>1433.32</v>
      </c>
      <c r="AA9" s="9" t="n">
        <v>0</v>
      </c>
      <c r="AB9" s="9" t="n">
        <v>0</v>
      </c>
      <c r="AC9" s="7" t="n">
        <v>46218</v>
      </c>
      <c r="AD9" s="9" t="n">
        <v>1433.32</v>
      </c>
      <c r="AE9" s="5" t="n">
        <v>185</v>
      </c>
      <c r="AF9" s="6" t="inlineStr">
        <is>
          <t>M48062</t>
        </is>
      </c>
      <c r="AG9" s="6" t="inlineStr">
        <is>
          <t>M51370</t>
        </is>
      </c>
      <c r="AH9" s="6" t="n"/>
      <c r="AI9" s="6" t="n"/>
      <c r="AJ9" s="5" t="n"/>
      <c r="AK9" s="6" t="inlineStr">
        <is>
          <t>MCCUNNIFF, PETER</t>
        </is>
      </c>
      <c r="AL9" s="6" t="inlineStr">
        <is>
          <t>ASAP Surgery Centers North Valley LLC</t>
        </is>
      </c>
      <c r="AM9" s="7" t="n">
        <v>46077</v>
      </c>
      <c r="AN9" s="6" t="inlineStr">
        <is>
          <t>ORTHO</t>
        </is>
      </c>
      <c r="AO9" s="6" t="inlineStr">
        <is>
          <t>947</t>
        </is>
      </c>
    </row>
    <row r="10">
      <c r="A10" s="2" t="n"/>
      <c r="B10" s="3" t="n"/>
      <c r="C10" s="4" t="n">
        <v>46142</v>
      </c>
      <c r="D10" s="5" t="n">
        <v>551321878</v>
      </c>
      <c r="E10" s="6" t="inlineStr">
        <is>
          <t>HF349133597</t>
        </is>
      </c>
      <c r="F10" s="7" t="n">
        <v>46058</v>
      </c>
      <c r="G10" s="6" t="inlineStr">
        <is>
          <t>AARP MedicareComplete (SecureHorizons &amp; Oxford Network)</t>
        </is>
      </c>
      <c r="H10" s="6" t="inlineStr">
        <is>
          <t>AARP MedicareComplete (SecureHorizons &amp; Oxford Network)</t>
        </is>
      </c>
      <c r="I10" s="6" t="inlineStr">
        <is>
          <t>No Payer</t>
        </is>
      </c>
      <c r="J10" s="8" t="inlineStr">
        <is>
          <t>63048 x1; 63047 x1; 64708 x1</t>
        </is>
      </c>
      <c r="K10" s="4" t="n"/>
      <c r="L10" s="5">
        <f>IF($O10="","",$O10-TODAY())</f>
        <v/>
      </c>
      <c r="M10" s="5">
        <f>IF($C10="","",$C10+180-TODAY())</f>
        <v/>
      </c>
      <c r="N10" s="5">
        <f>IF($C10="","",$C10+365-TODAY())</f>
        <v/>
      </c>
      <c r="O10" s="7" t="n"/>
      <c r="P10" s="6" t="n"/>
      <c r="Q10" s="6" t="inlineStr">
        <is>
          <t>AARP MA CHOICE / MEDICARE COMPLETE</t>
        </is>
      </c>
      <c r="R10" s="6" t="inlineStr">
        <is>
          <t>180 days</t>
        </is>
      </c>
      <c r="S10" s="6" t="inlineStr">
        <is>
          <t>Processed date</t>
        </is>
      </c>
      <c r="T10" s="6" t="inlineStr">
        <is>
          <t>365 days</t>
        </is>
      </c>
      <c r="U10" s="6" t="inlineStr">
        <is>
          <t>Processed date</t>
        </is>
      </c>
      <c r="V10" s="6" t="n"/>
      <c r="W10" s="6" t="n"/>
      <c r="X10" s="6" t="n"/>
      <c r="Y10" s="6" t="inlineStr">
        <is>
          <t>1</t>
        </is>
      </c>
      <c r="Z10" s="9" t="n">
        <v>12527.55</v>
      </c>
      <c r="AA10" s="9" t="n">
        <v>0</v>
      </c>
      <c r="AB10" s="9" t="n">
        <v>0</v>
      </c>
      <c r="AC10" s="7" t="n">
        <v>46142</v>
      </c>
      <c r="AD10" s="9" t="n">
        <v>12527.55</v>
      </c>
      <c r="AE10" s="5" t="n">
        <v>184</v>
      </c>
      <c r="AF10" s="6" t="inlineStr">
        <is>
          <t>M48062</t>
        </is>
      </c>
      <c r="AG10" s="6" t="inlineStr">
        <is>
          <t>M5416</t>
        </is>
      </c>
      <c r="AH10" s="6" t="inlineStr">
        <is>
          <t>M51362</t>
        </is>
      </c>
      <c r="AI10" s="6" t="inlineStr">
        <is>
          <t>M4696, G59</t>
        </is>
      </c>
      <c r="AJ10" s="5" t="n"/>
      <c r="AK10" s="6" t="inlineStr">
        <is>
          <t>LUKE, TIMOTHY</t>
        </is>
      </c>
      <c r="AL10" s="6" t="inlineStr">
        <is>
          <t>ASAP Surgery Centers North Valley LLC</t>
        </is>
      </c>
      <c r="AM10" s="7" t="n">
        <v>46083</v>
      </c>
      <c r="AN10" s="6" t="inlineStr">
        <is>
          <t>ORTHO</t>
        </is>
      </c>
      <c r="AO10" s="6" t="inlineStr">
        <is>
          <t>86, 87, 88</t>
        </is>
      </c>
    </row>
    <row r="11">
      <c r="A11" s="2" t="n"/>
      <c r="B11" s="3" t="n"/>
      <c r="C11" s="4" t="n">
        <v>46107</v>
      </c>
      <c r="D11" s="5" t="n">
        <v>552275426</v>
      </c>
      <c r="E11" s="6" t="inlineStr">
        <is>
          <t>HF532203609</t>
        </is>
      </c>
      <c r="F11" s="7" t="n">
        <v>46079</v>
      </c>
      <c r="G11" s="6" t="inlineStr">
        <is>
          <t>UMR Wausau / UHIS</t>
        </is>
      </c>
      <c r="H11" s="6" t="inlineStr">
        <is>
          <t>UMR Wausau / UHIS</t>
        </is>
      </c>
      <c r="I11" s="6" t="inlineStr">
        <is>
          <t>No Payer</t>
        </is>
      </c>
      <c r="J11" s="8" t="inlineStr">
        <is>
          <t>22853 x1</t>
        </is>
      </c>
      <c r="K11" s="4" t="n"/>
      <c r="L11" s="5">
        <f>IF($O11="","",$O11-TODAY())</f>
        <v/>
      </c>
      <c r="M11" s="5" t="n"/>
      <c r="N11" s="5">
        <f>IF($C11="","",$C11+180-TODAY())</f>
        <v/>
      </c>
      <c r="O11" s="7" t="n"/>
      <c r="P11" s="6" t="n"/>
      <c r="Q11" s="6" t="inlineStr">
        <is>
          <t>UMR / WAUSAU</t>
        </is>
      </c>
      <c r="R11" s="6" t="n"/>
      <c r="S11" s="6" t="n"/>
      <c r="T11" s="6" t="inlineStr">
        <is>
          <t>180 days</t>
        </is>
      </c>
      <c r="U11" s="6" t="inlineStr">
        <is>
          <t>Processed date</t>
        </is>
      </c>
      <c r="V11" s="6" t="n"/>
      <c r="W11" s="6" t="n"/>
      <c r="X11" s="6" t="n"/>
      <c r="Y11" s="6" t="inlineStr">
        <is>
          <t>1</t>
        </is>
      </c>
      <c r="Z11" s="9" t="n">
        <v>1758.12</v>
      </c>
      <c r="AA11" s="9" t="n">
        <v>0</v>
      </c>
      <c r="AB11" s="9" t="n">
        <v>0</v>
      </c>
      <c r="AC11" s="7" t="n">
        <v>46107</v>
      </c>
      <c r="AD11" s="9" t="n">
        <v>1758.12</v>
      </c>
      <c r="AE11" s="5" t="n">
        <v>163</v>
      </c>
      <c r="AF11" s="6" t="inlineStr">
        <is>
          <t>M5416</t>
        </is>
      </c>
      <c r="AG11" s="6" t="inlineStr">
        <is>
          <t>M21371</t>
        </is>
      </c>
      <c r="AH11" s="6" t="n"/>
      <c r="AI11" s="6" t="n"/>
      <c r="AJ11" s="5" t="n"/>
      <c r="AK11" s="6" t="inlineStr">
        <is>
          <t>MAYURAN, VIKRAM</t>
        </is>
      </c>
      <c r="AL11" s="6" t="inlineStr">
        <is>
          <t>Banner Desert Medical Center</t>
        </is>
      </c>
      <c r="AM11" s="7" t="n">
        <v>46092</v>
      </c>
      <c r="AN11" s="6" t="inlineStr">
        <is>
          <t>ORTHO</t>
        </is>
      </c>
      <c r="AO11" s="6" t="inlineStr">
        <is>
          <t>461</t>
        </is>
      </c>
    </row>
  </sheetData>
  <autoFilter ref="A1:AO11"/>
  <conditionalFormatting sqref="L2:L1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1">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1">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1">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O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inlineStr">
        <is>
          <t>Finalized</t>
        </is>
      </c>
      <c r="B2" s="3" t="n"/>
      <c r="C2" s="4" t="n">
        <v>46211</v>
      </c>
      <c r="D2" s="5" t="n">
        <v>563152890</v>
      </c>
      <c r="E2" s="6" t="inlineStr">
        <is>
          <t>HF544172142</t>
        </is>
      </c>
      <c r="F2" s="7" t="n">
        <v>46057</v>
      </c>
      <c r="G2" s="6" t="inlineStr">
        <is>
          <t>Blue Cross Blue Shield of Arizona (BCBS AZ)</t>
        </is>
      </c>
      <c r="H2" s="6" t="inlineStr">
        <is>
          <t>Medicare Part B Arizona *</t>
        </is>
      </c>
      <c r="I2" s="6" t="inlineStr">
        <is>
          <t>Blue Cross Blue Shield of Arizona (BCBS AZ)</t>
        </is>
      </c>
      <c r="J2" s="8" t="inlineStr">
        <is>
          <t>93970 x1</t>
        </is>
      </c>
      <c r="K2" s="4" t="n"/>
      <c r="L2" s="5">
        <f>IF($O2="","",$O2-TODAY())</f>
        <v/>
      </c>
      <c r="M2" s="5">
        <f>IF($C2="","",$C2+365-TODAY())</f>
        <v/>
      </c>
      <c r="N2" s="5">
        <f>IF($C2="","",$C2+120-TODAY())</f>
        <v/>
      </c>
      <c r="O2" s="7" t="n">
        <v>46422</v>
      </c>
      <c r="P2" s="6" t="inlineStr">
        <is>
          <t>365 days</t>
        </is>
      </c>
      <c r="Q2" s="6" t="inlineStr">
        <is>
          <t>MEDICARE</t>
        </is>
      </c>
      <c r="R2" s="6" t="inlineStr">
        <is>
          <t>365 days</t>
        </is>
      </c>
      <c r="S2" s="6" t="inlineStr">
        <is>
          <t>Processed date</t>
        </is>
      </c>
      <c r="T2" s="6" t="inlineStr">
        <is>
          <t>120 days</t>
        </is>
      </c>
      <c r="U2" s="6" t="inlineStr">
        <is>
          <t>Processed date</t>
        </is>
      </c>
      <c r="V2" s="6" t="n"/>
      <c r="W2" s="6" t="n"/>
      <c r="X2" s="6" t="n"/>
      <c r="Y2" s="6" t="inlineStr">
        <is>
          <t>1</t>
        </is>
      </c>
      <c r="Z2" s="9" t="n">
        <v>1294.23</v>
      </c>
      <c r="AA2" s="9" t="n">
        <v>1127.69</v>
      </c>
      <c r="AB2" s="9" t="n">
        <v>130.8</v>
      </c>
      <c r="AC2" s="7" t="n">
        <v>46211</v>
      </c>
      <c r="AD2" s="9" t="n">
        <v>35.74</v>
      </c>
      <c r="AE2" s="5" t="n">
        <v>185</v>
      </c>
      <c r="AF2" s="6" t="inlineStr">
        <is>
          <t>R600</t>
        </is>
      </c>
      <c r="AG2" s="6" t="inlineStr">
        <is>
          <t>M79672</t>
        </is>
      </c>
      <c r="AH2" s="6" t="inlineStr">
        <is>
          <t>Z86718</t>
        </is>
      </c>
      <c r="AI2" s="6" t="inlineStr">
        <is>
          <t>Z8781</t>
        </is>
      </c>
      <c r="AJ2" s="5" t="n">
        <v>566075115</v>
      </c>
      <c r="AK2" s="6" t="inlineStr">
        <is>
          <t>BURGHER, ABRAM</t>
        </is>
      </c>
      <c r="AL2" s="6" t="inlineStr">
        <is>
          <t>ASAP - Surprise - Reems</t>
        </is>
      </c>
      <c r="AM2" s="7" t="n">
        <v>46072</v>
      </c>
      <c r="AN2" s="6" t="inlineStr">
        <is>
          <t>US</t>
        </is>
      </c>
      <c r="AO2" s="6" t="inlineStr">
        <is>
          <t>3</t>
        </is>
      </c>
    </row>
    <row r="3">
      <c r="A3" s="2" t="inlineStr">
        <is>
          <t>Finalized</t>
        </is>
      </c>
      <c r="B3" s="3" t="n"/>
      <c r="C3" s="4" t="n">
        <v>46211</v>
      </c>
      <c r="D3" s="5" t="n">
        <v>563153622</v>
      </c>
      <c r="E3" s="6" t="inlineStr">
        <is>
          <t>HF467995431</t>
        </is>
      </c>
      <c r="F3" s="7" t="n">
        <v>46065</v>
      </c>
      <c r="G3" s="6" t="inlineStr">
        <is>
          <t>AARP United Healthcare</t>
        </is>
      </c>
      <c r="H3" s="6" t="inlineStr">
        <is>
          <t>Medicare Part B Arizona *</t>
        </is>
      </c>
      <c r="I3" s="6" t="inlineStr">
        <is>
          <t>AARP United Healthcare</t>
        </is>
      </c>
      <c r="J3" s="8" t="inlineStr">
        <is>
          <t>93970 x1; 93925 x1</t>
        </is>
      </c>
      <c r="K3" s="4" t="n"/>
      <c r="L3" s="5">
        <f>IF($O3="","",$O3-TODAY())</f>
        <v/>
      </c>
      <c r="M3" s="5">
        <f>IF($C3="","",$C3+365-TODAY())</f>
        <v/>
      </c>
      <c r="N3" s="5">
        <f>IF($C3="","",$C3+120-TODAY())</f>
        <v/>
      </c>
      <c r="O3" s="7" t="n">
        <v>46430</v>
      </c>
      <c r="P3" s="6" t="inlineStr">
        <is>
          <t>365 days</t>
        </is>
      </c>
      <c r="Q3" s="6" t="inlineStr">
        <is>
          <t>MEDICARE</t>
        </is>
      </c>
      <c r="R3" s="6" t="inlineStr">
        <is>
          <t>365 days</t>
        </is>
      </c>
      <c r="S3" s="6" t="inlineStr">
        <is>
          <t>Processed date</t>
        </is>
      </c>
      <c r="T3" s="6" t="inlineStr">
        <is>
          <t>120 days</t>
        </is>
      </c>
      <c r="U3" s="6" t="inlineStr">
        <is>
          <t>Processed date</t>
        </is>
      </c>
      <c r="V3" s="6" t="n"/>
      <c r="W3" s="6" t="n"/>
      <c r="X3" s="6" t="n"/>
      <c r="Y3" s="6" t="inlineStr">
        <is>
          <t>1</t>
        </is>
      </c>
      <c r="Z3" s="9" t="n">
        <v>2943.43</v>
      </c>
      <c r="AA3" s="9" t="n">
        <v>2603.25</v>
      </c>
      <c r="AB3" s="9" t="n">
        <v>265.7</v>
      </c>
      <c r="AC3" s="7" t="n">
        <v>46211</v>
      </c>
      <c r="AD3" s="9" t="n">
        <v>74.48</v>
      </c>
      <c r="AE3" s="5" t="n">
        <v>177</v>
      </c>
      <c r="AF3" s="6" t="inlineStr">
        <is>
          <t>I872, I70213</t>
        </is>
      </c>
      <c r="AG3" s="6" t="n"/>
      <c r="AH3" s="6" t="n"/>
      <c r="AI3" s="6" t="n"/>
      <c r="AJ3" s="5" t="n">
        <v>565916751</v>
      </c>
      <c r="AK3" s="6" t="inlineStr">
        <is>
          <t>TURLEY, TODD</t>
        </is>
      </c>
      <c r="AL3" s="6" t="inlineStr">
        <is>
          <t>ASAP - DEER VALLEY</t>
        </is>
      </c>
      <c r="AM3" s="7" t="n">
        <v>46119</v>
      </c>
      <c r="AN3" s="6" t="inlineStr">
        <is>
          <t>US</t>
        </is>
      </c>
      <c r="AO3" s="6" t="inlineStr">
        <is>
          <t>41, 42</t>
        </is>
      </c>
    </row>
    <row r="4">
      <c r="A4" s="2" t="inlineStr">
        <is>
          <t>Finalized</t>
        </is>
      </c>
      <c r="B4" s="3" t="n"/>
      <c r="C4" s="4" t="n">
        <v>46210</v>
      </c>
      <c r="D4" s="5" t="n">
        <v>563152081</v>
      </c>
      <c r="E4" s="6" t="inlineStr">
        <is>
          <t>HF497596195</t>
        </is>
      </c>
      <c r="F4" s="7" t="n">
        <v>46070</v>
      </c>
      <c r="G4" s="6" t="inlineStr">
        <is>
          <t>AARP United Healthcare</t>
        </is>
      </c>
      <c r="H4" s="6" t="inlineStr">
        <is>
          <t>Medicare Part B Arizona *</t>
        </is>
      </c>
      <c r="I4" s="6" t="inlineStr">
        <is>
          <t>AARP United Healthcare</t>
        </is>
      </c>
      <c r="J4" s="8" t="inlineStr">
        <is>
          <t>93970 x1</t>
        </is>
      </c>
      <c r="K4" s="4" t="n"/>
      <c r="L4" s="5">
        <f>IF($O4="","",$O4-TODAY())</f>
        <v/>
      </c>
      <c r="M4" s="5">
        <f>IF($C4="","",$C4+365-TODAY())</f>
        <v/>
      </c>
      <c r="N4" s="5">
        <f>IF($C4="","",$C4+120-TODAY())</f>
        <v/>
      </c>
      <c r="O4" s="7" t="n">
        <v>46435</v>
      </c>
      <c r="P4" s="6" t="inlineStr">
        <is>
          <t>365 days</t>
        </is>
      </c>
      <c r="Q4" s="6" t="inlineStr">
        <is>
          <t>MEDICARE</t>
        </is>
      </c>
      <c r="R4" s="6" t="inlineStr">
        <is>
          <t>365 days</t>
        </is>
      </c>
      <c r="S4" s="6" t="inlineStr">
        <is>
          <t>Processed date</t>
        </is>
      </c>
      <c r="T4" s="6" t="inlineStr">
        <is>
          <t>120 days</t>
        </is>
      </c>
      <c r="U4" s="6" t="inlineStr">
        <is>
          <t>Processed date</t>
        </is>
      </c>
      <c r="V4" s="6" t="n"/>
      <c r="W4" s="6" t="n"/>
      <c r="X4" s="6" t="n"/>
      <c r="Y4" s="6" t="inlineStr">
        <is>
          <t>1</t>
        </is>
      </c>
      <c r="Z4" s="9" t="n">
        <v>1294.23</v>
      </c>
      <c r="AA4" s="9" t="n">
        <v>1131</v>
      </c>
      <c r="AB4" s="9" t="n">
        <v>127.49</v>
      </c>
      <c r="AC4" s="7" t="n">
        <v>46210</v>
      </c>
      <c r="AD4" s="9" t="n">
        <v>35.74</v>
      </c>
      <c r="AE4" s="5" t="n">
        <v>172</v>
      </c>
      <c r="AF4" s="6" t="inlineStr">
        <is>
          <t>I872</t>
        </is>
      </c>
      <c r="AG4" s="6" t="n"/>
      <c r="AH4" s="6" t="n"/>
      <c r="AI4" s="6" t="n"/>
      <c r="AJ4" s="5" t="n">
        <v>566075094</v>
      </c>
      <c r="AK4" s="6" t="inlineStr">
        <is>
          <t>LEATHEM, JARRETT</t>
        </is>
      </c>
      <c r="AL4" s="6" t="inlineStr">
        <is>
          <t>ASAP - Gilbert</t>
        </is>
      </c>
      <c r="AM4" s="7" t="n">
        <v>46076</v>
      </c>
      <c r="AN4" s="6" t="inlineStr">
        <is>
          <t>US</t>
        </is>
      </c>
      <c r="AO4" s="6" t="inlineStr">
        <is>
          <t>318</t>
        </is>
      </c>
    </row>
    <row r="5">
      <c r="A5" s="2" t="inlineStr">
        <is>
          <t>Finalized</t>
        </is>
      </c>
      <c r="B5" s="3" t="n"/>
      <c r="C5" s="4" t="n">
        <v>46210</v>
      </c>
      <c r="D5" s="5" t="n">
        <v>563152473</v>
      </c>
      <c r="E5" s="6" t="inlineStr">
        <is>
          <t>HF544172142</t>
        </is>
      </c>
      <c r="F5" s="7" t="n">
        <v>46071</v>
      </c>
      <c r="G5" s="6" t="inlineStr">
        <is>
          <t>Blue Cross Blue Shield of Arizona (BCBS AZ)</t>
        </is>
      </c>
      <c r="H5" s="6" t="inlineStr">
        <is>
          <t>Medicare Part B Arizona *</t>
        </is>
      </c>
      <c r="I5" s="6" t="inlineStr">
        <is>
          <t>Blue Cross Blue Shield of Arizona (BCBS AZ)</t>
        </is>
      </c>
      <c r="J5" s="8" t="inlineStr">
        <is>
          <t>93923 x1</t>
        </is>
      </c>
      <c r="K5" s="4" t="n"/>
      <c r="L5" s="5">
        <f>IF($O5="","",$O5-TODAY())</f>
        <v/>
      </c>
      <c r="M5" s="5">
        <f>IF($C5="","",$C5+365-TODAY())</f>
        <v/>
      </c>
      <c r="N5" s="5">
        <f>IF($C5="","",$C5+120-TODAY())</f>
        <v/>
      </c>
      <c r="O5" s="7" t="n">
        <v>46436</v>
      </c>
      <c r="P5" s="6" t="inlineStr">
        <is>
          <t>365 days</t>
        </is>
      </c>
      <c r="Q5" s="6" t="inlineStr">
        <is>
          <t>MEDICARE</t>
        </is>
      </c>
      <c r="R5" s="6" t="inlineStr">
        <is>
          <t>365 days</t>
        </is>
      </c>
      <c r="S5" s="6" t="inlineStr">
        <is>
          <t>Processed date</t>
        </is>
      </c>
      <c r="T5" s="6" t="inlineStr">
        <is>
          <t>120 days</t>
        </is>
      </c>
      <c r="U5" s="6" t="inlineStr">
        <is>
          <t>Processed date</t>
        </is>
      </c>
      <c r="V5" s="6" t="n"/>
      <c r="W5" s="6" t="n"/>
      <c r="X5" s="6" t="n"/>
      <c r="Y5" s="6" t="inlineStr">
        <is>
          <t>1</t>
        </is>
      </c>
      <c r="Z5" s="9" t="n">
        <v>879.0599999999999</v>
      </c>
      <c r="AA5" s="9" t="n">
        <v>758.3</v>
      </c>
      <c r="AB5" s="9" t="n">
        <v>94.84</v>
      </c>
      <c r="AC5" s="7" t="n">
        <v>46210</v>
      </c>
      <c r="AD5" s="9" t="n">
        <v>25.92</v>
      </c>
      <c r="AE5" s="5" t="n">
        <v>171</v>
      </c>
      <c r="AF5" s="6" t="inlineStr">
        <is>
          <t>I739</t>
        </is>
      </c>
      <c r="AG5" s="6" t="n"/>
      <c r="AH5" s="6" t="n"/>
      <c r="AI5" s="6" t="n"/>
      <c r="AJ5" s="5" t="n">
        <v>566075128</v>
      </c>
      <c r="AK5" s="6" t="inlineStr">
        <is>
          <t>BURGHER, ABRAM</t>
        </is>
      </c>
      <c r="AL5" s="6" t="inlineStr">
        <is>
          <t>ASAP - Surprise - Reems</t>
        </is>
      </c>
      <c r="AM5" s="7" t="n">
        <v>46119</v>
      </c>
      <c r="AN5" s="6" t="inlineStr">
        <is>
          <t>US</t>
        </is>
      </c>
      <c r="AO5" s="6" t="inlineStr">
        <is>
          <t>281</t>
        </is>
      </c>
    </row>
    <row r="6">
      <c r="A6" s="2" t="inlineStr">
        <is>
          <t>Finalized</t>
        </is>
      </c>
      <c r="B6" s="3" t="n"/>
      <c r="C6" s="4" t="n">
        <v>46211</v>
      </c>
      <c r="D6" s="5" t="n">
        <v>563161793</v>
      </c>
      <c r="E6" s="6" t="inlineStr">
        <is>
          <t>HF548452117</t>
        </is>
      </c>
      <c r="F6" s="7" t="n">
        <v>46065</v>
      </c>
      <c r="G6" s="6" t="inlineStr">
        <is>
          <t>Humana</t>
        </is>
      </c>
      <c r="H6" s="6" t="inlineStr">
        <is>
          <t>Humana</t>
        </is>
      </c>
      <c r="I6" s="6" t="inlineStr">
        <is>
          <t>Humana</t>
        </is>
      </c>
      <c r="J6" s="8" t="inlineStr">
        <is>
          <t>93970 x1</t>
        </is>
      </c>
      <c r="K6" s="4" t="n"/>
      <c r="L6" s="5">
        <f>IF($O6="","",$O6-TODAY())</f>
        <v/>
      </c>
      <c r="M6" s="5">
        <f>IF($F6="","",$F6+90-TODAY())</f>
        <v/>
      </c>
      <c r="N6" s="5">
        <f>IF($C6="","",$C6+60-TODAY())</f>
        <v/>
      </c>
      <c r="O6" s="7" t="n">
        <v>46155</v>
      </c>
      <c r="P6" s="6" t="inlineStr">
        <is>
          <t>90 days</t>
        </is>
      </c>
      <c r="Q6" s="6" t="inlineStr">
        <is>
          <t>HUMANA COMMERCIAL</t>
        </is>
      </c>
      <c r="R6" s="6" t="inlineStr">
        <is>
          <t>90 days</t>
        </is>
      </c>
      <c r="S6" s="6" t="inlineStr">
        <is>
          <t>Date of service</t>
        </is>
      </c>
      <c r="T6" s="6" t="inlineStr">
        <is>
          <t>60 days</t>
        </is>
      </c>
      <c r="U6" s="6" t="inlineStr">
        <is>
          <t>Processed date</t>
        </is>
      </c>
      <c r="V6" s="6" t="n"/>
      <c r="W6" s="6" t="n"/>
      <c r="X6" s="6" t="n"/>
      <c r="Y6" s="6" t="inlineStr">
        <is>
          <t>1</t>
        </is>
      </c>
      <c r="Z6" s="9" t="n">
        <v>1294.23</v>
      </c>
      <c r="AA6" s="9" t="n">
        <v>1131</v>
      </c>
      <c r="AB6" s="9" t="n">
        <v>127.49</v>
      </c>
      <c r="AC6" s="7" t="n">
        <v>46211</v>
      </c>
      <c r="AD6" s="9" t="n">
        <v>35.74</v>
      </c>
      <c r="AE6" s="5" t="n">
        <v>177</v>
      </c>
      <c r="AF6" s="6" t="inlineStr">
        <is>
          <t>R600</t>
        </is>
      </c>
      <c r="AG6" s="6" t="inlineStr">
        <is>
          <t>E785</t>
        </is>
      </c>
      <c r="AH6" s="6" t="inlineStr">
        <is>
          <t>G9050</t>
        </is>
      </c>
      <c r="AI6" s="6" t="inlineStr">
        <is>
          <t>I10</t>
        </is>
      </c>
      <c r="AJ6" s="5" t="n">
        <v>566075130</v>
      </c>
      <c r="AK6" s="6" t="inlineStr">
        <is>
          <t>TURLEY, TODD</t>
        </is>
      </c>
      <c r="AL6" s="6" t="inlineStr">
        <is>
          <t>ASAP - DEER VALLEY</t>
        </is>
      </c>
      <c r="AM6" s="7" t="n">
        <v>46076</v>
      </c>
      <c r="AN6" s="6" t="inlineStr">
        <is>
          <t>US</t>
        </is>
      </c>
      <c r="AO6" s="6" t="inlineStr">
        <is>
          <t>233</t>
        </is>
      </c>
    </row>
  </sheetData>
  <autoFilter ref="A1:AO6"/>
  <conditionalFormatting sqref="L2:L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6">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6">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6">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7"/>
  <sheetViews>
    <sheetView showGridLines="0" workbookViewId="0">
      <selection activeCell="A1" sqref="A1"/>
    </sheetView>
  </sheetViews>
  <sheetFormatPr baseColWidth="8" defaultRowHeight="15"/>
  <cols>
    <col width="118" customWidth="1" min="1" max="1"/>
  </cols>
  <sheetData>
    <row r="1">
      <c r="A1" s="10" t="inlineStr">
        <is>
          <t>2026-02 February - Specialty Claims</t>
        </is>
      </c>
    </row>
    <row r="2">
      <c r="A2" s="11" t="inlineStr"/>
    </row>
    <row r="3">
      <c r="A3" s="11" t="inlineStr">
        <is>
          <t>39 claim lines with a date of service in 2026-02 February,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0</t>
        </is>
      </c>
    </row>
    <row r="9">
      <c r="A9" s="11" t="inlineStr">
        <is>
          <t xml:space="preserve">    2 - Due in 6-30 days: 0</t>
        </is>
      </c>
    </row>
    <row r="10">
      <c r="A10" s="11" t="inlineStr">
        <is>
          <t xml:space="preserve">    3 - Due in 31+ days: 18</t>
        </is>
      </c>
    </row>
    <row r="11">
      <c r="A11" s="11" t="inlineStr">
        <is>
          <t xml:space="preserve">    4 - Past deadline: 17</t>
        </is>
      </c>
    </row>
    <row r="12">
      <c r="A12" s="11" t="inlineStr">
        <is>
          <t xml:space="preserve">    5 - No limit on file: 4</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Where a payer had two possible limits the shorter one was used, so the real deadline can only be later, never earlier. Filing Limit and Limit Carrier name the figure applied and the carrier row it came from.</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Date Worked 1 starts empty.</t>
        </is>
      </c>
    </row>
    <row r="26">
      <c r="A26" s="11" t="inlineStr">
        <is>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is>
      </c>
    </row>
    <row r="27">
      <c r="A27" s="11" t="inlineStr"/>
    </row>
    <row r="28">
      <c r="A28" s="12" t="inlineStr">
        <is>
          <t>Corrected claim and appeal countdowns</t>
        </is>
      </c>
    </row>
    <row r="29">
      <c r="A29" s="11" t="inlineStr">
        <is>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is>
      </c>
    </row>
    <row r="30">
      <c r="A30" s="11" t="inlineStr">
        <is>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is>
      </c>
    </row>
    <row r="31">
      <c r="A31" s="11" t="inlineStr">
        <is>
          <t>These windows matter most on the rows whose initial filing deadline has already passed. Note the traps the reference calls out: Cigna does not restart the clock for a corrected claim, and Medicare separates reopening from redetermination.</t>
        </is>
      </c>
    </row>
    <row r="32">
      <c r="A32" s="11" t="inlineStr"/>
    </row>
    <row r="33">
      <c r="A33" s="12" t="inlineStr">
        <is>
          <t>How this file feeds the master</t>
        </is>
      </c>
    </row>
    <row r="34">
      <c r="A34"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5">
      <c r="A35" s="11" t="inlineStr">
        <is>
          <t>The link is matched on Primary Claim ID, not on row position, so sorting and filtering these sheets is safe. Do not edit that column, and do not rename the specialty sheet tabs.</t>
        </is>
      </c>
    </row>
    <row r="36">
      <c r="A36" s="11" t="inlineStr"/>
    </row>
    <row r="37">
      <c r="A37"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2026-08-13T00:38:29Z</dcterms:created>
  <dcterms:modified xsi:type="dcterms:W3CDTF">2026-08-13T00:38:29Z</dcterms:modified>
</cp:coreProperties>
</file>