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ayers Needing Limits" sheetId="2" state="visible" r:id="rId2"/>
    <sheet name="BH" sheetId="3" state="visible" r:id="rId3"/>
    <sheet name="DME" sheetId="4" state="visible" r:id="rId4"/>
    <sheet name="GAE" sheetId="5" state="visible" r:id="rId5"/>
    <sheet name="ORTHO" sheetId="6" state="visible" r:id="rId6"/>
    <sheet name="US" sheetId="7" state="visible" r:id="rId7"/>
    <sheet name="All Claims" sheetId="8" state="visible" r:id="rId8"/>
  </sheets>
  <definedNames>
    <definedName name="_xlnm._FilterDatabase" localSheetId="1" hidden="1">'Payers Needing Limits'!$A$4:$E$21</definedName>
    <definedName name="_xlnm._FilterDatabase" localSheetId="2" hidden="1">'BH'!$A$4:$AG$18</definedName>
    <definedName name="_xlnm._FilterDatabase" localSheetId="3" hidden="1">'DME'!$A$4:$AG$9</definedName>
    <definedName name="_xlnm._FilterDatabase" localSheetId="5" hidden="1">'ORTHO'!$A$4:$AG$15</definedName>
    <definedName name="_xlnm._FilterDatabase" localSheetId="6" hidden="1">'US'!$A$4:$AG$21</definedName>
    <definedName name="_xlnm._FilterDatabase" localSheetId="7" hidden="1">'All Claims'!$A$4:$AH$51</definedName>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0.00"/>
  </numFmts>
  <fonts count="9">
    <font>
      <name val="Calibri"/>
      <family val="2"/>
      <color theme="1"/>
      <sz val="11"/>
      <scheme val="minor"/>
    </font>
    <font>
      <name val="Arial"/>
      <b val="1"/>
      <color rgb="FF1F3864"/>
      <sz val="14"/>
    </font>
    <font>
      <name val="Arial"/>
      <i val="1"/>
      <color rgb="FF595959"/>
      <sz val="9"/>
    </font>
    <font>
      <name val="Arial"/>
      <b val="1"/>
      <color rgb="FFFFFFFF"/>
      <sz val="10"/>
    </font>
    <font>
      <name val="Arial"/>
      <sz val="10"/>
    </font>
    <font>
      <name val="Arial"/>
      <b val="1"/>
      <sz val="10"/>
    </font>
    <font>
      <name val="Arial"/>
      <i val="1"/>
      <sz val="10"/>
    </font>
    <font>
      <name val="Arial"/>
      <color rgb="FF595959"/>
      <sz val="9"/>
    </font>
    <font>
      <name val="Arial"/>
      <b val="1"/>
      <color rgb="FF1F3864"/>
      <sz val="11"/>
    </font>
  </fonts>
  <fills count="5">
    <fill>
      <patternFill/>
    </fill>
    <fill>
      <patternFill patternType="gray125"/>
    </fill>
    <fill>
      <patternFill patternType="solid">
        <fgColor rgb="FF1F3864"/>
      </patternFill>
    </fill>
    <fill>
      <patternFill patternType="solid">
        <fgColor rgb="FFFFF2CC"/>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165" fontId="4" fillId="3"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0" fontId="3" fillId="2" borderId="0" pivotButton="0" quotePrefix="0" xfId="0"/>
    <xf numFmtId="3" fontId="4" fillId="0" borderId="0" pivotButton="0" quotePrefix="0" xfId="0"/>
    <xf numFmtId="3" fontId="5" fillId="0" borderId="0" pivotButton="0" quotePrefix="0" xfId="0"/>
    <xf numFmtId="166" fontId="4" fillId="0" borderId="0" pivotButton="0" quotePrefix="0" xfId="0"/>
    <xf numFmtId="166" fontId="5" fillId="0" borderId="0" pivotButton="0" quotePrefix="0" xfId="0"/>
    <xf numFmtId="0" fontId="3" fillId="2" borderId="1" applyAlignment="1" pivotButton="0" quotePrefix="0" xfId="0">
      <alignment horizontal="center" vertical="center" wrapText="1"/>
    </xf>
    <xf numFmtId="0" fontId="4" fillId="0" borderId="1" pivotButton="0" quotePrefix="0" xfId="0"/>
    <xf numFmtId="3" fontId="4" fillId="0" borderId="1" applyAlignment="1" pivotButton="0" quotePrefix="0" xfId="0">
      <alignment horizontal="center"/>
    </xf>
    <xf numFmtId="166" fontId="4" fillId="0" borderId="1" pivotButton="0" quotePrefix="0" xfId="0"/>
    <xf numFmtId="165" fontId="4" fillId="0" borderId="1" applyAlignment="1" pivotButton="0" quotePrefix="0" xfId="0">
      <alignment horizontal="center"/>
    </xf>
    <xf numFmtId="0" fontId="4" fillId="4" borderId="1" pivotButton="0" quotePrefix="0" xfId="0"/>
    <xf numFmtId="3" fontId="4" fillId="4" borderId="1" applyAlignment="1" pivotButton="0" quotePrefix="0" xfId="0">
      <alignment horizontal="center"/>
    </xf>
    <xf numFmtId="166" fontId="4" fillId="4" borderId="1" pivotButton="0" quotePrefix="0" xfId="0"/>
    <xf numFmtId="165" fontId="4" fillId="4" borderId="1" applyAlignment="1" pivotButton="0" quotePrefix="0" xfId="0">
      <alignment horizontal="center"/>
    </xf>
    <xf numFmtId="0" fontId="4" fillId="3" borderId="1" applyAlignment="1" pivotButton="0" quotePrefix="0" xfId="0">
      <alignment vertical="top"/>
    </xf>
    <xf numFmtId="0" fontId="4" fillId="3"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165" fontId="5" fillId="0" borderId="1" applyAlignment="1" pivotButton="0" quotePrefix="0" xfId="0">
      <alignment horizontal="center"/>
    </xf>
    <xf numFmtId="1" fontId="5" fillId="0" borderId="1" applyAlignment="1" pivotButton="0" quotePrefix="0" xfId="0">
      <alignment horizontal="center"/>
    </xf>
    <xf numFmtId="166" fontId="4" fillId="0" borderId="1" applyAlignment="1" pivotButton="0" quotePrefix="0" xfId="0">
      <alignment vertical="top"/>
    </xf>
    <xf numFmtId="0" fontId="4" fillId="4" borderId="1" applyAlignment="1" pivotButton="0" quotePrefix="0" xfId="0">
      <alignment vertical="top"/>
    </xf>
    <xf numFmtId="0" fontId="4" fillId="4" borderId="1" applyAlignment="1" pivotButton="0" quotePrefix="0" xfId="0">
      <alignment vertical="top" wrapText="1"/>
    </xf>
    <xf numFmtId="165" fontId="5" fillId="4" borderId="1" applyAlignment="1" pivotButton="0" quotePrefix="0" xfId="0">
      <alignment horizontal="center"/>
    </xf>
    <xf numFmtId="1" fontId="5" fillId="4" borderId="1" applyAlignment="1" pivotButton="0" quotePrefix="0" xfId="0">
      <alignment horizontal="center"/>
    </xf>
    <xf numFmtId="166" fontId="4" fillId="4" borderId="1" applyAlignment="1" pivotButton="0" quotePrefix="0" xfId="0">
      <alignment vertical="top"/>
    </xf>
    <xf numFmtId="0" fontId="6" fillId="0" borderId="0" pivotButton="0" quotePrefix="0" xfId="0"/>
    <xf numFmtId="0" fontId="7" fillId="0" borderId="1" applyAlignment="1" pivotButton="0" quotePrefix="0" xfId="0">
      <alignment horizontal="center"/>
    </xf>
    <xf numFmtId="0" fontId="7" fillId="4" borderId="1" applyAlignment="1" pivotButton="0" quotePrefix="0" xfId="0">
      <alignment horizontal="center"/>
    </xf>
  </cellXfs>
  <cellStyles count="1">
    <cellStyle name="Normal" xfId="0" builtinId="0" hidden="0"/>
  </cellStyles>
  <dxfs count="3">
    <dxf>
      <fill>
        <patternFill patternType="solid">
          <fgColor rgb="FFFFC7CE"/>
        </patternFill>
      </fill>
    </dxf>
    <dxf>
      <fill>
        <patternFill patternType="solid">
          <fgColor rgb="FFFFEB9C"/>
        </patternFill>
      </fill>
    </dxf>
    <dxf>
      <fill>
        <patternFill patternType="solid">
          <fgColor rgb="FF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60" customWidth="1" min="6" max="6"/>
  </cols>
  <sheetData>
    <row r="1">
      <c r="A1" s="1" t="inlineStr">
        <is>
          <t>Timely filing 10 day watchlist - Specialty Claims Pending 2026-S1</t>
        </is>
      </c>
    </row>
    <row r="2">
      <c r="A2" s="2" t="inlineStr">
        <is>
          <t>Pending claims whose timely filing deadline, based on the primary payer, falls within the next 10 days.</t>
        </is>
      </c>
    </row>
    <row r="4">
      <c r="A4" s="3" t="inlineStr">
        <is>
          <t>Snapshot date (filter applied)</t>
        </is>
      </c>
      <c r="B4" s="4" t="n">
        <v>46244</v>
      </c>
    </row>
    <row r="5">
      <c r="A5" s="3" t="inlineStr">
        <is>
          <t>Window (days to deadline)</t>
        </is>
      </c>
      <c r="B5" s="5" t="inlineStr">
        <is>
          <t>0 to 10</t>
        </is>
      </c>
    </row>
    <row r="6">
      <c r="A6" s="3" t="inlineStr">
        <is>
          <t>Claims on the watchlist</t>
        </is>
      </c>
      <c r="B6" s="3" t="n">
        <v>47</v>
      </c>
    </row>
    <row r="8">
      <c r="A8" s="6" t="inlineStr">
        <is>
          <t>How the watchlist was built</t>
        </is>
      </c>
    </row>
    <row r="9" ht="30" customHeight="1">
      <c r="A9" s="7" t="inlineStr">
        <is>
          <t>1. Source: the 'Merged' sheet of 'Specialty Claims Pending 2026-S1.xlsx' (1086 claim lines).</t>
        </is>
      </c>
    </row>
    <row r="10" ht="30" customHeight="1">
      <c r="A10" s="7" t="inlineStr">
        <is>
          <t>2. Each claim's Primary Payer Name was matched to a carrier in 'Carrier_Timely_Filing_Reference.xlsx' using column F of its 'Timely Filing' tab (Likely Payer Name(s) in AR Data). Responsible Payer was not used - the filter is driven by the primary payer, as requested.</t>
        </is>
      </c>
    </row>
    <row r="11" ht="30" customHeight="1">
      <c r="A11" s="7" t="inlineStr">
        <is>
          <t>3. Filing Deadline = Date of Service + the carrier's timely filing limit. The deadline is a live formula (Date of Service + Timely Filing Limit), and Days Until Deadline recalculates against TODAY() every time the file is opened.</t>
        </is>
      </c>
    </row>
    <row r="12" ht="30" customHeight="1">
      <c r="A12" s="7" t="inlineStr">
        <is>
          <t>4. A claim is on the watchlist when its deadline is between 0 and 10 days away as of the snapshot date above.</t>
        </is>
      </c>
    </row>
    <row r="14">
      <c r="A14" s="6" t="inlineStr">
        <is>
          <t>What happened to the other claims</t>
        </is>
      </c>
    </row>
    <row r="15">
      <c r="A15" s="8" t="inlineStr">
        <is>
          <t>Bucket</t>
        </is>
      </c>
      <c r="B15" s="8" t="inlineStr">
        <is>
          <t>Claim lines</t>
        </is>
      </c>
      <c r="F15" s="8" t="inlineStr">
        <is>
          <t>Note</t>
        </is>
      </c>
    </row>
    <row r="16" ht="28" customHeight="1">
      <c r="A16" s="5" t="inlineStr">
        <is>
          <t>On this watchlist (0-10 days)</t>
        </is>
      </c>
      <c r="B16" s="9" t="n">
        <v>47</v>
      </c>
      <c r="F16" s="7" t="inlineStr">
        <is>
          <t>Included in this workbook.</t>
        </is>
      </c>
    </row>
    <row r="17" ht="28" customHeight="1">
      <c r="A17" s="5" t="inlineStr">
        <is>
          <t>Deadline more than 10 days away</t>
        </is>
      </c>
      <c r="B17" s="9" t="n">
        <v>634</v>
      </c>
      <c r="F17" s="7" t="inlineStr">
        <is>
          <t>Not urgent yet - not included.</t>
        </is>
      </c>
    </row>
    <row r="18" ht="28" customHeight="1">
      <c r="A18" s="5" t="inlineStr">
        <is>
          <t>Deadline already passed</t>
        </is>
      </c>
      <c r="B18" s="9" t="n">
        <v>281</v>
      </c>
      <c r="F18" s="7" t="inlineStr">
        <is>
          <t>Past the filing limit as of the snapshot date. Outside what was asked for, but worth a separate appeal / write-off review.</t>
        </is>
      </c>
    </row>
    <row r="19" ht="28" customHeight="1">
      <c r="A19" s="5" t="inlineStr">
        <is>
          <t>No timely filing limit on file</t>
        </is>
      </c>
      <c r="B19" s="9" t="n">
        <v>124</v>
      </c>
      <c r="F19" s="7" t="inlineStr">
        <is>
          <t>Primary payer has no limit in the reference file, or no matching payer name. Listed on the 'Payers Needing Limits' tab - a deadline cannot be calculated for these.</t>
        </is>
      </c>
    </row>
    <row r="20" ht="28" customHeight="1">
      <c r="A20" s="3" t="inlineStr">
        <is>
          <t>Total claim lines in source file</t>
        </is>
      </c>
      <c r="B20" s="10" t="n">
        <v>1086</v>
      </c>
      <c r="F20" s="7" t="inlineStr"/>
    </row>
    <row r="22">
      <c r="A22" s="6" t="inlineStr">
        <is>
          <t>Watchlist by specialty (live counts)</t>
        </is>
      </c>
    </row>
    <row r="23">
      <c r="A23" s="8" t="inlineStr">
        <is>
          <t>Tab</t>
        </is>
      </c>
      <c r="B23" s="8" t="inlineStr">
        <is>
          <t>Specialty</t>
        </is>
      </c>
      <c r="C23" s="8" t="inlineStr">
        <is>
          <t>Claim lines</t>
        </is>
      </c>
      <c r="D23" s="8" t="inlineStr">
        <is>
          <t>Balance at risk</t>
        </is>
      </c>
    </row>
    <row r="24">
      <c r="A24" s="3" t="inlineStr">
        <is>
          <t>BH</t>
        </is>
      </c>
      <c r="B24" s="5" t="inlineStr">
        <is>
          <t>Behavioral Health</t>
        </is>
      </c>
      <c r="C24" s="9">
        <f>COUNTA('BH'!C5:C69)</f>
        <v/>
      </c>
      <c r="D24" s="11">
        <f>SUM('BH'!W5:W69)</f>
        <v/>
      </c>
    </row>
    <row r="25">
      <c r="A25" s="3" t="inlineStr">
        <is>
          <t>DME</t>
        </is>
      </c>
      <c r="B25" s="5" t="inlineStr">
        <is>
          <t>Durable Medical Equipment</t>
        </is>
      </c>
      <c r="C25" s="9">
        <f>COUNTA('DME'!C5:C60)</f>
        <v/>
      </c>
      <c r="D25" s="11">
        <f>SUM('DME'!W5:W60)</f>
        <v/>
      </c>
    </row>
    <row r="26">
      <c r="A26" s="3" t="inlineStr">
        <is>
          <t>GAE</t>
        </is>
      </c>
      <c r="B26" s="5" t="inlineStr">
        <is>
          <t>Genicular Artery Embolization</t>
        </is>
      </c>
      <c r="C26" s="9">
        <f>COUNTA('GAE'!C5:C56)</f>
        <v/>
      </c>
      <c r="D26" s="11">
        <f>SUM('GAE'!W5:W56)</f>
        <v/>
      </c>
    </row>
    <row r="27">
      <c r="A27" s="3" t="inlineStr">
        <is>
          <t>ORTHO</t>
        </is>
      </c>
      <c r="B27" s="5" t="inlineStr">
        <is>
          <t>Orthopedic</t>
        </is>
      </c>
      <c r="C27" s="9">
        <f>COUNTA('ORTHO'!C5:C66)</f>
        <v/>
      </c>
      <c r="D27" s="11">
        <f>SUM('ORTHO'!W5:W66)</f>
        <v/>
      </c>
    </row>
    <row r="28">
      <c r="A28" s="3" t="inlineStr">
        <is>
          <t>US</t>
        </is>
      </c>
      <c r="B28" s="5" t="inlineStr">
        <is>
          <t>Ultrasound</t>
        </is>
      </c>
      <c r="C28" s="9">
        <f>COUNTA('US'!C5:C72)</f>
        <v/>
      </c>
      <c r="D28" s="11">
        <f>SUM('US'!W5:W72)</f>
        <v/>
      </c>
    </row>
    <row r="29">
      <c r="A29" s="3" t="inlineStr">
        <is>
          <t>TOTAL</t>
        </is>
      </c>
      <c r="C29" s="10">
        <f>SUM(C24:C28)</f>
        <v/>
      </c>
      <c r="D29" s="12">
        <f>SUM(D24:D28)</f>
        <v/>
      </c>
    </row>
    <row r="31">
      <c r="A31" s="6" t="inlineStr">
        <is>
          <t>How to use the workbook</t>
        </is>
      </c>
    </row>
    <row r="32" ht="44" customHeight="1">
      <c r="A32" s="7" t="inlineStr">
        <is>
          <t>Amber cells are yours to fill in. On each specialty tab, Claim Status (column A) and Notes (column B) are the only editable columns - Claim Status has a drop-down of the values already used in the source file, but you can type anything.</t>
        </is>
      </c>
    </row>
    <row r="33" ht="44" customHeight="1">
      <c r="A33" s="7" t="inlineStr">
        <is>
          <t>The 'All Claims' tab repeats every watchlist claim with no specialty split. Its Claim Status and Notes cells are formulas pointing at the matching row on the specialty tab, so anything you type on a specialty tab appears there as soon as the sheet recalculates. Do not type over columns A and B of 'All Claims' - that would break the link. The last column on that tab names the exact cell each row is linked to.</t>
        </is>
      </c>
    </row>
    <row r="34" ht="44" customHeight="1">
      <c r="A34" s="7" t="inlineStr">
        <is>
          <t>Every tab has a filter on the header row and a frozen header. Days Until Deadline is shaded red at 3 days or less, amber at 4-7 days and green above 7.</t>
        </is>
      </c>
    </row>
    <row r="35" ht="44" customHeight="1">
      <c r="A35" s="7" t="inlineStr">
        <is>
          <t>The claims are unchanged copies of the source rows; nothing has been re-keyed. One row is one claim line (procedure code), so a claim with several procedure codes appears on several rows.</t>
        </is>
      </c>
    </row>
    <row r="37">
      <c r="A37" s="6" t="inlineStr">
        <is>
          <t>Assumptions and caveats</t>
        </is>
      </c>
    </row>
    <row r="38" ht="40" customHeight="1">
      <c r="A38" s="7" t="inlineStr">
        <is>
          <t>- Humana and Humana Gold Plus HMO carry two limits - 180 days for physicians and 90 for ancillary providers. The shorter 90 days is applied so nothing is missed; confirm the provider category before relying on it. Flagged in the Limit Basis / Caveat column. (Using 180 days instead would change one claim on this watchlist.)</t>
        </is>
      </c>
    </row>
    <row r="39" ht="40" customHeight="1">
      <c r="A39" s="7" t="inlineStr">
        <is>
          <t>- TRIWEST VA CCN CLAIMS covers two programmes with different limits - TriWest at 120 days and VA CCN at 180. The shorter 120 days is applied. No claim under this payer reaches the 10 day window either way.</t>
        </is>
      </c>
    </row>
    <row r="40" ht="40" customHeight="1">
      <c r="A40" s="7" t="inlineStr">
        <is>
          <t>- Blue Cross Blue Shield of Arizona moved from 365 to 90 days effective 01/01/2026. Every date of service in the source file is in 2026, so 90 days applies throughout.</t>
        </is>
      </c>
    </row>
    <row r="41" ht="40" customHeight="1">
      <c r="A41" s="7" t="inlineStr">
        <is>
          <t>- Health Choice Arizona (7 calendar months) and Health Choice Pathway (6 calendar months) are stated in months, so their deadlines are counted in calendar months rather than a fixed day count. No Health Choice claim reaches the 10 day window, so every deadline formula in this workbook is a simple day count.</t>
        </is>
      </c>
    </row>
    <row r="42" ht="40" customHeight="1">
      <c r="A42" s="7" t="inlineStr">
        <is>
          <t>- Banner University MA and Banner University Medicaid are recorded at 120 days but flagged by the practice as needing verification against the contract. Aetna's 120 days comes from our contract rather than a published policy.</t>
        </is>
      </c>
    </row>
    <row r="43" ht="40" customHeight="1">
      <c r="A43" s="7" t="inlineStr">
        <is>
          <t>- Limits are counted from the date of service. Secondary claims are commonly counted from the primary carrier's remittance date instead - that is not captured in the reference file and should be checked per carrier for any row with a Secondary Payer Name.</t>
        </is>
      </c>
    </row>
    <row r="44" ht="40" customHeight="1">
      <c r="A44" s="7" t="inlineStr">
        <is>
          <t>- Payer matching relies on column F of the reference file, which its own notes describe as a convenience aid rather than an authoritative crosswalk. Confirm the payer before writing off a claim as untimely.</t>
        </is>
      </c>
    </row>
    <row r="45" ht="40" customHeight="1">
      <c r="A45" s="7" t="inlineStr">
        <is>
          <t>- Bucket counts in the table above describe the source file at the snapshot date and are fixed values, not formulas - the source data is not carried into this workbook.</t>
        </is>
      </c>
    </row>
    <row r="47">
      <c r="A47" s="2" t="inlineStr">
        <is>
          <t>Sources: Specialty Claims Pending 2026-S1.xlsx (Merged tab) and Carrier_Timely_Filing_Reference.xlsx (Timely Filing tab), both in the repository root. Generated 10 August 2026.</t>
        </is>
      </c>
    </row>
  </sheetData>
  <mergeCells count="17">
    <mergeCell ref="A38:F38"/>
    <mergeCell ref="A33:F33"/>
    <mergeCell ref="A11:F11"/>
    <mergeCell ref="A41:F41"/>
    <mergeCell ref="A10:F10"/>
    <mergeCell ref="A42:F42"/>
    <mergeCell ref="A47:F47"/>
    <mergeCell ref="A44:F44"/>
    <mergeCell ref="A45:F45"/>
    <mergeCell ref="A32:F32"/>
    <mergeCell ref="A9:F9"/>
    <mergeCell ref="A34:F34"/>
    <mergeCell ref="A12:F12"/>
    <mergeCell ref="A35:F35"/>
    <mergeCell ref="A40:F40"/>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66" customWidth="1" min="1" max="1"/>
    <col width="12" customWidth="1" min="2" max="2"/>
    <col width="18" customWidth="1" min="3" max="3"/>
    <col width="20" customWidth="1" min="4" max="4"/>
    <col width="20" customWidth="1" min="5" max="5"/>
  </cols>
  <sheetData>
    <row r="1">
      <c r="A1" s="1" t="inlineStr">
        <is>
          <t>Primary payers with no timely filing limit on file</t>
        </is>
      </c>
    </row>
    <row r="2" ht="42" customHeight="1">
      <c r="A2" s="2" t="inlineStr">
        <is>
          <t>These claim lines could not be given a deadline, so they are not on the watchlist. Either the carrier has no limit in Carrier_Timely_Filing_Reference.xlsx, or the payer name in the AR data has no match in column F of its Timely Filing tab. Get the limit from the contract or the current provider manual, then re-run the watchlist.</t>
        </is>
      </c>
    </row>
    <row r="4" ht="30" customHeight="1">
      <c r="A4" s="13" t="inlineStr">
        <is>
          <t>Primary Payer Name</t>
        </is>
      </c>
      <c r="B4" s="13" t="inlineStr">
        <is>
          <t>Claim lines</t>
        </is>
      </c>
      <c r="C4" s="13" t="inlineStr">
        <is>
          <t>Insurance balance</t>
        </is>
      </c>
      <c r="D4" s="13" t="inlineStr">
        <is>
          <t>Earliest date of service</t>
        </is>
      </c>
      <c r="E4" s="13" t="inlineStr">
        <is>
          <t>Latest date of service</t>
        </is>
      </c>
    </row>
    <row r="5">
      <c r="A5" s="14" t="inlineStr">
        <is>
          <t>Alignment Health Care</t>
        </is>
      </c>
      <c r="B5" s="15" t="n">
        <v>26</v>
      </c>
      <c r="C5" s="16" t="n">
        <v>52359.41</v>
      </c>
      <c r="D5" s="17" t="n">
        <v>46062</v>
      </c>
      <c r="E5" s="17" t="n">
        <v>46198</v>
      </c>
    </row>
    <row r="6">
      <c r="A6" s="18" t="inlineStr">
        <is>
          <t>UMR Wausau / UHIS</t>
        </is>
      </c>
      <c r="B6" s="19" t="n">
        <v>23</v>
      </c>
      <c r="C6" s="20" t="n">
        <v>159298.16</v>
      </c>
      <c r="D6" s="21" t="n">
        <v>46034</v>
      </c>
      <c r="E6" s="21" t="n">
        <v>46195</v>
      </c>
    </row>
    <row r="7">
      <c r="A7" s="14" t="inlineStr">
        <is>
          <t>Gold Kidney Health Plan</t>
        </is>
      </c>
      <c r="B7" s="15" t="n">
        <v>22</v>
      </c>
      <c r="C7" s="16" t="n">
        <v>113729.42</v>
      </c>
      <c r="D7" s="17" t="n">
        <v>46045</v>
      </c>
      <c r="E7" s="17" t="n">
        <v>46197</v>
      </c>
    </row>
    <row r="8">
      <c r="A8" s="18" t="inlineStr">
        <is>
          <t>AARP MedicareComplete (SecureHorizons &amp; Oxford Network)</t>
        </is>
      </c>
      <c r="B8" s="19" t="n">
        <v>15</v>
      </c>
      <c r="C8" s="20" t="n">
        <v>36511.16</v>
      </c>
      <c r="D8" s="21" t="n">
        <v>46058</v>
      </c>
      <c r="E8" s="21" t="n">
        <v>46198</v>
      </c>
    </row>
    <row r="9">
      <c r="A9" s="14" t="inlineStr">
        <is>
          <t>Imperial Insurance Companies Inc Exchange AZ (IEXAZ) (WAYSTAR ONLY)</t>
        </is>
      </c>
      <c r="B9" s="15" t="n">
        <v>6</v>
      </c>
      <c r="C9" s="16" t="n">
        <v>12620.93</v>
      </c>
      <c r="D9" s="17" t="n">
        <v>46108</v>
      </c>
      <c r="E9" s="17" t="n">
        <v>46190</v>
      </c>
    </row>
    <row r="10">
      <c r="A10" s="18" t="inlineStr">
        <is>
          <t>SCAN Health Plan (Village Health Plan)</t>
        </is>
      </c>
      <c r="B10" s="19" t="n">
        <v>4</v>
      </c>
      <c r="C10" s="20" t="n">
        <v>3546.2</v>
      </c>
      <c r="D10" s="21" t="n">
        <v>46182</v>
      </c>
      <c r="E10" s="21" t="n">
        <v>46190</v>
      </c>
    </row>
    <row r="11">
      <c r="A11" s="14" t="inlineStr">
        <is>
          <t>Meritain Health</t>
        </is>
      </c>
      <c r="B11" s="15" t="n">
        <v>4</v>
      </c>
      <c r="C11" s="16" t="n">
        <v>17028.69</v>
      </c>
      <c r="D11" s="17" t="n">
        <v>46178</v>
      </c>
      <c r="E11" s="17" t="n">
        <v>46202</v>
      </c>
    </row>
    <row r="12">
      <c r="A12" s="18" t="inlineStr">
        <is>
          <t>Medica Health Plan Solutions (Mayo Plan - CHI Health)</t>
        </is>
      </c>
      <c r="B12" s="19" t="n">
        <v>4</v>
      </c>
      <c r="C12" s="20" t="n">
        <v>2799.16</v>
      </c>
      <c r="D12" s="21" t="n">
        <v>46045</v>
      </c>
      <c r="E12" s="21" t="n">
        <v>46101</v>
      </c>
    </row>
    <row r="13">
      <c r="A13" s="14" t="inlineStr">
        <is>
          <t>Banner University Care Dual Advantage Plan</t>
        </is>
      </c>
      <c r="B13" s="15" t="n">
        <v>3</v>
      </c>
      <c r="C13" s="16" t="n">
        <v>349.84</v>
      </c>
      <c r="D13" s="17" t="n">
        <v>46104</v>
      </c>
      <c r="E13" s="17" t="n">
        <v>46198</v>
      </c>
    </row>
    <row r="14">
      <c r="A14" s="18" t="inlineStr">
        <is>
          <t>Medicare Railroad (RR Medicare MetraHealth) 00882</t>
        </is>
      </c>
      <c r="B14" s="19" t="n">
        <v>3</v>
      </c>
      <c r="C14" s="20" t="n">
        <v>36397.19</v>
      </c>
      <c r="D14" s="21" t="n">
        <v>46104</v>
      </c>
      <c r="E14" s="21" t="n">
        <v>46133</v>
      </c>
    </row>
    <row r="15">
      <c r="A15" s="14" t="inlineStr">
        <is>
          <t>Mercy Care Health Plan Advantage (AHCCCS)</t>
        </is>
      </c>
      <c r="B15" s="15" t="n">
        <v>3</v>
      </c>
      <c r="C15" s="16" t="n">
        <v>3822.49</v>
      </c>
      <c r="D15" s="17" t="n">
        <v>46177</v>
      </c>
      <c r="E15" s="17" t="n">
        <v>46177</v>
      </c>
    </row>
    <row r="16">
      <c r="A16" s="18" t="inlineStr">
        <is>
          <t>AFSAT MEDICAL PLAN</t>
        </is>
      </c>
      <c r="B16" s="19" t="n">
        <v>2</v>
      </c>
      <c r="C16" s="20" t="n">
        <v>9056.389999999999</v>
      </c>
      <c r="D16" s="21" t="n">
        <v>46127</v>
      </c>
      <c r="E16" s="21" t="n">
        <v>46127</v>
      </c>
    </row>
    <row r="17">
      <c r="A17" s="14" t="inlineStr">
        <is>
          <t>EMI Health (Educators Mutual - EMIA)</t>
        </is>
      </c>
      <c r="B17" s="15" t="n">
        <v>2</v>
      </c>
      <c r="C17" s="16" t="n">
        <v>1426.25</v>
      </c>
      <c r="D17" s="17" t="n">
        <v>46170</v>
      </c>
      <c r="E17" s="17" t="n">
        <v>46170</v>
      </c>
    </row>
    <row r="18">
      <c r="A18" s="18" t="inlineStr">
        <is>
          <t>Tricare West</t>
        </is>
      </c>
      <c r="B18" s="19" t="n">
        <v>2</v>
      </c>
      <c r="C18" s="20" t="n">
        <v>6078.66</v>
      </c>
      <c r="D18" s="21" t="n">
        <v>46048</v>
      </c>
      <c r="E18" s="21" t="n">
        <v>46175</v>
      </c>
    </row>
    <row r="19">
      <c r="A19" s="14" t="inlineStr">
        <is>
          <t>Summit Administration Services, Inc</t>
        </is>
      </c>
      <c r="B19" s="15" t="n">
        <v>2</v>
      </c>
      <c r="C19" s="16" t="n">
        <v>1426.25</v>
      </c>
      <c r="D19" s="17" t="n">
        <v>46185</v>
      </c>
      <c r="E19" s="17" t="n">
        <v>46185</v>
      </c>
    </row>
    <row r="20">
      <c r="A20" s="18" t="inlineStr">
        <is>
          <t>Tricare for Life (All Regions)</t>
        </is>
      </c>
      <c r="B20" s="19" t="n">
        <v>2</v>
      </c>
      <c r="C20" s="20" t="n">
        <v>1426.25</v>
      </c>
      <c r="D20" s="21" t="n">
        <v>46175</v>
      </c>
      <c r="E20" s="21" t="n">
        <v>46175</v>
      </c>
    </row>
    <row r="21">
      <c r="A21" s="14" t="inlineStr">
        <is>
          <t>DME Region C</t>
        </is>
      </c>
      <c r="B21" s="15" t="n">
        <v>1</v>
      </c>
      <c r="C21" s="16" t="n">
        <v>72707.60000000001</v>
      </c>
      <c r="D21" s="17" t="n">
        <v>46076</v>
      </c>
      <c r="E21" s="17" t="n">
        <v>46076</v>
      </c>
    </row>
    <row r="22">
      <c r="A22" s="3" t="inlineStr">
        <is>
          <t>TOTAL</t>
        </is>
      </c>
      <c r="B22" s="10">
        <f>SUM(B5:B21)</f>
        <v/>
      </c>
      <c r="C22" s="12">
        <f>SUM(C5:C21)</f>
        <v/>
      </c>
    </row>
  </sheetData>
  <autoFilter ref="A4:E21"/>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5" customWidth="1" min="3" max="3"/>
    <col width="14" customWidth="1" min="4" max="4"/>
    <col width="40" customWidth="1" min="5" max="5"/>
    <col width="36" customWidth="1" min="6" max="6"/>
    <col width="36" customWidth="1" min="7" max="7"/>
    <col width="13" customWidth="1" min="8" max="8"/>
    <col width="12" customWidth="1" min="9" max="9"/>
    <col width="10" customWidth="1" min="10" max="10"/>
    <col width="13" customWidth="1" min="11" max="11"/>
    <col width="12" customWidth="1" min="12" max="12"/>
    <col width="12" customWidth="1" min="13" max="13"/>
    <col width="30" customWidth="1" min="14" max="14"/>
    <col width="52" customWidth="1" min="15" max="15"/>
    <col width="10" customWidth="1" min="16" max="16"/>
    <col width="10" customWidth="1" min="17" max="17"/>
    <col width="10" customWidth="1" min="18" max="18"/>
    <col width="7" customWidth="1" min="19" max="19"/>
    <col width="13" customWidth="1" min="20" max="20"/>
    <col width="14" customWidth="1" min="21" max="21"/>
    <col width="12" customWidth="1" min="22" max="22"/>
    <col width="14" customWidth="1" min="23" max="23"/>
    <col width="11" customWidth="1" min="24" max="24"/>
    <col width="22" customWidth="1" min="25" max="25"/>
    <col width="24" customWidth="1" min="26" max="26"/>
    <col width="15" customWidth="1" min="27" max="27"/>
    <col width="12" customWidth="1" min="28" max="28"/>
    <col width="13" customWidth="1" min="29" max="29"/>
    <col width="11" customWidth="1" min="30" max="30"/>
    <col width="11" customWidth="1" min="31" max="31"/>
    <col width="11" customWidth="1" min="32" max="32"/>
    <col width="11" customWidth="1" min="33" max="33"/>
  </cols>
  <sheetData>
    <row r="1">
      <c r="A1" s="1" t="inlineStr">
        <is>
          <t>Behavioral Health (BH) - timely filing 10 day watchlist</t>
        </is>
      </c>
    </row>
    <row r="2">
      <c r="A2" s="2" t="inlineStr">
        <is>
          <t>Claims whose primary payer timely filing deadline falls within 10 days of 10 August 2026. Fill in the amber Claim Status and Notes columns - they feed the All Claims tab automatically. Every other column is copied from the source file or calculated.</t>
        </is>
      </c>
    </row>
    <row r="4" ht="32" customHeight="1">
      <c r="A4" s="13" t="inlineStr">
        <is>
          <t>Claim Status</t>
        </is>
      </c>
      <c r="B4" s="13" t="inlineStr">
        <is>
          <t>Notes</t>
        </is>
      </c>
      <c r="C4" s="13" t="inlineStr">
        <is>
          <t>Primary Claim ID</t>
        </is>
      </c>
      <c r="D4" s="13" t="inlineStr">
        <is>
          <t>Chart Number</t>
        </is>
      </c>
      <c r="E4" s="13" t="inlineStr">
        <is>
          <t>Responsible Payer</t>
        </is>
      </c>
      <c r="F4" s="13" t="inlineStr">
        <is>
          <t>Primary Payer Name</t>
        </is>
      </c>
      <c r="G4" s="13" t="inlineStr">
        <is>
          <t>Secondary Payer Name</t>
        </is>
      </c>
      <c r="H4" s="13" t="inlineStr">
        <is>
          <t>Date of Service</t>
        </is>
      </c>
      <c r="I4" s="13" t="inlineStr">
        <is>
          <t>Procedure Code</t>
        </is>
      </c>
      <c r="J4" s="13" t="inlineStr">
        <is>
          <t>Specialty</t>
        </is>
      </c>
      <c r="K4" s="13" t="inlineStr">
        <is>
          <t>Filing Deadline</t>
        </is>
      </c>
      <c r="L4" s="13" t="inlineStr">
        <is>
          <t>Days Until Deadline</t>
        </is>
      </c>
      <c r="M4" s="13" t="inlineStr">
        <is>
          <t>Timely Filing Limit (Days)</t>
        </is>
      </c>
      <c r="N4" s="13" t="inlineStr">
        <is>
          <t>Reference Carrier</t>
        </is>
      </c>
      <c r="O4" s="13" t="inlineStr">
        <is>
          <t>Limit Basis / Caveat</t>
        </is>
      </c>
      <c r="P4" s="13" t="inlineStr">
        <is>
          <t>Modifier 1</t>
        </is>
      </c>
      <c r="Q4" s="13" t="inlineStr">
        <is>
          <t>Modifier 2</t>
        </is>
      </c>
      <c r="R4" s="13" t="inlineStr">
        <is>
          <t>Modifier 3</t>
        </is>
      </c>
      <c r="S4" s="13" t="inlineStr">
        <is>
          <t>Units</t>
        </is>
      </c>
      <c r="T4" s="13" t="inlineStr">
        <is>
          <t>Charge Amount</t>
        </is>
      </c>
      <c r="U4" s="13" t="inlineStr">
        <is>
          <t>Insurance Payment</t>
        </is>
      </c>
      <c r="V4" s="13" t="inlineStr">
        <is>
          <t>Adjustment</t>
        </is>
      </c>
      <c r="W4" s="13" t="inlineStr">
        <is>
          <t>Insurance Balance</t>
        </is>
      </c>
      <c r="X4" s="13" t="inlineStr">
        <is>
          <t>AR Age by Service Date</t>
        </is>
      </c>
      <c r="Y4" s="13" t="inlineStr">
        <is>
          <t>Rendering Provider</t>
        </is>
      </c>
      <c r="Z4" s="13" t="inlineStr">
        <is>
          <t>Location Name</t>
        </is>
      </c>
      <c r="AA4" s="13" t="inlineStr">
        <is>
          <t>Secondary Claim ID</t>
        </is>
      </c>
      <c r="AB4" s="13" t="inlineStr">
        <is>
          <t>Created Date</t>
        </is>
      </c>
      <c r="AC4" s="13" t="inlineStr">
        <is>
          <t>Insurance Check Date</t>
        </is>
      </c>
      <c r="AD4" s="13" t="inlineStr">
        <is>
          <t>Diagnosis Code 1</t>
        </is>
      </c>
      <c r="AE4" s="13" t="inlineStr">
        <is>
          <t>Diagnosis Code 2</t>
        </is>
      </c>
      <c r="AF4" s="13" t="inlineStr">
        <is>
          <t>Diagnosis Code 3</t>
        </is>
      </c>
      <c r="AG4" s="13" t="inlineStr">
        <is>
          <t>Diagnosis Code 4</t>
        </is>
      </c>
    </row>
    <row r="5">
      <c r="A5" s="22" t="inlineStr">
        <is>
          <t>Received</t>
        </is>
      </c>
      <c r="B5" s="23" t="n"/>
      <c r="C5" s="15" t="n">
        <v>559340053</v>
      </c>
      <c r="D5" s="24" t="inlineStr">
        <is>
          <t>HF458717535</t>
        </is>
      </c>
      <c r="E5" s="25" t="inlineStr">
        <is>
          <t>Blue Cross Blue Shield of Arizona (BCBS AZ)</t>
        </is>
      </c>
      <c r="F5" s="25" t="inlineStr">
        <is>
          <t>Blue Cross Blue Shield of Arizona (BCBS AZ)</t>
        </is>
      </c>
      <c r="G5" s="25" t="inlineStr">
        <is>
          <t>No Payer</t>
        </is>
      </c>
      <c r="H5" s="17" t="n">
        <v>46154</v>
      </c>
      <c r="I5" s="24" t="inlineStr">
        <is>
          <t>99492</t>
        </is>
      </c>
      <c r="J5" s="24" t="inlineStr">
        <is>
          <t>BH</t>
        </is>
      </c>
      <c r="K5" s="26">
        <f>H5+M5</f>
        <v/>
      </c>
      <c r="L5" s="27">
        <f>K5-TODAY()</f>
        <v/>
      </c>
      <c r="M5" s="15" t="n">
        <v>90</v>
      </c>
      <c r="N5" s="24" t="inlineStr">
        <is>
          <t>BCBS</t>
        </is>
      </c>
      <c r="O5" s="25" t="inlineStr">
        <is>
          <t>Limit cut from 365 to 90 days effective 01/01/2026; 90 applies because the date of service is in 2026.</t>
        </is>
      </c>
      <c r="P5" s="24" t="n"/>
      <c r="Q5" s="24" t="n"/>
      <c r="R5" s="24" t="n"/>
      <c r="S5" s="15" t="n">
        <v>1</v>
      </c>
      <c r="T5" s="28" t="n">
        <v>1029.98</v>
      </c>
      <c r="U5" s="28" t="n">
        <v>0</v>
      </c>
      <c r="V5" s="28" t="n">
        <v>0</v>
      </c>
      <c r="W5" s="28" t="n">
        <v>826.36</v>
      </c>
      <c r="X5" s="15" t="n">
        <v>88</v>
      </c>
      <c r="Y5" s="24" t="inlineStr">
        <is>
          <t>SARKAR, AWNIK</t>
        </is>
      </c>
      <c r="Z5" s="24" t="inlineStr">
        <is>
          <t>ASAP Peoria</t>
        </is>
      </c>
      <c r="AA5" s="15" t="n"/>
      <c r="AB5" s="17" t="n">
        <v>46180</v>
      </c>
      <c r="AC5" s="17" t="n">
        <v>46216</v>
      </c>
      <c r="AD5" s="24" t="inlineStr">
        <is>
          <t>F4320</t>
        </is>
      </c>
      <c r="AE5" s="24" t="n"/>
      <c r="AF5" s="24" t="n"/>
      <c r="AG5" s="24" t="n"/>
    </row>
    <row r="6">
      <c r="A6" s="22" t="inlineStr">
        <is>
          <t>Received</t>
        </is>
      </c>
      <c r="B6" s="23" t="n"/>
      <c r="C6" s="19" t="n">
        <v>559340053</v>
      </c>
      <c r="D6" s="29" t="inlineStr">
        <is>
          <t>HF458717535</t>
        </is>
      </c>
      <c r="E6" s="30" t="inlineStr">
        <is>
          <t>Blue Cross Blue Shield of Arizona (BCBS AZ)</t>
        </is>
      </c>
      <c r="F6" s="30" t="inlineStr">
        <is>
          <t>Blue Cross Blue Shield of Arizona (BCBS AZ)</t>
        </is>
      </c>
      <c r="G6" s="30" t="inlineStr">
        <is>
          <t>No Payer</t>
        </is>
      </c>
      <c r="H6" s="21" t="n">
        <v>46154</v>
      </c>
      <c r="I6" s="29" t="inlineStr">
        <is>
          <t>99494</t>
        </is>
      </c>
      <c r="J6" s="29" t="inlineStr">
        <is>
          <t>BH</t>
        </is>
      </c>
      <c r="K6" s="31">
        <f>H6+M6</f>
        <v/>
      </c>
      <c r="L6" s="32">
        <f>K6-TODAY()</f>
        <v/>
      </c>
      <c r="M6" s="19" t="n">
        <v>90</v>
      </c>
      <c r="N6" s="29" t="inlineStr">
        <is>
          <t>BCBS</t>
        </is>
      </c>
      <c r="O6" s="30" t="inlineStr">
        <is>
          <t>Limit cut from 365 to 90 days effective 01/01/2026; 90 applies because the date of service is in 2026.</t>
        </is>
      </c>
      <c r="P6" s="29" t="n"/>
      <c r="Q6" s="29" t="n"/>
      <c r="R6" s="29" t="n"/>
      <c r="S6" s="19" t="n">
        <v>1</v>
      </c>
      <c r="T6" s="33" t="n">
        <v>396.27</v>
      </c>
      <c r="U6" s="33" t="n">
        <v>0</v>
      </c>
      <c r="V6" s="33" t="n">
        <v>0</v>
      </c>
      <c r="W6" s="33" t="n">
        <v>317.94</v>
      </c>
      <c r="X6" s="19" t="n">
        <v>88</v>
      </c>
      <c r="Y6" s="29" t="inlineStr">
        <is>
          <t>SARKAR, AWNIK</t>
        </is>
      </c>
      <c r="Z6" s="29" t="inlineStr">
        <is>
          <t>ASAP Peoria</t>
        </is>
      </c>
      <c r="AA6" s="19" t="n"/>
      <c r="AB6" s="21" t="n">
        <v>46180</v>
      </c>
      <c r="AC6" s="21" t="n">
        <v>46216</v>
      </c>
      <c r="AD6" s="29" t="inlineStr">
        <is>
          <t>F4320</t>
        </is>
      </c>
      <c r="AE6" s="29" t="n"/>
      <c r="AF6" s="29" t="n"/>
      <c r="AG6" s="29" t="n"/>
    </row>
    <row r="7">
      <c r="A7" s="22" t="n"/>
      <c r="B7" s="23" t="n"/>
      <c r="C7" s="15" t="n">
        <v>559331282</v>
      </c>
      <c r="D7" s="24" t="inlineStr">
        <is>
          <t>HF479934906</t>
        </is>
      </c>
      <c r="E7" s="25" t="inlineStr">
        <is>
          <t>United Healthcare</t>
        </is>
      </c>
      <c r="F7" s="25" t="inlineStr">
        <is>
          <t>United Healthcare</t>
        </is>
      </c>
      <c r="G7" s="25" t="inlineStr">
        <is>
          <t>No Payer</t>
        </is>
      </c>
      <c r="H7" s="17" t="n">
        <v>46156</v>
      </c>
      <c r="I7" s="24" t="inlineStr">
        <is>
          <t>99493</t>
        </is>
      </c>
      <c r="J7" s="24" t="inlineStr">
        <is>
          <t>BH</t>
        </is>
      </c>
      <c r="K7" s="26">
        <f>H7+M7</f>
        <v/>
      </c>
      <c r="L7" s="27">
        <f>K7-TODAY()</f>
        <v/>
      </c>
      <c r="M7" s="15" t="n">
        <v>90</v>
      </c>
      <c r="N7" s="24" t="inlineStr">
        <is>
          <t>UHC COMMERCIAL</t>
        </is>
      </c>
      <c r="O7" s="25" t="inlineStr"/>
      <c r="P7" s="24" t="n"/>
      <c r="Q7" s="24" t="n"/>
      <c r="R7" s="24" t="n"/>
      <c r="S7" s="15" t="n">
        <v>1</v>
      </c>
      <c r="T7" s="28" t="n">
        <v>976.64</v>
      </c>
      <c r="U7" s="28" t="n">
        <v>0</v>
      </c>
      <c r="V7" s="28" t="n">
        <v>0</v>
      </c>
      <c r="W7" s="28" t="n">
        <v>976.64</v>
      </c>
      <c r="X7" s="15" t="n">
        <v>86</v>
      </c>
      <c r="Y7" s="24" t="inlineStr">
        <is>
          <t>MEARS, CHAD</t>
        </is>
      </c>
      <c r="Z7" s="24" t="inlineStr">
        <is>
          <t>ASAP - DEER VALLEY</t>
        </is>
      </c>
      <c r="AA7" s="15" t="n"/>
      <c r="AB7" s="17" t="n">
        <v>46180</v>
      </c>
      <c r="AC7" s="24" t="n"/>
      <c r="AD7" s="24" t="inlineStr">
        <is>
          <t>F4312</t>
        </is>
      </c>
      <c r="AE7" s="24" t="n"/>
      <c r="AF7" s="24" t="n"/>
      <c r="AG7" s="24" t="n"/>
    </row>
    <row r="8">
      <c r="A8" s="22" t="n"/>
      <c r="B8" s="23" t="n"/>
      <c r="C8" s="19" t="n">
        <v>559331282</v>
      </c>
      <c r="D8" s="29" t="inlineStr">
        <is>
          <t>HF479934906</t>
        </is>
      </c>
      <c r="E8" s="30" t="inlineStr">
        <is>
          <t>United Healthcare</t>
        </is>
      </c>
      <c r="F8" s="30" t="inlineStr">
        <is>
          <t>United Healthcare</t>
        </is>
      </c>
      <c r="G8" s="30" t="inlineStr">
        <is>
          <t>No Payer</t>
        </is>
      </c>
      <c r="H8" s="21" t="n">
        <v>46156</v>
      </c>
      <c r="I8" s="29" t="inlineStr">
        <is>
          <t>99494</t>
        </is>
      </c>
      <c r="J8" s="29" t="inlineStr">
        <is>
          <t>BH</t>
        </is>
      </c>
      <c r="K8" s="31">
        <f>H8+M8</f>
        <v/>
      </c>
      <c r="L8" s="32">
        <f>K8-TODAY()</f>
        <v/>
      </c>
      <c r="M8" s="19" t="n">
        <v>90</v>
      </c>
      <c r="N8" s="29" t="inlineStr">
        <is>
          <t>UHC COMMERCIAL</t>
        </is>
      </c>
      <c r="O8" s="30" t="inlineStr"/>
      <c r="P8" s="29" t="n"/>
      <c r="Q8" s="29" t="n"/>
      <c r="R8" s="29" t="n"/>
      <c r="S8" s="19" t="n">
        <v>1</v>
      </c>
      <c r="T8" s="33" t="n">
        <v>396.27</v>
      </c>
      <c r="U8" s="33" t="n">
        <v>0</v>
      </c>
      <c r="V8" s="33" t="n">
        <v>0</v>
      </c>
      <c r="W8" s="33" t="n">
        <v>396.27</v>
      </c>
      <c r="X8" s="19" t="n">
        <v>86</v>
      </c>
      <c r="Y8" s="29" t="inlineStr">
        <is>
          <t>MEARS, CHAD</t>
        </is>
      </c>
      <c r="Z8" s="29" t="inlineStr">
        <is>
          <t>ASAP - DEER VALLEY</t>
        </is>
      </c>
      <c r="AA8" s="19" t="n"/>
      <c r="AB8" s="21" t="n">
        <v>46180</v>
      </c>
      <c r="AC8" s="29" t="n"/>
      <c r="AD8" s="29" t="inlineStr">
        <is>
          <t>F4312</t>
        </is>
      </c>
      <c r="AE8" s="29" t="n"/>
      <c r="AF8" s="29" t="n"/>
      <c r="AG8" s="29" t="n"/>
    </row>
    <row r="9">
      <c r="A9" s="22" t="n"/>
      <c r="B9" s="23" t="n"/>
      <c r="C9" s="15" t="n">
        <v>559334288</v>
      </c>
      <c r="D9" s="24" t="inlineStr">
        <is>
          <t>HF555357253</t>
        </is>
      </c>
      <c r="E9" s="25" t="inlineStr">
        <is>
          <t>United Healthcare</t>
        </is>
      </c>
      <c r="F9" s="25" t="inlineStr">
        <is>
          <t>United Healthcare</t>
        </is>
      </c>
      <c r="G9" s="25" t="inlineStr">
        <is>
          <t>No Payer</t>
        </is>
      </c>
      <c r="H9" s="17" t="n">
        <v>46156</v>
      </c>
      <c r="I9" s="24" t="inlineStr">
        <is>
          <t>99492</t>
        </is>
      </c>
      <c r="J9" s="24" t="inlineStr">
        <is>
          <t>BH</t>
        </is>
      </c>
      <c r="K9" s="26">
        <f>H9+M9</f>
        <v/>
      </c>
      <c r="L9" s="27">
        <f>K9-TODAY()</f>
        <v/>
      </c>
      <c r="M9" s="15" t="n">
        <v>90</v>
      </c>
      <c r="N9" s="24" t="inlineStr">
        <is>
          <t>UHC COMMERCIAL</t>
        </is>
      </c>
      <c r="O9" s="25" t="inlineStr"/>
      <c r="P9" s="24" t="n"/>
      <c r="Q9" s="24" t="n"/>
      <c r="R9" s="24" t="n"/>
      <c r="S9" s="15" t="n">
        <v>1</v>
      </c>
      <c r="T9" s="28" t="n">
        <v>1029.98</v>
      </c>
      <c r="U9" s="28" t="n">
        <v>0</v>
      </c>
      <c r="V9" s="28" t="n">
        <v>0</v>
      </c>
      <c r="W9" s="28" t="n">
        <v>1029.98</v>
      </c>
      <c r="X9" s="15" t="n">
        <v>86</v>
      </c>
      <c r="Y9" s="24" t="inlineStr">
        <is>
          <t>MEARS, CHAD</t>
        </is>
      </c>
      <c r="Z9" s="24" t="inlineStr">
        <is>
          <t>ASAP - DEER VALLEY</t>
        </is>
      </c>
      <c r="AA9" s="15" t="n"/>
      <c r="AB9" s="17" t="n">
        <v>46180</v>
      </c>
      <c r="AC9" s="24" t="n"/>
      <c r="AD9" s="24" t="inlineStr">
        <is>
          <t>F4320</t>
        </is>
      </c>
      <c r="AE9" s="24" t="n"/>
      <c r="AF9" s="24" t="n"/>
      <c r="AG9" s="24" t="n"/>
    </row>
    <row r="10">
      <c r="A10" s="22" t="n"/>
      <c r="B10" s="23" t="n"/>
      <c r="C10" s="19" t="n">
        <v>559334288</v>
      </c>
      <c r="D10" s="29" t="inlineStr">
        <is>
          <t>HF555357253</t>
        </is>
      </c>
      <c r="E10" s="30" t="inlineStr">
        <is>
          <t>United Healthcare</t>
        </is>
      </c>
      <c r="F10" s="30" t="inlineStr">
        <is>
          <t>United Healthcare</t>
        </is>
      </c>
      <c r="G10" s="30" t="inlineStr">
        <is>
          <t>No Payer</t>
        </is>
      </c>
      <c r="H10" s="21" t="n">
        <v>46156</v>
      </c>
      <c r="I10" s="29" t="inlineStr">
        <is>
          <t>99494</t>
        </is>
      </c>
      <c r="J10" s="29" t="inlineStr">
        <is>
          <t>BH</t>
        </is>
      </c>
      <c r="K10" s="31">
        <f>H10+M10</f>
        <v/>
      </c>
      <c r="L10" s="32">
        <f>K10-TODAY()</f>
        <v/>
      </c>
      <c r="M10" s="19" t="n">
        <v>90</v>
      </c>
      <c r="N10" s="29" t="inlineStr">
        <is>
          <t>UHC COMMERCIAL</t>
        </is>
      </c>
      <c r="O10" s="30" t="inlineStr"/>
      <c r="P10" s="29" t="n"/>
      <c r="Q10" s="29" t="n"/>
      <c r="R10" s="29" t="n"/>
      <c r="S10" s="19" t="n">
        <v>1</v>
      </c>
      <c r="T10" s="33" t="n">
        <v>396.27</v>
      </c>
      <c r="U10" s="33" t="n">
        <v>0</v>
      </c>
      <c r="V10" s="33" t="n">
        <v>0</v>
      </c>
      <c r="W10" s="33" t="n">
        <v>396.27</v>
      </c>
      <c r="X10" s="19" t="n">
        <v>86</v>
      </c>
      <c r="Y10" s="29" t="inlineStr">
        <is>
          <t>MEARS, CHAD</t>
        </is>
      </c>
      <c r="Z10" s="29" t="inlineStr">
        <is>
          <t>ASAP - DEER VALLEY</t>
        </is>
      </c>
      <c r="AA10" s="19" t="n"/>
      <c r="AB10" s="21" t="n">
        <v>46180</v>
      </c>
      <c r="AC10" s="29" t="n"/>
      <c r="AD10" s="29" t="inlineStr">
        <is>
          <t>F4320</t>
        </is>
      </c>
      <c r="AE10" s="29" t="n"/>
      <c r="AF10" s="29" t="n"/>
      <c r="AG10" s="29" t="n"/>
    </row>
    <row r="11">
      <c r="A11" s="22" t="n"/>
      <c r="B11" s="23" t="n"/>
      <c r="C11" s="15" t="n">
        <v>558887755</v>
      </c>
      <c r="D11" s="24" t="inlineStr">
        <is>
          <t>HF475049197</t>
        </is>
      </c>
      <c r="E11" s="25" t="inlineStr">
        <is>
          <t>Allwell - All States (Centene)</t>
        </is>
      </c>
      <c r="F11" s="25" t="inlineStr">
        <is>
          <t>Allwell - All States (Centene)</t>
        </is>
      </c>
      <c r="G11" s="25" t="inlineStr">
        <is>
          <t>Arizona Complete Health (Centene)</t>
        </is>
      </c>
      <c r="H11" s="17" t="n">
        <v>46153</v>
      </c>
      <c r="I11" s="24" t="inlineStr">
        <is>
          <t>99493</t>
        </is>
      </c>
      <c r="J11" s="24" t="inlineStr">
        <is>
          <t>BH</t>
        </is>
      </c>
      <c r="K11" s="26">
        <f>H11+M11</f>
        <v/>
      </c>
      <c r="L11" s="27">
        <f>K11-TODAY()</f>
        <v/>
      </c>
      <c r="M11" s="15" t="n">
        <v>95</v>
      </c>
      <c r="N11" s="24" t="inlineStr">
        <is>
          <t>WELLCARE BY ALLWELL</t>
        </is>
      </c>
      <c r="O11" s="25" t="inlineStr"/>
      <c r="P11" s="24" t="n"/>
      <c r="Q11" s="24" t="n"/>
      <c r="R11" s="24" t="n"/>
      <c r="S11" s="15" t="n">
        <v>1</v>
      </c>
      <c r="T11" s="28" t="n">
        <v>976.64</v>
      </c>
      <c r="U11" s="28" t="n">
        <v>0</v>
      </c>
      <c r="V11" s="28" t="n">
        <v>0</v>
      </c>
      <c r="W11" s="28" t="n">
        <v>976.64</v>
      </c>
      <c r="X11" s="15" t="n">
        <v>89</v>
      </c>
      <c r="Y11" s="24" t="inlineStr">
        <is>
          <t>SARKAR, AWNIK</t>
        </is>
      </c>
      <c r="Z11" s="24" t="inlineStr">
        <is>
          <t>ASAP Peoria</t>
        </is>
      </c>
      <c r="AA11" s="15" t="n"/>
      <c r="AB11" s="17" t="n">
        <v>46180</v>
      </c>
      <c r="AC11" s="24" t="n"/>
      <c r="AD11" s="24" t="inlineStr">
        <is>
          <t>F4320</t>
        </is>
      </c>
      <c r="AE11" s="24" t="n"/>
      <c r="AF11" s="24" t="n"/>
      <c r="AG11" s="24" t="n"/>
    </row>
    <row r="12">
      <c r="A12" s="22" t="n"/>
      <c r="B12" s="23" t="n"/>
      <c r="C12" s="19" t="n">
        <v>559931934</v>
      </c>
      <c r="D12" s="29" t="inlineStr">
        <is>
          <t>HF494160468</t>
        </is>
      </c>
      <c r="E12" s="30" t="inlineStr">
        <is>
          <t>UnitedHealthcare Community Plan / Arizona Long Term Care</t>
        </is>
      </c>
      <c r="F12" s="30" t="inlineStr">
        <is>
          <t>UnitedHealthcare Community Plan / Arizona Long Term Care</t>
        </is>
      </c>
      <c r="G12" s="30" t="inlineStr">
        <is>
          <t>No Payer</t>
        </is>
      </c>
      <c r="H12" s="21" t="n">
        <v>46162</v>
      </c>
      <c r="I12" s="29" t="inlineStr">
        <is>
          <t>99494</t>
        </is>
      </c>
      <c r="J12" s="29" t="inlineStr">
        <is>
          <t>BH</t>
        </is>
      </c>
      <c r="K12" s="31">
        <f>H12+M12</f>
        <v/>
      </c>
      <c r="L12" s="32">
        <f>K12-TODAY()</f>
        <v/>
      </c>
      <c r="M12" s="19" t="n">
        <v>90</v>
      </c>
      <c r="N12" s="29" t="inlineStr">
        <is>
          <t>UHC COMMUNITY</t>
        </is>
      </c>
      <c r="O12" s="30" t="inlineStr"/>
      <c r="P12" s="29" t="n"/>
      <c r="Q12" s="29" t="n"/>
      <c r="R12" s="29" t="n"/>
      <c r="S12" s="19" t="n">
        <v>1</v>
      </c>
      <c r="T12" s="33" t="n">
        <v>396.27</v>
      </c>
      <c r="U12" s="33" t="n">
        <v>0</v>
      </c>
      <c r="V12" s="33" t="n">
        <v>0</v>
      </c>
      <c r="W12" s="33" t="n">
        <v>396.27</v>
      </c>
      <c r="X12" s="19" t="n">
        <v>80</v>
      </c>
      <c r="Y12" s="29" t="inlineStr">
        <is>
          <t>O'NEIL, ROY</t>
        </is>
      </c>
      <c r="Z12" s="29" t="inlineStr">
        <is>
          <t>ASAP - DEER VALLEY</t>
        </is>
      </c>
      <c r="AA12" s="19" t="n"/>
      <c r="AB12" s="21" t="n">
        <v>46182</v>
      </c>
      <c r="AC12" s="21" t="n">
        <v>46196</v>
      </c>
      <c r="AD12" s="29" t="inlineStr">
        <is>
          <t>F32A</t>
        </is>
      </c>
      <c r="AE12" s="29" t="inlineStr">
        <is>
          <t>F411</t>
        </is>
      </c>
      <c r="AF12" s="29" t="n"/>
      <c r="AG12" s="29" t="n"/>
    </row>
    <row r="13">
      <c r="A13" s="22" t="n"/>
      <c r="B13" s="23" t="n"/>
      <c r="C13" s="15" t="n">
        <v>559931934</v>
      </c>
      <c r="D13" s="24" t="inlineStr">
        <is>
          <t>HF494160468</t>
        </is>
      </c>
      <c r="E13" s="25" t="inlineStr">
        <is>
          <t>UnitedHealthcare Community Plan / Arizona Long Term Care</t>
        </is>
      </c>
      <c r="F13" s="25" t="inlineStr">
        <is>
          <t>UnitedHealthcare Community Plan / Arizona Long Term Care</t>
        </is>
      </c>
      <c r="G13" s="25" t="inlineStr">
        <is>
          <t>No Payer</t>
        </is>
      </c>
      <c r="H13" s="17" t="n">
        <v>46162</v>
      </c>
      <c r="I13" s="24" t="inlineStr">
        <is>
          <t>99494</t>
        </is>
      </c>
      <c r="J13" s="24" t="inlineStr">
        <is>
          <t>BH</t>
        </is>
      </c>
      <c r="K13" s="26">
        <f>H13+M13</f>
        <v/>
      </c>
      <c r="L13" s="27">
        <f>K13-TODAY()</f>
        <v/>
      </c>
      <c r="M13" s="15" t="n">
        <v>90</v>
      </c>
      <c r="N13" s="24" t="inlineStr">
        <is>
          <t>UHC COMMUNITY</t>
        </is>
      </c>
      <c r="O13" s="25" t="inlineStr"/>
      <c r="P13" s="24" t="n"/>
      <c r="Q13" s="24" t="n"/>
      <c r="R13" s="24" t="n"/>
      <c r="S13" s="15" t="n">
        <v>1</v>
      </c>
      <c r="T13" s="28" t="n">
        <v>396.27</v>
      </c>
      <c r="U13" s="28" t="n">
        <v>0</v>
      </c>
      <c r="V13" s="28" t="n">
        <v>0</v>
      </c>
      <c r="W13" s="28" t="n">
        <v>396.27</v>
      </c>
      <c r="X13" s="15" t="n">
        <v>80</v>
      </c>
      <c r="Y13" s="24" t="inlineStr">
        <is>
          <t>O'NEIL, ROY</t>
        </is>
      </c>
      <c r="Z13" s="24" t="inlineStr">
        <is>
          <t>ASAP - DEER VALLEY</t>
        </is>
      </c>
      <c r="AA13" s="15" t="n"/>
      <c r="AB13" s="17" t="n">
        <v>46182</v>
      </c>
      <c r="AC13" s="17" t="n">
        <v>46196</v>
      </c>
      <c r="AD13" s="24" t="inlineStr">
        <is>
          <t>F32A</t>
        </is>
      </c>
      <c r="AE13" s="24" t="inlineStr">
        <is>
          <t>F411</t>
        </is>
      </c>
      <c r="AF13" s="24" t="n"/>
      <c r="AG13" s="24" t="n"/>
    </row>
    <row r="14">
      <c r="A14" s="22" t="n"/>
      <c r="B14" s="23" t="n"/>
      <c r="C14" s="19" t="n">
        <v>560175340</v>
      </c>
      <c r="D14" s="29" t="inlineStr">
        <is>
          <t>HF485806241</t>
        </is>
      </c>
      <c r="E14" s="30" t="inlineStr">
        <is>
          <t>UnitedHealthcare Community Plan / Arizona Long Term Care</t>
        </is>
      </c>
      <c r="F14" s="30" t="inlineStr">
        <is>
          <t>UnitedHealthcare Community Plan / Arizona Long Term Care</t>
        </is>
      </c>
      <c r="G14" s="30" t="inlineStr">
        <is>
          <t>UnitedHealthcare Community Plan / Arizona Long Term Care</t>
        </is>
      </c>
      <c r="H14" s="21" t="n">
        <v>46162</v>
      </c>
      <c r="I14" s="29" t="inlineStr">
        <is>
          <t>99494</t>
        </is>
      </c>
      <c r="J14" s="29" t="inlineStr">
        <is>
          <t>BH</t>
        </is>
      </c>
      <c r="K14" s="31">
        <f>H14+M14</f>
        <v/>
      </c>
      <c r="L14" s="32">
        <f>K14-TODAY()</f>
        <v/>
      </c>
      <c r="M14" s="19" t="n">
        <v>90</v>
      </c>
      <c r="N14" s="29" t="inlineStr">
        <is>
          <t>UHC COMMUNITY</t>
        </is>
      </c>
      <c r="O14" s="30" t="inlineStr"/>
      <c r="P14" s="29" t="n"/>
      <c r="Q14" s="29" t="n"/>
      <c r="R14" s="29" t="n"/>
      <c r="S14" s="19" t="n">
        <v>1</v>
      </c>
      <c r="T14" s="33" t="n">
        <v>396.27</v>
      </c>
      <c r="U14" s="33" t="n">
        <v>0</v>
      </c>
      <c r="V14" s="33" t="n">
        <v>0</v>
      </c>
      <c r="W14" s="33" t="n">
        <v>396.27</v>
      </c>
      <c r="X14" s="19" t="n">
        <v>80</v>
      </c>
      <c r="Y14" s="29" t="inlineStr">
        <is>
          <t>TURLEY, TODD</t>
        </is>
      </c>
      <c r="Z14" s="29" t="inlineStr">
        <is>
          <t>ASAP - DEER VALLEY</t>
        </is>
      </c>
      <c r="AA14" s="19" t="n"/>
      <c r="AB14" s="21" t="n">
        <v>46182</v>
      </c>
      <c r="AC14" s="21" t="n">
        <v>46195</v>
      </c>
      <c r="AD14" s="29" t="inlineStr">
        <is>
          <t>F1190</t>
        </is>
      </c>
      <c r="AE14" s="29" t="inlineStr">
        <is>
          <t>F32A</t>
        </is>
      </c>
      <c r="AF14" s="29" t="n"/>
      <c r="AG14" s="29" t="n"/>
    </row>
    <row r="15">
      <c r="A15" s="22" t="n"/>
      <c r="B15" s="23" t="n"/>
      <c r="C15" s="15" t="n">
        <v>560027331</v>
      </c>
      <c r="D15" s="24" t="inlineStr">
        <is>
          <t>HF495815066</t>
        </is>
      </c>
      <c r="E15" s="25" t="inlineStr">
        <is>
          <t>United Healthcare</t>
        </is>
      </c>
      <c r="F15" s="25" t="inlineStr">
        <is>
          <t>United Healthcare</t>
        </is>
      </c>
      <c r="G15" s="25" t="inlineStr">
        <is>
          <t>No Payer</t>
        </is>
      </c>
      <c r="H15" s="17" t="n">
        <v>46164</v>
      </c>
      <c r="I15" s="24" t="inlineStr">
        <is>
          <t>99492</t>
        </is>
      </c>
      <c r="J15" s="24" t="inlineStr">
        <is>
          <t>BH</t>
        </is>
      </c>
      <c r="K15" s="26">
        <f>H15+M15</f>
        <v/>
      </c>
      <c r="L15" s="27">
        <f>K15-TODAY()</f>
        <v/>
      </c>
      <c r="M15" s="15" t="n">
        <v>90</v>
      </c>
      <c r="N15" s="24" t="inlineStr">
        <is>
          <t>UHC COMMERCIAL</t>
        </is>
      </c>
      <c r="O15" s="25" t="inlineStr"/>
      <c r="P15" s="24" t="n"/>
      <c r="Q15" s="24" t="n"/>
      <c r="R15" s="24" t="n"/>
      <c r="S15" s="15" t="n">
        <v>1</v>
      </c>
      <c r="T15" s="28" t="n">
        <v>1029.98</v>
      </c>
      <c r="U15" s="28" t="n">
        <v>0</v>
      </c>
      <c r="V15" s="28" t="n">
        <v>0</v>
      </c>
      <c r="W15" s="28" t="n">
        <v>1029.98</v>
      </c>
      <c r="X15" s="15" t="n">
        <v>78</v>
      </c>
      <c r="Y15" s="24" t="inlineStr">
        <is>
          <t>MORALES, DAVID</t>
        </is>
      </c>
      <c r="Z15" s="24" t="inlineStr">
        <is>
          <t>ASAP - Gilbert</t>
        </is>
      </c>
      <c r="AA15" s="15" t="n"/>
      <c r="AB15" s="17" t="n">
        <v>46182</v>
      </c>
      <c r="AC15" s="24" t="n"/>
      <c r="AD15" s="24" t="inlineStr">
        <is>
          <t>F39</t>
        </is>
      </c>
      <c r="AE15" s="24" t="n"/>
      <c r="AF15" s="24" t="n"/>
      <c r="AG15" s="24" t="n"/>
    </row>
    <row r="16">
      <c r="A16" s="22" t="n"/>
      <c r="B16" s="23" t="n"/>
      <c r="C16" s="19" t="n">
        <v>560027331</v>
      </c>
      <c r="D16" s="29" t="inlineStr">
        <is>
          <t>HF495815066</t>
        </is>
      </c>
      <c r="E16" s="30" t="inlineStr">
        <is>
          <t>United Healthcare</t>
        </is>
      </c>
      <c r="F16" s="30" t="inlineStr">
        <is>
          <t>United Healthcare</t>
        </is>
      </c>
      <c r="G16" s="30" t="inlineStr">
        <is>
          <t>No Payer</t>
        </is>
      </c>
      <c r="H16" s="21" t="n">
        <v>46164</v>
      </c>
      <c r="I16" s="29" t="inlineStr">
        <is>
          <t>99494</t>
        </is>
      </c>
      <c r="J16" s="29" t="inlineStr">
        <is>
          <t>BH</t>
        </is>
      </c>
      <c r="K16" s="31">
        <f>H16+M16</f>
        <v/>
      </c>
      <c r="L16" s="32">
        <f>K16-TODAY()</f>
        <v/>
      </c>
      <c r="M16" s="19" t="n">
        <v>90</v>
      </c>
      <c r="N16" s="29" t="inlineStr">
        <is>
          <t>UHC COMMERCIAL</t>
        </is>
      </c>
      <c r="O16" s="30" t="inlineStr"/>
      <c r="P16" s="29" t="n"/>
      <c r="Q16" s="29" t="n"/>
      <c r="R16" s="29" t="n"/>
      <c r="S16" s="19" t="n">
        <v>1</v>
      </c>
      <c r="T16" s="33" t="n">
        <v>396.27</v>
      </c>
      <c r="U16" s="33" t="n">
        <v>0</v>
      </c>
      <c r="V16" s="33" t="n">
        <v>0</v>
      </c>
      <c r="W16" s="33" t="n">
        <v>396.27</v>
      </c>
      <c r="X16" s="19" t="n">
        <v>78</v>
      </c>
      <c r="Y16" s="29" t="inlineStr">
        <is>
          <t>MORALES, DAVID</t>
        </is>
      </c>
      <c r="Z16" s="29" t="inlineStr">
        <is>
          <t>ASAP - Gilbert</t>
        </is>
      </c>
      <c r="AA16" s="19" t="n"/>
      <c r="AB16" s="21" t="n">
        <v>46182</v>
      </c>
      <c r="AC16" s="29" t="n"/>
      <c r="AD16" s="29" t="inlineStr">
        <is>
          <t>F39</t>
        </is>
      </c>
      <c r="AE16" s="29" t="n"/>
      <c r="AF16" s="29" t="n"/>
      <c r="AG16" s="29" t="n"/>
    </row>
    <row r="17">
      <c r="A17" s="22" t="n"/>
      <c r="B17" s="23" t="n"/>
      <c r="C17" s="15" t="n">
        <v>560178463</v>
      </c>
      <c r="D17" s="24" t="inlineStr">
        <is>
          <t>HF528535429</t>
        </is>
      </c>
      <c r="E17" s="25" t="inlineStr">
        <is>
          <t>UnitedHealthcare Community Plan / Arizona Long Term Care</t>
        </is>
      </c>
      <c r="F17" s="25" t="inlineStr">
        <is>
          <t>UnitedHealthcare Community Plan / Arizona Long Term Care</t>
        </is>
      </c>
      <c r="G17" s="25" t="inlineStr">
        <is>
          <t>Mercy Care RBHA</t>
        </is>
      </c>
      <c r="H17" s="17" t="n">
        <v>46164</v>
      </c>
      <c r="I17" s="24" t="inlineStr">
        <is>
          <t>99493</t>
        </is>
      </c>
      <c r="J17" s="24" t="inlineStr">
        <is>
          <t>BH</t>
        </is>
      </c>
      <c r="K17" s="26">
        <f>H17+M17</f>
        <v/>
      </c>
      <c r="L17" s="27">
        <f>K17-TODAY()</f>
        <v/>
      </c>
      <c r="M17" s="15" t="n">
        <v>90</v>
      </c>
      <c r="N17" s="24" t="inlineStr">
        <is>
          <t>UHC COMMUNITY</t>
        </is>
      </c>
      <c r="O17" s="25" t="inlineStr"/>
      <c r="P17" s="24" t="n"/>
      <c r="Q17" s="24" t="n"/>
      <c r="R17" s="24" t="n"/>
      <c r="S17" s="15" t="n">
        <v>1</v>
      </c>
      <c r="T17" s="28" t="n">
        <v>976.64</v>
      </c>
      <c r="U17" s="28" t="n">
        <v>0</v>
      </c>
      <c r="V17" s="28" t="n">
        <v>0</v>
      </c>
      <c r="W17" s="28" t="n">
        <v>976.64</v>
      </c>
      <c r="X17" s="15" t="n">
        <v>78</v>
      </c>
      <c r="Y17" s="24" t="inlineStr">
        <is>
          <t>MEARS, CHAD</t>
        </is>
      </c>
      <c r="Z17" s="24" t="inlineStr">
        <is>
          <t>ASAP - DEER VALLEY</t>
        </is>
      </c>
      <c r="AA17" s="15" t="n"/>
      <c r="AB17" s="17" t="n">
        <v>46181</v>
      </c>
      <c r="AC17" s="17" t="n">
        <v>46189</v>
      </c>
      <c r="AD17" s="24" t="inlineStr">
        <is>
          <t>F331</t>
        </is>
      </c>
      <c r="AE17" s="24" t="inlineStr">
        <is>
          <t>F411</t>
        </is>
      </c>
      <c r="AF17" s="24" t="n"/>
      <c r="AG17" s="24" t="n"/>
    </row>
    <row r="18">
      <c r="A18" s="22" t="n"/>
      <c r="B18" s="23" t="n"/>
      <c r="C18" s="19" t="n">
        <v>560178463</v>
      </c>
      <c r="D18" s="29" t="inlineStr">
        <is>
          <t>HF528535429</t>
        </is>
      </c>
      <c r="E18" s="30" t="inlineStr">
        <is>
          <t>UnitedHealthcare Community Plan / Arizona Long Term Care</t>
        </is>
      </c>
      <c r="F18" s="30" t="inlineStr">
        <is>
          <t>UnitedHealthcare Community Plan / Arizona Long Term Care</t>
        </is>
      </c>
      <c r="G18" s="30" t="inlineStr">
        <is>
          <t>Mercy Care RBHA</t>
        </is>
      </c>
      <c r="H18" s="21" t="n">
        <v>46164</v>
      </c>
      <c r="I18" s="29" t="inlineStr">
        <is>
          <t>99494</t>
        </is>
      </c>
      <c r="J18" s="29" t="inlineStr">
        <is>
          <t>BH</t>
        </is>
      </c>
      <c r="K18" s="31">
        <f>H18+M18</f>
        <v/>
      </c>
      <c r="L18" s="32">
        <f>K18-TODAY()</f>
        <v/>
      </c>
      <c r="M18" s="19" t="n">
        <v>90</v>
      </c>
      <c r="N18" s="29" t="inlineStr">
        <is>
          <t>UHC COMMUNITY</t>
        </is>
      </c>
      <c r="O18" s="30" t="inlineStr"/>
      <c r="P18" s="29" t="n"/>
      <c r="Q18" s="29" t="n"/>
      <c r="R18" s="29" t="n"/>
      <c r="S18" s="19" t="n">
        <v>1</v>
      </c>
      <c r="T18" s="33" t="n">
        <v>396.27</v>
      </c>
      <c r="U18" s="33" t="n">
        <v>0</v>
      </c>
      <c r="V18" s="33" t="n">
        <v>0</v>
      </c>
      <c r="W18" s="33" t="n">
        <v>396.27</v>
      </c>
      <c r="X18" s="19" t="n">
        <v>78</v>
      </c>
      <c r="Y18" s="29" t="inlineStr">
        <is>
          <t>MEARS, CHAD</t>
        </is>
      </c>
      <c r="Z18" s="29" t="inlineStr">
        <is>
          <t>ASAP - DEER VALLEY</t>
        </is>
      </c>
      <c r="AA18" s="19" t="n"/>
      <c r="AB18" s="21" t="n">
        <v>46181</v>
      </c>
      <c r="AC18" s="21" t="n">
        <v>46189</v>
      </c>
      <c r="AD18" s="29" t="inlineStr">
        <is>
          <t>F331</t>
        </is>
      </c>
      <c r="AE18" s="29" t="inlineStr">
        <is>
          <t>F411</t>
        </is>
      </c>
      <c r="AF18" s="29" t="n"/>
      <c r="AG18" s="29" t="n"/>
    </row>
  </sheetData>
  <autoFilter ref="A4:AG18"/>
  <conditionalFormatting sqref="L5:L18">
    <cfRule type="cellIs" priority="1" operator="lessThanOrEqual" dxfId="0">
      <formula>3</formula>
    </cfRule>
    <cfRule type="cellIs" priority="2" operator="lessThanOrEqual" dxfId="1">
      <formula>7</formula>
    </cfRule>
    <cfRule type="cellIs" priority="3" operator="greaterThan" dxfId="2">
      <formula>7</formula>
    </cfRule>
  </conditionalFormatting>
  <dataValidations count="1">
    <dataValidation sqref="A5:A18" showDropDown="0" showInputMessage="0" showErrorMessage="0" allowBlank="1" type="list">
      <formula1>"Denied,Finalized,Received,In Progress,Refiled,Appealed,Written Off"</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5" customWidth="1" min="3" max="3"/>
    <col width="14" customWidth="1" min="4" max="4"/>
    <col width="40" customWidth="1" min="5" max="5"/>
    <col width="36" customWidth="1" min="6" max="6"/>
    <col width="36" customWidth="1" min="7" max="7"/>
    <col width="13" customWidth="1" min="8" max="8"/>
    <col width="12" customWidth="1" min="9" max="9"/>
    <col width="10" customWidth="1" min="10" max="10"/>
    <col width="13" customWidth="1" min="11" max="11"/>
    <col width="12" customWidth="1" min="12" max="12"/>
    <col width="12" customWidth="1" min="13" max="13"/>
    <col width="30" customWidth="1" min="14" max="14"/>
    <col width="52" customWidth="1" min="15" max="15"/>
    <col width="10" customWidth="1" min="16" max="16"/>
    <col width="10" customWidth="1" min="17" max="17"/>
    <col width="10" customWidth="1" min="18" max="18"/>
    <col width="7" customWidth="1" min="19" max="19"/>
    <col width="13" customWidth="1" min="20" max="20"/>
    <col width="14" customWidth="1" min="21" max="21"/>
    <col width="12" customWidth="1" min="22" max="22"/>
    <col width="14" customWidth="1" min="23" max="23"/>
    <col width="11" customWidth="1" min="24" max="24"/>
    <col width="22" customWidth="1" min="25" max="25"/>
    <col width="24" customWidth="1" min="26" max="26"/>
    <col width="15" customWidth="1" min="27" max="27"/>
    <col width="12" customWidth="1" min="28" max="28"/>
    <col width="13" customWidth="1" min="29" max="29"/>
    <col width="11" customWidth="1" min="30" max="30"/>
    <col width="11" customWidth="1" min="31" max="31"/>
    <col width="11" customWidth="1" min="32" max="32"/>
    <col width="11" customWidth="1" min="33" max="33"/>
  </cols>
  <sheetData>
    <row r="1">
      <c r="A1" s="1" t="inlineStr">
        <is>
          <t>Durable Medical Equipment (DME) - timely filing 10 day watchlist</t>
        </is>
      </c>
    </row>
    <row r="2">
      <c r="A2" s="2" t="inlineStr">
        <is>
          <t>Claims whose primary payer timely filing deadline falls within 10 days of 10 August 2026. Fill in the amber Claim Status and Notes columns - they feed the All Claims tab automatically. Every other column is copied from the source file or calculated.</t>
        </is>
      </c>
    </row>
    <row r="4" ht="32" customHeight="1">
      <c r="A4" s="13" t="inlineStr">
        <is>
          <t>Claim Status</t>
        </is>
      </c>
      <c r="B4" s="13" t="inlineStr">
        <is>
          <t>Notes</t>
        </is>
      </c>
      <c r="C4" s="13" t="inlineStr">
        <is>
          <t>Primary Claim ID</t>
        </is>
      </c>
      <c r="D4" s="13" t="inlineStr">
        <is>
          <t>Chart Number</t>
        </is>
      </c>
      <c r="E4" s="13" t="inlineStr">
        <is>
          <t>Responsible Payer</t>
        </is>
      </c>
      <c r="F4" s="13" t="inlineStr">
        <is>
          <t>Primary Payer Name</t>
        </is>
      </c>
      <c r="G4" s="13" t="inlineStr">
        <is>
          <t>Secondary Payer Name</t>
        </is>
      </c>
      <c r="H4" s="13" t="inlineStr">
        <is>
          <t>Date of Service</t>
        </is>
      </c>
      <c r="I4" s="13" t="inlineStr">
        <is>
          <t>Procedure Code</t>
        </is>
      </c>
      <c r="J4" s="13" t="inlineStr">
        <is>
          <t>Specialty</t>
        </is>
      </c>
      <c r="K4" s="13" t="inlineStr">
        <is>
          <t>Filing Deadline</t>
        </is>
      </c>
      <c r="L4" s="13" t="inlineStr">
        <is>
          <t>Days Until Deadline</t>
        </is>
      </c>
      <c r="M4" s="13" t="inlineStr">
        <is>
          <t>Timely Filing Limit (Days)</t>
        </is>
      </c>
      <c r="N4" s="13" t="inlineStr">
        <is>
          <t>Reference Carrier</t>
        </is>
      </c>
      <c r="O4" s="13" t="inlineStr">
        <is>
          <t>Limit Basis / Caveat</t>
        </is>
      </c>
      <c r="P4" s="13" t="inlineStr">
        <is>
          <t>Modifier 1</t>
        </is>
      </c>
      <c r="Q4" s="13" t="inlineStr">
        <is>
          <t>Modifier 2</t>
        </is>
      </c>
      <c r="R4" s="13" t="inlineStr">
        <is>
          <t>Modifier 3</t>
        </is>
      </c>
      <c r="S4" s="13" t="inlineStr">
        <is>
          <t>Units</t>
        </is>
      </c>
      <c r="T4" s="13" t="inlineStr">
        <is>
          <t>Charge Amount</t>
        </is>
      </c>
      <c r="U4" s="13" t="inlineStr">
        <is>
          <t>Insurance Payment</t>
        </is>
      </c>
      <c r="V4" s="13" t="inlineStr">
        <is>
          <t>Adjustment</t>
        </is>
      </c>
      <c r="W4" s="13" t="inlineStr">
        <is>
          <t>Insurance Balance</t>
        </is>
      </c>
      <c r="X4" s="13" t="inlineStr">
        <is>
          <t>AR Age by Service Date</t>
        </is>
      </c>
      <c r="Y4" s="13" t="inlineStr">
        <is>
          <t>Rendering Provider</t>
        </is>
      </c>
      <c r="Z4" s="13" t="inlineStr">
        <is>
          <t>Location Name</t>
        </is>
      </c>
      <c r="AA4" s="13" t="inlineStr">
        <is>
          <t>Secondary Claim ID</t>
        </is>
      </c>
      <c r="AB4" s="13" t="inlineStr">
        <is>
          <t>Created Date</t>
        </is>
      </c>
      <c r="AC4" s="13" t="inlineStr">
        <is>
          <t>Insurance Check Date</t>
        </is>
      </c>
      <c r="AD4" s="13" t="inlineStr">
        <is>
          <t>Diagnosis Code 1</t>
        </is>
      </c>
      <c r="AE4" s="13" t="inlineStr">
        <is>
          <t>Diagnosis Code 2</t>
        </is>
      </c>
      <c r="AF4" s="13" t="inlineStr">
        <is>
          <t>Diagnosis Code 3</t>
        </is>
      </c>
      <c r="AG4" s="13" t="inlineStr">
        <is>
          <t>Diagnosis Code 4</t>
        </is>
      </c>
    </row>
    <row r="5">
      <c r="A5" s="22" t="n"/>
      <c r="B5" s="23" t="n"/>
      <c r="C5" s="15" t="n">
        <v>559604554</v>
      </c>
      <c r="D5" s="24" t="inlineStr">
        <is>
          <t>HF549730183</t>
        </is>
      </c>
      <c r="E5" s="25" t="inlineStr">
        <is>
          <t>Optum Care Medical Network of Arizona, Utah, &amp; Washington (LifePrint)</t>
        </is>
      </c>
      <c r="F5" s="25" t="inlineStr">
        <is>
          <t>Optum Care Medical Network of Arizona, Utah, &amp; Washington (LifePrint)</t>
        </is>
      </c>
      <c r="G5" s="25" t="inlineStr">
        <is>
          <t>LIEN 03</t>
        </is>
      </c>
      <c r="H5" s="17" t="n">
        <v>46157</v>
      </c>
      <c r="I5" s="24" t="inlineStr">
        <is>
          <t>A6023</t>
        </is>
      </c>
      <c r="J5" s="24" t="inlineStr">
        <is>
          <t>DME</t>
        </is>
      </c>
      <c r="K5" s="26">
        <f>H5+M5</f>
        <v/>
      </c>
      <c r="L5" s="27">
        <f>K5-TODAY()</f>
        <v/>
      </c>
      <c r="M5" s="15" t="n">
        <v>90</v>
      </c>
      <c r="N5" s="24" t="inlineStr">
        <is>
          <t>OPTUM</t>
        </is>
      </c>
      <c r="O5" s="25" t="inlineStr"/>
      <c r="P5" s="24" t="inlineStr">
        <is>
          <t>A1</t>
        </is>
      </c>
      <c r="Q5" s="24" t="n"/>
      <c r="R5" s="24" t="n"/>
      <c r="S5" s="15" t="n">
        <v>20</v>
      </c>
      <c r="T5" s="28" t="n">
        <v>36353.8</v>
      </c>
      <c r="U5" s="28" t="n">
        <v>0</v>
      </c>
      <c r="V5" s="28" t="n">
        <v>0</v>
      </c>
      <c r="W5" s="28" t="n">
        <v>36353.8</v>
      </c>
      <c r="X5" s="15" t="n">
        <v>85</v>
      </c>
      <c r="Y5" s="24" t="inlineStr">
        <is>
          <t>MCCUNNIFF, PETER</t>
        </is>
      </c>
      <c r="Z5" s="24" t="inlineStr">
        <is>
          <t>ASAP Peoria</t>
        </is>
      </c>
      <c r="AA5" s="15" t="n"/>
      <c r="AB5" s="17" t="n">
        <v>46217</v>
      </c>
      <c r="AC5" s="24" t="n"/>
      <c r="AD5" s="24" t="inlineStr">
        <is>
          <t>G894</t>
        </is>
      </c>
      <c r="AE5" s="24" t="inlineStr">
        <is>
          <t>M50022</t>
        </is>
      </c>
      <c r="AF5" s="24" t="inlineStr">
        <is>
          <t>M50023</t>
        </is>
      </c>
      <c r="AG5" s="24" t="inlineStr">
        <is>
          <t>M50122</t>
        </is>
      </c>
    </row>
    <row r="6">
      <c r="A6" s="22" t="n"/>
      <c r="B6" s="23" t="n"/>
      <c r="C6" s="19" t="n">
        <v>561880042</v>
      </c>
      <c r="D6" s="29" t="inlineStr">
        <is>
          <t>HF545888888</t>
        </is>
      </c>
      <c r="E6" s="30" t="inlineStr">
        <is>
          <t>Humana Gold Plus HMO</t>
        </is>
      </c>
      <c r="F6" s="30" t="inlineStr">
        <is>
          <t>Humana Gold Plus HMO</t>
        </is>
      </c>
      <c r="G6" s="30" t="inlineStr">
        <is>
          <t>No Payer</t>
        </is>
      </c>
      <c r="H6" s="21" t="n">
        <v>46160</v>
      </c>
      <c r="I6" s="29" t="inlineStr">
        <is>
          <t>A6023</t>
        </is>
      </c>
      <c r="J6" s="29" t="inlineStr">
        <is>
          <t>DME</t>
        </is>
      </c>
      <c r="K6" s="31">
        <f>H6+M6</f>
        <v/>
      </c>
      <c r="L6" s="32">
        <f>K6-TODAY()</f>
        <v/>
      </c>
      <c r="M6" s="19" t="n">
        <v>90</v>
      </c>
      <c r="N6" s="29" t="inlineStr">
        <is>
          <t>HUMANA MA</t>
        </is>
      </c>
      <c r="O6" s="30" t="inlineStr">
        <is>
          <t>ASSUMPTION - shorter of two limits used. 180 days for physicians, 90 for ancillary providers; confirm the provider category.</t>
        </is>
      </c>
      <c r="P6" s="29" t="inlineStr">
        <is>
          <t>A2</t>
        </is>
      </c>
      <c r="Q6" s="29" t="n"/>
      <c r="R6" s="29" t="n"/>
      <c r="S6" s="19" t="n">
        <v>40</v>
      </c>
      <c r="T6" s="33" t="n">
        <v>72707.60000000001</v>
      </c>
      <c r="U6" s="33" t="n">
        <v>0</v>
      </c>
      <c r="V6" s="33" t="n">
        <v>0</v>
      </c>
      <c r="W6" s="33" t="n">
        <v>72707.60000000001</v>
      </c>
      <c r="X6" s="19" t="n">
        <v>82</v>
      </c>
      <c r="Y6" s="29" t="inlineStr">
        <is>
          <t>Van Dyke, Sandra</t>
        </is>
      </c>
      <c r="Z6" s="29" t="inlineStr">
        <is>
          <t>ASAP - Gilbert</t>
        </is>
      </c>
      <c r="AA6" s="19" t="n"/>
      <c r="AB6" s="21" t="n">
        <v>46183</v>
      </c>
      <c r="AC6" s="21" t="n">
        <v>46185</v>
      </c>
      <c r="AD6" s="29" t="inlineStr">
        <is>
          <t>G894</t>
        </is>
      </c>
      <c r="AE6" s="29" t="inlineStr">
        <is>
          <t>G90523</t>
        </is>
      </c>
      <c r="AF6" s="29" t="n"/>
      <c r="AG6" s="29" t="n"/>
    </row>
    <row r="7">
      <c r="A7" s="22" t="n"/>
      <c r="B7" s="23" t="n"/>
      <c r="C7" s="15" t="n">
        <v>559742691</v>
      </c>
      <c r="D7" s="24" t="inlineStr">
        <is>
          <t>HF543653317</t>
        </is>
      </c>
      <c r="E7" s="25" t="inlineStr">
        <is>
          <t>Optum Care Medical Network of Arizona, Utah, &amp; Washington (LifePrint)</t>
        </is>
      </c>
      <c r="F7" s="25" t="inlineStr">
        <is>
          <t>Optum Care Medical Network of Arizona, Utah, &amp; Washington (LifePrint)</t>
        </is>
      </c>
      <c r="G7" s="25" t="inlineStr">
        <is>
          <t>No Payer</t>
        </is>
      </c>
      <c r="H7" s="17" t="n">
        <v>46160</v>
      </c>
      <c r="I7" s="24" t="inlineStr">
        <is>
          <t>A6010</t>
        </is>
      </c>
      <c r="J7" s="24" t="inlineStr">
        <is>
          <t>DME</t>
        </is>
      </c>
      <c r="K7" s="26">
        <f>H7+M7</f>
        <v/>
      </c>
      <c r="L7" s="27">
        <f>K7-TODAY()</f>
        <v/>
      </c>
      <c r="M7" s="15" t="n">
        <v>90</v>
      </c>
      <c r="N7" s="24" t="inlineStr">
        <is>
          <t>OPTUM</t>
        </is>
      </c>
      <c r="O7" s="25" t="inlineStr"/>
      <c r="P7" s="24" t="inlineStr">
        <is>
          <t>A2</t>
        </is>
      </c>
      <c r="Q7" s="24" t="n"/>
      <c r="R7" s="24" t="n"/>
      <c r="S7" s="15" t="n">
        <v>20</v>
      </c>
      <c r="T7" s="28" t="n">
        <v>5916.4</v>
      </c>
      <c r="U7" s="28" t="n">
        <v>0</v>
      </c>
      <c r="V7" s="28" t="n">
        <v>0</v>
      </c>
      <c r="W7" s="28" t="n">
        <v>5916.4</v>
      </c>
      <c r="X7" s="15" t="n">
        <v>82</v>
      </c>
      <c r="Y7" s="24" t="inlineStr">
        <is>
          <t>TONDINI, JENISE</t>
        </is>
      </c>
      <c r="Z7" s="24" t="inlineStr">
        <is>
          <t>ASAP - Goodyear</t>
        </is>
      </c>
      <c r="AA7" s="15" t="n"/>
      <c r="AB7" s="17" t="n">
        <v>46162</v>
      </c>
      <c r="AC7" s="17" t="n">
        <v>46196</v>
      </c>
      <c r="AD7" s="24" t="inlineStr">
        <is>
          <t>G894</t>
        </is>
      </c>
      <c r="AE7" s="24" t="n"/>
      <c r="AF7" s="24" t="n"/>
      <c r="AG7" s="24" t="n"/>
    </row>
    <row r="8">
      <c r="A8" s="22" t="n"/>
      <c r="B8" s="23" t="n"/>
      <c r="C8" s="19" t="n">
        <v>561237046</v>
      </c>
      <c r="D8" s="29" t="inlineStr">
        <is>
          <t>HF533960930</t>
        </is>
      </c>
      <c r="E8" s="30" t="inlineStr">
        <is>
          <t>UnitedHealthcare Community Plan / Arizona Long Term Care</t>
        </is>
      </c>
      <c r="F8" s="30" t="inlineStr">
        <is>
          <t>UnitedHealthcare Community Plan / Arizona Long Term Care</t>
        </is>
      </c>
      <c r="G8" s="30" t="inlineStr">
        <is>
          <t>Molina Complete Care of Arizona (Magellan Complete Care AZ)</t>
        </is>
      </c>
      <c r="H8" s="21" t="n">
        <v>46163</v>
      </c>
      <c r="I8" s="29" t="inlineStr">
        <is>
          <t>A6010</t>
        </is>
      </c>
      <c r="J8" s="29" t="inlineStr">
        <is>
          <t>DME</t>
        </is>
      </c>
      <c r="K8" s="31">
        <f>H8+M8</f>
        <v/>
      </c>
      <c r="L8" s="32">
        <f>K8-TODAY()</f>
        <v/>
      </c>
      <c r="M8" s="19" t="n">
        <v>90</v>
      </c>
      <c r="N8" s="29" t="inlineStr">
        <is>
          <t>UHC COMMUNITY</t>
        </is>
      </c>
      <c r="O8" s="30" t="inlineStr"/>
      <c r="P8" s="29" t="inlineStr">
        <is>
          <t>A1</t>
        </is>
      </c>
      <c r="Q8" s="29" t="n"/>
      <c r="R8" s="29" t="n"/>
      <c r="S8" s="19" t="n">
        <v>10</v>
      </c>
      <c r="T8" s="33" t="n">
        <v>2958.2</v>
      </c>
      <c r="U8" s="33" t="n">
        <v>0</v>
      </c>
      <c r="V8" s="33" t="n">
        <v>0</v>
      </c>
      <c r="W8" s="33" t="n">
        <v>2958.2</v>
      </c>
      <c r="X8" s="19" t="n">
        <v>79</v>
      </c>
      <c r="Y8" s="29" t="inlineStr">
        <is>
          <t>LUKE, TIMOTHY</t>
        </is>
      </c>
      <c r="Z8" s="29" t="inlineStr">
        <is>
          <t>ASAP - DEER VALLEY</t>
        </is>
      </c>
      <c r="AA8" s="19" t="n"/>
      <c r="AB8" s="21" t="n">
        <v>46177</v>
      </c>
      <c r="AC8" s="21" t="n">
        <v>46183</v>
      </c>
      <c r="AD8" s="29" t="inlineStr">
        <is>
          <t>M5030</t>
        </is>
      </c>
      <c r="AE8" s="29" t="inlineStr">
        <is>
          <t>M5412</t>
        </is>
      </c>
      <c r="AF8" s="29" t="n"/>
      <c r="AG8" s="29" t="n"/>
    </row>
    <row r="9">
      <c r="A9" s="22" t="n"/>
      <c r="B9" s="23" t="n"/>
      <c r="C9" s="15" t="n">
        <v>561851402</v>
      </c>
      <c r="D9" s="24" t="inlineStr">
        <is>
          <t>HF508345961</t>
        </is>
      </c>
      <c r="E9" s="25" t="inlineStr">
        <is>
          <t>Optum Care Medical Network of Arizona, Utah, &amp; Washington (LifePrint)</t>
        </is>
      </c>
      <c r="F9" s="25" t="inlineStr">
        <is>
          <t>Optum Care Medical Network of Arizona, Utah, &amp; Washington (LifePrint)</t>
        </is>
      </c>
      <c r="G9" s="25" t="inlineStr">
        <is>
          <t>No Payer</t>
        </is>
      </c>
      <c r="H9" s="17" t="n">
        <v>46164</v>
      </c>
      <c r="I9" s="24" t="inlineStr">
        <is>
          <t>A6010</t>
        </is>
      </c>
      <c r="J9" s="24" t="inlineStr">
        <is>
          <t>DME</t>
        </is>
      </c>
      <c r="K9" s="26">
        <f>H9+M9</f>
        <v/>
      </c>
      <c r="L9" s="27">
        <f>K9-TODAY()</f>
        <v/>
      </c>
      <c r="M9" s="15" t="n">
        <v>90</v>
      </c>
      <c r="N9" s="24" t="inlineStr">
        <is>
          <t>OPTUM</t>
        </is>
      </c>
      <c r="O9" s="25" t="inlineStr"/>
      <c r="P9" s="24" t="inlineStr">
        <is>
          <t>A1</t>
        </is>
      </c>
      <c r="Q9" s="24" t="n"/>
      <c r="R9" s="24" t="n"/>
      <c r="S9" s="15" t="n">
        <v>20</v>
      </c>
      <c r="T9" s="28" t="n">
        <v>36353.8</v>
      </c>
      <c r="U9" s="28" t="n">
        <v>0</v>
      </c>
      <c r="V9" s="28" t="n">
        <v>0</v>
      </c>
      <c r="W9" s="28" t="n">
        <v>36353.8</v>
      </c>
      <c r="X9" s="15" t="n">
        <v>78</v>
      </c>
      <c r="Y9" s="24" t="inlineStr">
        <is>
          <t>CURRIE, DAVID</t>
        </is>
      </c>
      <c r="Z9" s="24" t="inlineStr">
        <is>
          <t>ASAP - Gilbert</t>
        </is>
      </c>
      <c r="AA9" s="15" t="n"/>
      <c r="AB9" s="17" t="n">
        <v>46183</v>
      </c>
      <c r="AC9" s="17" t="n">
        <v>46194</v>
      </c>
      <c r="AD9" s="24" t="inlineStr">
        <is>
          <t>G894</t>
        </is>
      </c>
      <c r="AE9" s="24" t="inlineStr">
        <is>
          <t>M461</t>
        </is>
      </c>
      <c r="AF9" s="24" t="n"/>
      <c r="AG9" s="24" t="n"/>
    </row>
  </sheetData>
  <autoFilter ref="A4:AG9"/>
  <conditionalFormatting sqref="L5:L9">
    <cfRule type="cellIs" priority="1" operator="lessThanOrEqual" dxfId="0">
      <formula>3</formula>
    </cfRule>
    <cfRule type="cellIs" priority="2" operator="lessThanOrEqual" dxfId="1">
      <formula>7</formula>
    </cfRule>
    <cfRule type="cellIs" priority="3" operator="greaterThan" dxfId="2">
      <formula>7</formula>
    </cfRule>
  </conditionalFormatting>
  <dataValidations count="1">
    <dataValidation sqref="A5:A9" showDropDown="0" showInputMessage="0" showErrorMessage="0" allowBlank="1" type="list">
      <formula1>"Denied,Finalized,Received,In Progress,Refiled,Appealed,Written Off"</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5" customWidth="1" min="3" max="3"/>
    <col width="14" customWidth="1" min="4" max="4"/>
    <col width="40" customWidth="1" min="5" max="5"/>
    <col width="36" customWidth="1" min="6" max="6"/>
    <col width="36" customWidth="1" min="7" max="7"/>
    <col width="13" customWidth="1" min="8" max="8"/>
    <col width="12" customWidth="1" min="9" max="9"/>
    <col width="10" customWidth="1" min="10" max="10"/>
    <col width="13" customWidth="1" min="11" max="11"/>
    <col width="12" customWidth="1" min="12" max="12"/>
    <col width="12" customWidth="1" min="13" max="13"/>
    <col width="30" customWidth="1" min="14" max="14"/>
    <col width="52" customWidth="1" min="15" max="15"/>
    <col width="10" customWidth="1" min="16" max="16"/>
    <col width="10" customWidth="1" min="17" max="17"/>
    <col width="10" customWidth="1" min="18" max="18"/>
    <col width="7" customWidth="1" min="19" max="19"/>
    <col width="13" customWidth="1" min="20" max="20"/>
    <col width="14" customWidth="1" min="21" max="21"/>
    <col width="12" customWidth="1" min="22" max="22"/>
    <col width="14" customWidth="1" min="23" max="23"/>
    <col width="11" customWidth="1" min="24" max="24"/>
    <col width="22" customWidth="1" min="25" max="25"/>
    <col width="24" customWidth="1" min="26" max="26"/>
    <col width="15" customWidth="1" min="27" max="27"/>
    <col width="12" customWidth="1" min="28" max="28"/>
    <col width="13" customWidth="1" min="29" max="29"/>
    <col width="11" customWidth="1" min="30" max="30"/>
    <col width="11" customWidth="1" min="31" max="31"/>
    <col width="11" customWidth="1" min="32" max="32"/>
    <col width="11" customWidth="1" min="33" max="33"/>
  </cols>
  <sheetData>
    <row r="1">
      <c r="A1" s="1" t="inlineStr">
        <is>
          <t>Genicular Artery Embolization (GAE) - timely filing 10 day watchlist</t>
        </is>
      </c>
    </row>
    <row r="2">
      <c r="A2" s="2" t="inlineStr">
        <is>
          <t>Claims whose primary payer timely filing deadline falls within 10 days of 10 August 2026. Fill in the amber Claim Status and Notes columns - they feed the All Claims tab automatically. Every other column is copied from the source file or calculated.</t>
        </is>
      </c>
    </row>
    <row r="4" ht="32" customHeight="1">
      <c r="A4" s="13" t="inlineStr">
        <is>
          <t>Claim Status</t>
        </is>
      </c>
      <c r="B4" s="13" t="inlineStr">
        <is>
          <t>Notes</t>
        </is>
      </c>
      <c r="C4" s="13" t="inlineStr">
        <is>
          <t>Primary Claim ID</t>
        </is>
      </c>
      <c r="D4" s="13" t="inlineStr">
        <is>
          <t>Chart Number</t>
        </is>
      </c>
      <c r="E4" s="13" t="inlineStr">
        <is>
          <t>Responsible Payer</t>
        </is>
      </c>
      <c r="F4" s="13" t="inlineStr">
        <is>
          <t>Primary Payer Name</t>
        </is>
      </c>
      <c r="G4" s="13" t="inlineStr">
        <is>
          <t>Secondary Payer Name</t>
        </is>
      </c>
      <c r="H4" s="13" t="inlineStr">
        <is>
          <t>Date of Service</t>
        </is>
      </c>
      <c r="I4" s="13" t="inlineStr">
        <is>
          <t>Procedure Code</t>
        </is>
      </c>
      <c r="J4" s="13" t="inlineStr">
        <is>
          <t>Specialty</t>
        </is>
      </c>
      <c r="K4" s="13" t="inlineStr">
        <is>
          <t>Filing Deadline</t>
        </is>
      </c>
      <c r="L4" s="13" t="inlineStr">
        <is>
          <t>Days Until Deadline</t>
        </is>
      </c>
      <c r="M4" s="13" t="inlineStr">
        <is>
          <t>Timely Filing Limit (Days)</t>
        </is>
      </c>
      <c r="N4" s="13" t="inlineStr">
        <is>
          <t>Reference Carrier</t>
        </is>
      </c>
      <c r="O4" s="13" t="inlineStr">
        <is>
          <t>Limit Basis / Caveat</t>
        </is>
      </c>
      <c r="P4" s="13" t="inlineStr">
        <is>
          <t>Modifier 1</t>
        </is>
      </c>
      <c r="Q4" s="13" t="inlineStr">
        <is>
          <t>Modifier 2</t>
        </is>
      </c>
      <c r="R4" s="13" t="inlineStr">
        <is>
          <t>Modifier 3</t>
        </is>
      </c>
      <c r="S4" s="13" t="inlineStr">
        <is>
          <t>Units</t>
        </is>
      </c>
      <c r="T4" s="13" t="inlineStr">
        <is>
          <t>Charge Amount</t>
        </is>
      </c>
      <c r="U4" s="13" t="inlineStr">
        <is>
          <t>Insurance Payment</t>
        </is>
      </c>
      <c r="V4" s="13" t="inlineStr">
        <is>
          <t>Adjustment</t>
        </is>
      </c>
      <c r="W4" s="13" t="inlineStr">
        <is>
          <t>Insurance Balance</t>
        </is>
      </c>
      <c r="X4" s="13" t="inlineStr">
        <is>
          <t>AR Age by Service Date</t>
        </is>
      </c>
      <c r="Y4" s="13" t="inlineStr">
        <is>
          <t>Rendering Provider</t>
        </is>
      </c>
      <c r="Z4" s="13" t="inlineStr">
        <is>
          <t>Location Name</t>
        </is>
      </c>
      <c r="AA4" s="13" t="inlineStr">
        <is>
          <t>Secondary Claim ID</t>
        </is>
      </c>
      <c r="AB4" s="13" t="inlineStr">
        <is>
          <t>Created Date</t>
        </is>
      </c>
      <c r="AC4" s="13" t="inlineStr">
        <is>
          <t>Insurance Check Date</t>
        </is>
      </c>
      <c r="AD4" s="13" t="inlineStr">
        <is>
          <t>Diagnosis Code 1</t>
        </is>
      </c>
      <c r="AE4" s="13" t="inlineStr">
        <is>
          <t>Diagnosis Code 2</t>
        </is>
      </c>
      <c r="AF4" s="13" t="inlineStr">
        <is>
          <t>Diagnosis Code 3</t>
        </is>
      </c>
      <c r="AG4" s="13" t="inlineStr">
        <is>
          <t>Diagnosis Code 4</t>
        </is>
      </c>
    </row>
    <row r="5">
      <c r="A5" s="34" t="inlineStr">
        <is>
          <t>No claims for this specialty fall within the 10 day window as of 08/10/2026.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5" customWidth="1" min="3" max="3"/>
    <col width="14" customWidth="1" min="4" max="4"/>
    <col width="40" customWidth="1" min="5" max="5"/>
    <col width="36" customWidth="1" min="6" max="6"/>
    <col width="36" customWidth="1" min="7" max="7"/>
    <col width="13" customWidth="1" min="8" max="8"/>
    <col width="12" customWidth="1" min="9" max="9"/>
    <col width="10" customWidth="1" min="10" max="10"/>
    <col width="13" customWidth="1" min="11" max="11"/>
    <col width="12" customWidth="1" min="12" max="12"/>
    <col width="12" customWidth="1" min="13" max="13"/>
    <col width="30" customWidth="1" min="14" max="14"/>
    <col width="52" customWidth="1" min="15" max="15"/>
    <col width="10" customWidth="1" min="16" max="16"/>
    <col width="10" customWidth="1" min="17" max="17"/>
    <col width="10" customWidth="1" min="18" max="18"/>
    <col width="7" customWidth="1" min="19" max="19"/>
    <col width="13" customWidth="1" min="20" max="20"/>
    <col width="14" customWidth="1" min="21" max="21"/>
    <col width="12" customWidth="1" min="22" max="22"/>
    <col width="14" customWidth="1" min="23" max="23"/>
    <col width="11" customWidth="1" min="24" max="24"/>
    <col width="22" customWidth="1" min="25" max="25"/>
    <col width="24" customWidth="1" min="26" max="26"/>
    <col width="15" customWidth="1" min="27" max="27"/>
    <col width="12" customWidth="1" min="28" max="28"/>
    <col width="13" customWidth="1" min="29" max="29"/>
    <col width="11" customWidth="1" min="30" max="30"/>
    <col width="11" customWidth="1" min="31" max="31"/>
    <col width="11" customWidth="1" min="32" max="32"/>
    <col width="11" customWidth="1" min="33" max="33"/>
  </cols>
  <sheetData>
    <row r="1">
      <c r="A1" s="1" t="inlineStr">
        <is>
          <t>Orthopedic (ORTHO) - timely filing 10 day watchlist</t>
        </is>
      </c>
    </row>
    <row r="2">
      <c r="A2" s="2" t="inlineStr">
        <is>
          <t>Claims whose primary payer timely filing deadline falls within 10 days of 10 August 2026. Fill in the amber Claim Status and Notes columns - they feed the All Claims tab automatically. Every other column is copied from the source file or calculated.</t>
        </is>
      </c>
    </row>
    <row r="4" ht="32" customHeight="1">
      <c r="A4" s="13" t="inlineStr">
        <is>
          <t>Claim Status</t>
        </is>
      </c>
      <c r="B4" s="13" t="inlineStr">
        <is>
          <t>Notes</t>
        </is>
      </c>
      <c r="C4" s="13" t="inlineStr">
        <is>
          <t>Primary Claim ID</t>
        </is>
      </c>
      <c r="D4" s="13" t="inlineStr">
        <is>
          <t>Chart Number</t>
        </is>
      </c>
      <c r="E4" s="13" t="inlineStr">
        <is>
          <t>Responsible Payer</t>
        </is>
      </c>
      <c r="F4" s="13" t="inlineStr">
        <is>
          <t>Primary Payer Name</t>
        </is>
      </c>
      <c r="G4" s="13" t="inlineStr">
        <is>
          <t>Secondary Payer Name</t>
        </is>
      </c>
      <c r="H4" s="13" t="inlineStr">
        <is>
          <t>Date of Service</t>
        </is>
      </c>
      <c r="I4" s="13" t="inlineStr">
        <is>
          <t>Procedure Code</t>
        </is>
      </c>
      <c r="J4" s="13" t="inlineStr">
        <is>
          <t>Specialty</t>
        </is>
      </c>
      <c r="K4" s="13" t="inlineStr">
        <is>
          <t>Filing Deadline</t>
        </is>
      </c>
      <c r="L4" s="13" t="inlineStr">
        <is>
          <t>Days Until Deadline</t>
        </is>
      </c>
      <c r="M4" s="13" t="inlineStr">
        <is>
          <t>Timely Filing Limit (Days)</t>
        </is>
      </c>
      <c r="N4" s="13" t="inlineStr">
        <is>
          <t>Reference Carrier</t>
        </is>
      </c>
      <c r="O4" s="13" t="inlineStr">
        <is>
          <t>Limit Basis / Caveat</t>
        </is>
      </c>
      <c r="P4" s="13" t="inlineStr">
        <is>
          <t>Modifier 1</t>
        </is>
      </c>
      <c r="Q4" s="13" t="inlineStr">
        <is>
          <t>Modifier 2</t>
        </is>
      </c>
      <c r="R4" s="13" t="inlineStr">
        <is>
          <t>Modifier 3</t>
        </is>
      </c>
      <c r="S4" s="13" t="inlineStr">
        <is>
          <t>Units</t>
        </is>
      </c>
      <c r="T4" s="13" t="inlineStr">
        <is>
          <t>Charge Amount</t>
        </is>
      </c>
      <c r="U4" s="13" t="inlineStr">
        <is>
          <t>Insurance Payment</t>
        </is>
      </c>
      <c r="V4" s="13" t="inlineStr">
        <is>
          <t>Adjustment</t>
        </is>
      </c>
      <c r="W4" s="13" t="inlineStr">
        <is>
          <t>Insurance Balance</t>
        </is>
      </c>
      <c r="X4" s="13" t="inlineStr">
        <is>
          <t>AR Age by Service Date</t>
        </is>
      </c>
      <c r="Y4" s="13" t="inlineStr">
        <is>
          <t>Rendering Provider</t>
        </is>
      </c>
      <c r="Z4" s="13" t="inlineStr">
        <is>
          <t>Location Name</t>
        </is>
      </c>
      <c r="AA4" s="13" t="inlineStr">
        <is>
          <t>Secondary Claim ID</t>
        </is>
      </c>
      <c r="AB4" s="13" t="inlineStr">
        <is>
          <t>Created Date</t>
        </is>
      </c>
      <c r="AC4" s="13" t="inlineStr">
        <is>
          <t>Insurance Check Date</t>
        </is>
      </c>
      <c r="AD4" s="13" t="inlineStr">
        <is>
          <t>Diagnosis Code 1</t>
        </is>
      </c>
      <c r="AE4" s="13" t="inlineStr">
        <is>
          <t>Diagnosis Code 2</t>
        </is>
      </c>
      <c r="AF4" s="13" t="inlineStr">
        <is>
          <t>Diagnosis Code 3</t>
        </is>
      </c>
      <c r="AG4" s="13" t="inlineStr">
        <is>
          <t>Diagnosis Code 4</t>
        </is>
      </c>
    </row>
    <row r="5">
      <c r="A5" s="22" t="n"/>
      <c r="B5" s="23" t="n"/>
      <c r="C5" s="15" t="n">
        <v>559605223</v>
      </c>
      <c r="D5" s="24" t="inlineStr">
        <is>
          <t>HF549730183</t>
        </is>
      </c>
      <c r="E5" s="25" t="inlineStr">
        <is>
          <t>Optum Care Medical Network of Arizona, Utah, &amp; Washington (LifePrint)</t>
        </is>
      </c>
      <c r="F5" s="25" t="inlineStr">
        <is>
          <t>Optum Care Medical Network of Arizona, Utah, &amp; Washington (LifePrint)</t>
        </is>
      </c>
      <c r="G5" s="25" t="inlineStr">
        <is>
          <t>No Payer</t>
        </is>
      </c>
      <c r="H5" s="17" t="n">
        <v>46155</v>
      </c>
      <c r="I5" s="24" t="inlineStr">
        <is>
          <t>22551</t>
        </is>
      </c>
      <c r="J5" s="24" t="inlineStr">
        <is>
          <t>ORTHO</t>
        </is>
      </c>
      <c r="K5" s="26">
        <f>H5+M5</f>
        <v/>
      </c>
      <c r="L5" s="27">
        <f>K5-TODAY()</f>
        <v/>
      </c>
      <c r="M5" s="15" t="n">
        <v>90</v>
      </c>
      <c r="N5" s="24" t="inlineStr">
        <is>
          <t>OPTUM</t>
        </is>
      </c>
      <c r="O5" s="25" t="inlineStr"/>
      <c r="P5" s="24" t="n"/>
      <c r="Q5" s="24" t="n"/>
      <c r="R5" s="24" t="n"/>
      <c r="S5" s="15" t="n">
        <v>1</v>
      </c>
      <c r="T5" s="28" t="n">
        <v>11690.98</v>
      </c>
      <c r="U5" s="28" t="n">
        <v>0</v>
      </c>
      <c r="V5" s="28" t="n">
        <v>0</v>
      </c>
      <c r="W5" s="28" t="n">
        <v>11690.98</v>
      </c>
      <c r="X5" s="15" t="n">
        <v>87</v>
      </c>
      <c r="Y5" s="24" t="inlineStr">
        <is>
          <t>BURGHER, ABRAM</t>
        </is>
      </c>
      <c r="Z5" s="24" t="inlineStr">
        <is>
          <t>ASAP Surgery Centers North Valley LLC</t>
        </is>
      </c>
      <c r="AA5" s="15" t="n"/>
      <c r="AB5" s="17" t="n">
        <v>46161</v>
      </c>
      <c r="AC5" s="24" t="n"/>
      <c r="AD5" s="24" t="inlineStr">
        <is>
          <t>M50022</t>
        </is>
      </c>
      <c r="AE5" s="24" t="inlineStr">
        <is>
          <t>M50122</t>
        </is>
      </c>
      <c r="AF5" s="24" t="inlineStr">
        <is>
          <t>M5412</t>
        </is>
      </c>
      <c r="AG5" s="24" t="inlineStr">
        <is>
          <t>M5000</t>
        </is>
      </c>
    </row>
    <row r="6">
      <c r="A6" s="22" t="n"/>
      <c r="B6" s="23" t="n"/>
      <c r="C6" s="19" t="n">
        <v>559605223</v>
      </c>
      <c r="D6" s="29" t="inlineStr">
        <is>
          <t>HF549730183</t>
        </is>
      </c>
      <c r="E6" s="30" t="inlineStr">
        <is>
          <t>Optum Care Medical Network of Arizona, Utah, &amp; Washington (LifePrint)</t>
        </is>
      </c>
      <c r="F6" s="30" t="inlineStr">
        <is>
          <t>Optum Care Medical Network of Arizona, Utah, &amp; Washington (LifePrint)</t>
        </is>
      </c>
      <c r="G6" s="30" t="inlineStr">
        <is>
          <t>No Payer</t>
        </is>
      </c>
      <c r="H6" s="21" t="n">
        <v>46155</v>
      </c>
      <c r="I6" s="29" t="inlineStr">
        <is>
          <t>22845</t>
        </is>
      </c>
      <c r="J6" s="29" t="inlineStr">
        <is>
          <t>ORTHO</t>
        </is>
      </c>
      <c r="K6" s="31">
        <f>H6+M6</f>
        <v/>
      </c>
      <c r="L6" s="32">
        <f>K6-TODAY()</f>
        <v/>
      </c>
      <c r="M6" s="19" t="n">
        <v>90</v>
      </c>
      <c r="N6" s="29" t="inlineStr">
        <is>
          <t>OPTUM</t>
        </is>
      </c>
      <c r="O6" s="30" t="inlineStr"/>
      <c r="P6" s="29" t="inlineStr">
        <is>
          <t>59</t>
        </is>
      </c>
      <c r="Q6" s="29" t="n"/>
      <c r="R6" s="29" t="n"/>
      <c r="S6" s="19" t="n">
        <v>1</v>
      </c>
      <c r="T6" s="33" t="n">
        <v>4951.24</v>
      </c>
      <c r="U6" s="33" t="n">
        <v>0</v>
      </c>
      <c r="V6" s="33" t="n">
        <v>0</v>
      </c>
      <c r="W6" s="33" t="n">
        <v>4951.24</v>
      </c>
      <c r="X6" s="19" t="n">
        <v>87</v>
      </c>
      <c r="Y6" s="29" t="inlineStr">
        <is>
          <t>BURGHER, ABRAM</t>
        </is>
      </c>
      <c r="Z6" s="29" t="inlineStr">
        <is>
          <t>ASAP Surgery Centers North Valley LLC</t>
        </is>
      </c>
      <c r="AA6" s="19" t="n"/>
      <c r="AB6" s="21" t="n">
        <v>46161</v>
      </c>
      <c r="AC6" s="29" t="n"/>
      <c r="AD6" s="29" t="inlineStr">
        <is>
          <t>M50022</t>
        </is>
      </c>
      <c r="AE6" s="29" t="inlineStr">
        <is>
          <t>M50023</t>
        </is>
      </c>
      <c r="AF6" s="29" t="inlineStr">
        <is>
          <t>M50122</t>
        </is>
      </c>
      <c r="AG6" s="29" t="inlineStr">
        <is>
          <t>M5412</t>
        </is>
      </c>
    </row>
    <row r="7">
      <c r="A7" s="22" t="n"/>
      <c r="B7" s="23" t="n"/>
      <c r="C7" s="15" t="n">
        <v>559605223</v>
      </c>
      <c r="D7" s="24" t="inlineStr">
        <is>
          <t>HF549730183</t>
        </is>
      </c>
      <c r="E7" s="25" t="inlineStr">
        <is>
          <t>Optum Care Medical Network of Arizona, Utah, &amp; Washington (LifePrint)</t>
        </is>
      </c>
      <c r="F7" s="25" t="inlineStr">
        <is>
          <t>Optum Care Medical Network of Arizona, Utah, &amp; Washington (LifePrint)</t>
        </is>
      </c>
      <c r="G7" s="25" t="inlineStr">
        <is>
          <t>No Payer</t>
        </is>
      </c>
      <c r="H7" s="17" t="n">
        <v>46155</v>
      </c>
      <c r="I7" s="24" t="inlineStr">
        <is>
          <t>22853</t>
        </is>
      </c>
      <c r="J7" s="24" t="inlineStr">
        <is>
          <t>ORTHO</t>
        </is>
      </c>
      <c r="K7" s="26">
        <f>H7+M7</f>
        <v/>
      </c>
      <c r="L7" s="27">
        <f>K7-TODAY()</f>
        <v/>
      </c>
      <c r="M7" s="15" t="n">
        <v>90</v>
      </c>
      <c r="N7" s="24" t="inlineStr">
        <is>
          <t>OPTUM</t>
        </is>
      </c>
      <c r="O7" s="25" t="inlineStr"/>
      <c r="P7" s="24" t="n"/>
      <c r="Q7" s="24" t="n"/>
      <c r="R7" s="24" t="n"/>
      <c r="S7" s="15" t="n">
        <v>1</v>
      </c>
      <c r="T7" s="28" t="n">
        <v>1758.12</v>
      </c>
      <c r="U7" s="28" t="n">
        <v>0</v>
      </c>
      <c r="V7" s="28" t="n">
        <v>0</v>
      </c>
      <c r="W7" s="28" t="n">
        <v>1758.12</v>
      </c>
      <c r="X7" s="15" t="n">
        <v>87</v>
      </c>
      <c r="Y7" s="24" t="inlineStr">
        <is>
          <t>BURGHER, ABRAM</t>
        </is>
      </c>
      <c r="Z7" s="24" t="inlineStr">
        <is>
          <t>ASAP Surgery Centers North Valley LLC</t>
        </is>
      </c>
      <c r="AA7" s="15" t="n"/>
      <c r="AB7" s="17" t="n">
        <v>46161</v>
      </c>
      <c r="AC7" s="24" t="n"/>
      <c r="AD7" s="24" t="inlineStr">
        <is>
          <t>M50022</t>
        </is>
      </c>
      <c r="AE7" s="24" t="inlineStr">
        <is>
          <t>M50122</t>
        </is>
      </c>
      <c r="AF7" s="24" t="inlineStr">
        <is>
          <t>M5412</t>
        </is>
      </c>
      <c r="AG7" s="24" t="inlineStr">
        <is>
          <t>M5000</t>
        </is>
      </c>
    </row>
    <row r="8">
      <c r="A8" s="22" t="n"/>
      <c r="B8" s="23" t="n"/>
      <c r="C8" s="19" t="n">
        <v>559605223</v>
      </c>
      <c r="D8" s="29" t="inlineStr">
        <is>
          <t>HF549730183</t>
        </is>
      </c>
      <c r="E8" s="30" t="inlineStr">
        <is>
          <t>Optum Care Medical Network of Arizona, Utah, &amp; Washington (LifePrint)</t>
        </is>
      </c>
      <c r="F8" s="30" t="inlineStr">
        <is>
          <t>Optum Care Medical Network of Arizona, Utah, &amp; Washington (LifePrint)</t>
        </is>
      </c>
      <c r="G8" s="30" t="inlineStr">
        <is>
          <t>No Payer</t>
        </is>
      </c>
      <c r="H8" s="21" t="n">
        <v>46155</v>
      </c>
      <c r="I8" s="29" t="inlineStr">
        <is>
          <t>22853</t>
        </is>
      </c>
      <c r="J8" s="29" t="inlineStr">
        <is>
          <t>ORTHO</t>
        </is>
      </c>
      <c r="K8" s="31">
        <f>H8+M8</f>
        <v/>
      </c>
      <c r="L8" s="32">
        <f>K8-TODAY()</f>
        <v/>
      </c>
      <c r="M8" s="19" t="n">
        <v>90</v>
      </c>
      <c r="N8" s="29" t="inlineStr">
        <is>
          <t>OPTUM</t>
        </is>
      </c>
      <c r="O8" s="30" t="inlineStr"/>
      <c r="P8" s="29" t="inlineStr">
        <is>
          <t>59</t>
        </is>
      </c>
      <c r="Q8" s="29" t="n"/>
      <c r="R8" s="29" t="n"/>
      <c r="S8" s="19" t="n">
        <v>1</v>
      </c>
      <c r="T8" s="33" t="n">
        <v>1758.12</v>
      </c>
      <c r="U8" s="33" t="n">
        <v>0</v>
      </c>
      <c r="V8" s="33" t="n">
        <v>0</v>
      </c>
      <c r="W8" s="33" t="n">
        <v>1758.12</v>
      </c>
      <c r="X8" s="19" t="n">
        <v>87</v>
      </c>
      <c r="Y8" s="29" t="inlineStr">
        <is>
          <t>BURGHER, ABRAM</t>
        </is>
      </c>
      <c r="Z8" s="29" t="inlineStr">
        <is>
          <t>ASAP Surgery Centers North Valley LLC</t>
        </is>
      </c>
      <c r="AA8" s="19" t="n"/>
      <c r="AB8" s="21" t="n">
        <v>46161</v>
      </c>
      <c r="AC8" s="29" t="n"/>
      <c r="AD8" s="29" t="inlineStr">
        <is>
          <t>M50023</t>
        </is>
      </c>
      <c r="AE8" s="29" t="inlineStr">
        <is>
          <t>M5412</t>
        </is>
      </c>
      <c r="AF8" s="29" t="inlineStr">
        <is>
          <t>M5000</t>
        </is>
      </c>
      <c r="AG8" s="29" t="inlineStr">
        <is>
          <t>M542</t>
        </is>
      </c>
    </row>
    <row r="9">
      <c r="A9" s="22" t="n"/>
      <c r="B9" s="23" t="n"/>
      <c r="C9" s="15" t="n">
        <v>559356030</v>
      </c>
      <c r="D9" s="24" t="inlineStr">
        <is>
          <t>HF427171307</t>
        </is>
      </c>
      <c r="E9" s="25" t="inlineStr">
        <is>
          <t>HealthSpring Medicare Advantage</t>
        </is>
      </c>
      <c r="F9" s="25" t="inlineStr">
        <is>
          <t>HealthSpring Medicare Advantage</t>
        </is>
      </c>
      <c r="G9" s="25" t="inlineStr">
        <is>
          <t>No Payer</t>
        </is>
      </c>
      <c r="H9" s="17" t="n">
        <v>46156</v>
      </c>
      <c r="I9" s="24" t="inlineStr">
        <is>
          <t>63047</t>
        </is>
      </c>
      <c r="J9" s="24" t="inlineStr">
        <is>
          <t>ORTHO</t>
        </is>
      </c>
      <c r="K9" s="26">
        <f>H9+M9</f>
        <v/>
      </c>
      <c r="L9" s="27">
        <f>K9-TODAY()</f>
        <v/>
      </c>
      <c r="M9" s="15" t="n">
        <v>90</v>
      </c>
      <c r="N9" s="24" t="inlineStr">
        <is>
          <t>CIGNA / CIGNA MEDICARE</t>
        </is>
      </c>
      <c r="O9" s="25" t="inlineStr"/>
      <c r="P9" s="24" t="n"/>
      <c r="Q9" s="24" t="n"/>
      <c r="R9" s="24" t="n"/>
      <c r="S9" s="15" t="n">
        <v>1</v>
      </c>
      <c r="T9" s="28" t="n">
        <v>7623.07</v>
      </c>
      <c r="U9" s="28" t="n">
        <v>0</v>
      </c>
      <c r="V9" s="28" t="n">
        <v>0</v>
      </c>
      <c r="W9" s="28" t="n">
        <v>7623.07</v>
      </c>
      <c r="X9" s="15" t="n">
        <v>86</v>
      </c>
      <c r="Y9" s="24" t="inlineStr">
        <is>
          <t>KRAUSE, JEFFREY</t>
        </is>
      </c>
      <c r="Z9" s="24" t="inlineStr">
        <is>
          <t>ASAP Surgery Centers North Valley LLC</t>
        </is>
      </c>
      <c r="AA9" s="15" t="n"/>
      <c r="AB9" s="17" t="n">
        <v>46160</v>
      </c>
      <c r="AC9" s="17" t="n">
        <v>46170</v>
      </c>
      <c r="AD9" s="24" t="inlineStr">
        <is>
          <t>M48062</t>
        </is>
      </c>
      <c r="AE9" s="24" t="n"/>
      <c r="AF9" s="24" t="n"/>
      <c r="AG9" s="24" t="n"/>
    </row>
    <row r="10">
      <c r="A10" s="22" t="n"/>
      <c r="B10" s="23" t="n"/>
      <c r="C10" s="19" t="n">
        <v>565931559</v>
      </c>
      <c r="D10" s="29" t="inlineStr">
        <is>
          <t>HF549060053</t>
        </is>
      </c>
      <c r="E10" s="30" t="inlineStr">
        <is>
          <t>Devoted Health Plan</t>
        </is>
      </c>
      <c r="F10" s="30" t="inlineStr">
        <is>
          <t>Devoted Health Plan</t>
        </is>
      </c>
      <c r="G10" s="30" t="inlineStr">
        <is>
          <t>No Payer</t>
        </is>
      </c>
      <c r="H10" s="21" t="n">
        <v>46190</v>
      </c>
      <c r="I10" s="29" t="inlineStr">
        <is>
          <t>63047</t>
        </is>
      </c>
      <c r="J10" s="29" t="inlineStr">
        <is>
          <t>ORTHO</t>
        </is>
      </c>
      <c r="K10" s="31">
        <f>H10+M10</f>
        <v/>
      </c>
      <c r="L10" s="32">
        <f>K10-TODAY()</f>
        <v/>
      </c>
      <c r="M10" s="19" t="n">
        <v>60</v>
      </c>
      <c r="N10" s="29" t="inlineStr">
        <is>
          <t>DEVOTED</t>
        </is>
      </c>
      <c r="O10" s="30" t="inlineStr">
        <is>
          <t>Shortest limit on the reference list.</t>
        </is>
      </c>
      <c r="P10" s="29" t="n"/>
      <c r="Q10" s="29" t="n"/>
      <c r="R10" s="29" t="n"/>
      <c r="S10" s="19" t="n">
        <v>1</v>
      </c>
      <c r="T10" s="33" t="n">
        <v>7623.07</v>
      </c>
      <c r="U10" s="33" t="n">
        <v>0</v>
      </c>
      <c r="V10" s="33" t="n">
        <v>0</v>
      </c>
      <c r="W10" s="33" t="n">
        <v>7623.07</v>
      </c>
      <c r="X10" s="19" t="n">
        <v>52</v>
      </c>
      <c r="Y10" s="29" t="inlineStr">
        <is>
          <t>MAYURAN, VIKRAM</t>
        </is>
      </c>
      <c r="Z10" s="29" t="inlineStr">
        <is>
          <t>ASAP Surgery Centers North Valley LLC</t>
        </is>
      </c>
      <c r="AA10" s="19" t="n"/>
      <c r="AB10" s="21" t="n">
        <v>46210</v>
      </c>
      <c r="AC10" s="29" t="n"/>
      <c r="AD10" s="29" t="inlineStr">
        <is>
          <t>M48062</t>
        </is>
      </c>
      <c r="AE10" s="29" t="n"/>
      <c r="AF10" s="29" t="n"/>
      <c r="AG10" s="29" t="n"/>
    </row>
    <row r="11">
      <c r="A11" s="22" t="n"/>
      <c r="B11" s="23" t="n"/>
      <c r="C11" s="15" t="n">
        <v>565931559</v>
      </c>
      <c r="D11" s="24" t="inlineStr">
        <is>
          <t>HF549060053</t>
        </is>
      </c>
      <c r="E11" s="25" t="inlineStr">
        <is>
          <t>Devoted Health Plan</t>
        </is>
      </c>
      <c r="F11" s="25" t="inlineStr">
        <is>
          <t>Devoted Health Plan</t>
        </is>
      </c>
      <c r="G11" s="25" t="inlineStr">
        <is>
          <t>No Payer</t>
        </is>
      </c>
      <c r="H11" s="17" t="n">
        <v>46190</v>
      </c>
      <c r="I11" s="24" t="inlineStr">
        <is>
          <t>63048</t>
        </is>
      </c>
      <c r="J11" s="24" t="inlineStr">
        <is>
          <t>ORTHO</t>
        </is>
      </c>
      <c r="K11" s="26">
        <f>H11+M11</f>
        <v/>
      </c>
      <c r="L11" s="27">
        <f>K11-TODAY()</f>
        <v/>
      </c>
      <c r="M11" s="15" t="n">
        <v>60</v>
      </c>
      <c r="N11" s="24" t="inlineStr">
        <is>
          <t>DEVOTED</t>
        </is>
      </c>
      <c r="O11" s="25" t="inlineStr">
        <is>
          <t>Shortest limit on the reference list.</t>
        </is>
      </c>
      <c r="P11" s="24" t="n"/>
      <c r="Q11" s="24" t="n"/>
      <c r="R11" s="24" t="n"/>
      <c r="S11" s="15" t="n">
        <v>1</v>
      </c>
      <c r="T11" s="28" t="n">
        <v>1433.32</v>
      </c>
      <c r="U11" s="28" t="n">
        <v>0</v>
      </c>
      <c r="V11" s="28" t="n">
        <v>0</v>
      </c>
      <c r="W11" s="28" t="n">
        <v>1433.32</v>
      </c>
      <c r="X11" s="15" t="n">
        <v>52</v>
      </c>
      <c r="Y11" s="24" t="inlineStr">
        <is>
          <t>MAYURAN, VIKRAM</t>
        </is>
      </c>
      <c r="Z11" s="24" t="inlineStr">
        <is>
          <t>ASAP Surgery Centers North Valley LLC</t>
        </is>
      </c>
      <c r="AA11" s="15" t="n"/>
      <c r="AB11" s="17" t="n">
        <v>46210</v>
      </c>
      <c r="AC11" s="24" t="n"/>
      <c r="AD11" s="24" t="inlineStr">
        <is>
          <t>M48062</t>
        </is>
      </c>
      <c r="AE11" s="24" t="n"/>
      <c r="AF11" s="24" t="n"/>
      <c r="AG11" s="24" t="n"/>
    </row>
    <row r="12">
      <c r="A12" s="22" t="n"/>
      <c r="B12" s="23" t="n"/>
      <c r="C12" s="19" t="n">
        <v>561233259</v>
      </c>
      <c r="D12" s="29" t="inlineStr">
        <is>
          <t>WC-509516716</t>
        </is>
      </c>
      <c r="E12" s="30" t="inlineStr">
        <is>
          <t>United Healthcare</t>
        </is>
      </c>
      <c r="F12" s="30" t="inlineStr">
        <is>
          <t>United Healthcare</t>
        </is>
      </c>
      <c r="G12" s="30" t="inlineStr">
        <is>
          <t>No Payer</t>
        </is>
      </c>
      <c r="H12" s="21" t="n">
        <v>46160</v>
      </c>
      <c r="I12" s="29" t="inlineStr">
        <is>
          <t>63047</t>
        </is>
      </c>
      <c r="J12" s="29" t="inlineStr">
        <is>
          <t>ORTHO</t>
        </is>
      </c>
      <c r="K12" s="31">
        <f>H12+M12</f>
        <v/>
      </c>
      <c r="L12" s="32">
        <f>K12-TODAY()</f>
        <v/>
      </c>
      <c r="M12" s="19" t="n">
        <v>90</v>
      </c>
      <c r="N12" s="29" t="inlineStr">
        <is>
          <t>UHC COMMERCIAL</t>
        </is>
      </c>
      <c r="O12" s="30" t="inlineStr"/>
      <c r="P12" s="29" t="n"/>
      <c r="Q12" s="29" t="n"/>
      <c r="R12" s="29" t="n"/>
      <c r="S12" s="19" t="n">
        <v>1</v>
      </c>
      <c r="T12" s="33" t="n">
        <v>7623.07</v>
      </c>
      <c r="U12" s="33" t="n">
        <v>0</v>
      </c>
      <c r="V12" s="33" t="n">
        <v>0</v>
      </c>
      <c r="W12" s="33" t="n">
        <v>7623.07</v>
      </c>
      <c r="X12" s="19" t="n">
        <v>82</v>
      </c>
      <c r="Y12" s="29" t="inlineStr">
        <is>
          <t>MAYURAN, VIKRAM</t>
        </is>
      </c>
      <c r="Z12" s="29" t="inlineStr">
        <is>
          <t>ASAP Surgery Centers North Valley LLC</t>
        </is>
      </c>
      <c r="AA12" s="19" t="n"/>
      <c r="AB12" s="21" t="n">
        <v>46177</v>
      </c>
      <c r="AC12" s="29" t="n"/>
      <c r="AD12" s="29" t="inlineStr">
        <is>
          <t>M5416</t>
        </is>
      </c>
      <c r="AE12" s="29" t="inlineStr">
        <is>
          <t>M48061</t>
        </is>
      </c>
      <c r="AF12" s="29" t="inlineStr">
        <is>
          <t>S335XXA</t>
        </is>
      </c>
      <c r="AG12" s="29" t="n"/>
    </row>
    <row r="13">
      <c r="A13" s="22" t="n"/>
      <c r="B13" s="23" t="n"/>
      <c r="C13" s="15" t="n">
        <v>561233259</v>
      </c>
      <c r="D13" s="24" t="inlineStr">
        <is>
          <t>WC-509516716</t>
        </is>
      </c>
      <c r="E13" s="25" t="inlineStr">
        <is>
          <t>United Healthcare</t>
        </is>
      </c>
      <c r="F13" s="25" t="inlineStr">
        <is>
          <t>United Healthcare</t>
        </is>
      </c>
      <c r="G13" s="25" t="inlineStr">
        <is>
          <t>No Payer</t>
        </is>
      </c>
      <c r="H13" s="17" t="n">
        <v>46160</v>
      </c>
      <c r="I13" s="24" t="inlineStr">
        <is>
          <t>63048</t>
        </is>
      </c>
      <c r="J13" s="24" t="inlineStr">
        <is>
          <t>ORTHO</t>
        </is>
      </c>
      <c r="K13" s="26">
        <f>H13+M13</f>
        <v/>
      </c>
      <c r="L13" s="27">
        <f>K13-TODAY()</f>
        <v/>
      </c>
      <c r="M13" s="15" t="n">
        <v>90</v>
      </c>
      <c r="N13" s="24" t="inlineStr">
        <is>
          <t>UHC COMMERCIAL</t>
        </is>
      </c>
      <c r="O13" s="25" t="inlineStr"/>
      <c r="P13" s="24" t="n"/>
      <c r="Q13" s="24" t="n"/>
      <c r="R13" s="24" t="n"/>
      <c r="S13" s="15" t="n">
        <v>1</v>
      </c>
      <c r="T13" s="28" t="n">
        <v>1433.32</v>
      </c>
      <c r="U13" s="28" t="n">
        <v>0</v>
      </c>
      <c r="V13" s="28" t="n">
        <v>0</v>
      </c>
      <c r="W13" s="28" t="n">
        <v>1433.32</v>
      </c>
      <c r="X13" s="15" t="n">
        <v>82</v>
      </c>
      <c r="Y13" s="24" t="inlineStr">
        <is>
          <t>MAYURAN, VIKRAM</t>
        </is>
      </c>
      <c r="Z13" s="24" t="inlineStr">
        <is>
          <t>ASAP Surgery Centers North Valley LLC</t>
        </is>
      </c>
      <c r="AA13" s="15" t="n"/>
      <c r="AB13" s="17" t="n">
        <v>46177</v>
      </c>
      <c r="AC13" s="24" t="n"/>
      <c r="AD13" s="24" t="inlineStr">
        <is>
          <t>M5416</t>
        </is>
      </c>
      <c r="AE13" s="24" t="inlineStr">
        <is>
          <t>M48061</t>
        </is>
      </c>
      <c r="AF13" s="24" t="inlineStr">
        <is>
          <t>S335XXA</t>
        </is>
      </c>
      <c r="AG13" s="24" t="n"/>
    </row>
    <row r="14">
      <c r="A14" s="22" t="n"/>
      <c r="B14" s="23" t="n"/>
      <c r="C14" s="19" t="n">
        <v>559340087</v>
      </c>
      <c r="D14" s="29" t="inlineStr">
        <is>
          <t>HF522538764</t>
        </is>
      </c>
      <c r="E14" s="30" t="inlineStr">
        <is>
          <t>Allwell - All States (Centene)</t>
        </is>
      </c>
      <c r="F14" s="30" t="inlineStr">
        <is>
          <t>Allwell - All States (Centene)</t>
        </is>
      </c>
      <c r="G14" s="30" t="inlineStr">
        <is>
          <t>No Payer</t>
        </is>
      </c>
      <c r="H14" s="21" t="n">
        <v>46157</v>
      </c>
      <c r="I14" s="29" t="inlineStr">
        <is>
          <t>63685</t>
        </is>
      </c>
      <c r="J14" s="29" t="inlineStr">
        <is>
          <t>ORTHO</t>
        </is>
      </c>
      <c r="K14" s="31">
        <f>H14+M14</f>
        <v/>
      </c>
      <c r="L14" s="32">
        <f>K14-TODAY()</f>
        <v/>
      </c>
      <c r="M14" s="19" t="n">
        <v>95</v>
      </c>
      <c r="N14" s="29" t="inlineStr">
        <is>
          <t>WELLCARE BY ALLWELL</t>
        </is>
      </c>
      <c r="O14" s="30" t="inlineStr"/>
      <c r="P14" s="29" t="n"/>
      <c r="Q14" s="29" t="n"/>
      <c r="R14" s="29" t="n"/>
      <c r="S14" s="19" t="n">
        <v>1</v>
      </c>
      <c r="T14" s="33" t="n">
        <v>2493.33</v>
      </c>
      <c r="U14" s="33" t="n">
        <v>0</v>
      </c>
      <c r="V14" s="33" t="n">
        <v>0</v>
      </c>
      <c r="W14" s="33" t="n">
        <v>2493.33</v>
      </c>
      <c r="X14" s="19" t="n">
        <v>85</v>
      </c>
      <c r="Y14" s="29" t="inlineStr">
        <is>
          <t>O'NEIL, ROY</t>
        </is>
      </c>
      <c r="Z14" s="29" t="inlineStr">
        <is>
          <t>ASAP Surgery Centers North Valley LLC</t>
        </is>
      </c>
      <c r="AA14" s="19" t="n"/>
      <c r="AB14" s="21" t="n">
        <v>46160</v>
      </c>
      <c r="AC14" s="21" t="n">
        <v>46170</v>
      </c>
      <c r="AD14" s="29" t="inlineStr">
        <is>
          <t>M961</t>
        </is>
      </c>
      <c r="AE14" s="29" t="inlineStr">
        <is>
          <t>M5416</t>
        </is>
      </c>
      <c r="AF14" s="29" t="inlineStr">
        <is>
          <t>G894</t>
        </is>
      </c>
      <c r="AG14" s="29" t="n"/>
    </row>
    <row r="15">
      <c r="A15" s="22" t="n"/>
      <c r="B15" s="23" t="n"/>
      <c r="C15" s="15" t="n">
        <v>561246589</v>
      </c>
      <c r="D15" s="24" t="inlineStr">
        <is>
          <t>HF554018380</t>
        </is>
      </c>
      <c r="E15" s="25" t="inlineStr">
        <is>
          <t>UnitedHealthcare Community Plan / Arizona Long Term Care</t>
        </is>
      </c>
      <c r="F15" s="25" t="inlineStr">
        <is>
          <t>UnitedHealthcare Community Plan / Arizona Long Term Care</t>
        </is>
      </c>
      <c r="G15" s="25" t="inlineStr">
        <is>
          <t>No Payer</t>
        </is>
      </c>
      <c r="H15" s="17" t="n">
        <v>46163</v>
      </c>
      <c r="I15" s="24" t="inlineStr">
        <is>
          <t>63030</t>
        </is>
      </c>
      <c r="J15" s="24" t="inlineStr">
        <is>
          <t>ORTHO</t>
        </is>
      </c>
      <c r="K15" s="26">
        <f>H15+M15</f>
        <v/>
      </c>
      <c r="L15" s="27">
        <f>K15-TODAY()</f>
        <v/>
      </c>
      <c r="M15" s="15" t="n">
        <v>90</v>
      </c>
      <c r="N15" s="24" t="inlineStr">
        <is>
          <t>UHC COMMUNITY</t>
        </is>
      </c>
      <c r="O15" s="25" t="inlineStr"/>
      <c r="P15" s="24" t="inlineStr">
        <is>
          <t>RT</t>
        </is>
      </c>
      <c r="Q15" s="24" t="n"/>
      <c r="R15" s="24" t="n"/>
      <c r="S15" s="15" t="n">
        <v>1</v>
      </c>
      <c r="T15" s="28" t="n">
        <v>6297.27</v>
      </c>
      <c r="U15" s="28" t="n">
        <v>0</v>
      </c>
      <c r="V15" s="28" t="n">
        <v>0</v>
      </c>
      <c r="W15" s="28" t="n">
        <v>6297.27</v>
      </c>
      <c r="X15" s="15" t="n">
        <v>79</v>
      </c>
      <c r="Y15" s="24" t="inlineStr">
        <is>
          <t>LUKE, TIMOTHY</t>
        </is>
      </c>
      <c r="Z15" s="24" t="inlineStr">
        <is>
          <t>ASAP Surgery Centers North Valley LLC</t>
        </is>
      </c>
      <c r="AA15" s="15" t="n"/>
      <c r="AB15" s="17" t="n">
        <v>46177</v>
      </c>
      <c r="AC15" s="17" t="n">
        <v>46183</v>
      </c>
      <c r="AD15" s="24" t="inlineStr">
        <is>
          <t>M4807</t>
        </is>
      </c>
      <c r="AE15" s="24" t="inlineStr">
        <is>
          <t>M5417</t>
        </is>
      </c>
      <c r="AF15" s="24" t="inlineStr">
        <is>
          <t>M5127</t>
        </is>
      </c>
      <c r="AG15" s="24" t="n"/>
    </row>
  </sheetData>
  <autoFilter ref="A4:AG15"/>
  <conditionalFormatting sqref="L5:L15">
    <cfRule type="cellIs" priority="1" operator="lessThanOrEqual" dxfId="0">
      <formula>3</formula>
    </cfRule>
    <cfRule type="cellIs" priority="2" operator="lessThanOrEqual" dxfId="1">
      <formula>7</formula>
    </cfRule>
    <cfRule type="cellIs" priority="3" operator="greaterThan" dxfId="2">
      <formula>7</formula>
    </cfRule>
  </conditionalFormatting>
  <dataValidations count="1">
    <dataValidation sqref="A5:A15" showDropDown="0" showInputMessage="0" showErrorMessage="0" allowBlank="1" type="list">
      <formula1>"Denied,Finalized,Received,In Progress,Refiled,Appealed,Written Off"</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2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5" customWidth="1" min="3" max="3"/>
    <col width="14" customWidth="1" min="4" max="4"/>
    <col width="40" customWidth="1" min="5" max="5"/>
    <col width="36" customWidth="1" min="6" max="6"/>
    <col width="36" customWidth="1" min="7" max="7"/>
    <col width="13" customWidth="1" min="8" max="8"/>
    <col width="12" customWidth="1" min="9" max="9"/>
    <col width="10" customWidth="1" min="10" max="10"/>
    <col width="13" customWidth="1" min="11" max="11"/>
    <col width="12" customWidth="1" min="12" max="12"/>
    <col width="12" customWidth="1" min="13" max="13"/>
    <col width="30" customWidth="1" min="14" max="14"/>
    <col width="52" customWidth="1" min="15" max="15"/>
    <col width="10" customWidth="1" min="16" max="16"/>
    <col width="10" customWidth="1" min="17" max="17"/>
    <col width="10" customWidth="1" min="18" max="18"/>
    <col width="7" customWidth="1" min="19" max="19"/>
    <col width="13" customWidth="1" min="20" max="20"/>
    <col width="14" customWidth="1" min="21" max="21"/>
    <col width="12" customWidth="1" min="22" max="22"/>
    <col width="14" customWidth="1" min="23" max="23"/>
    <col width="11" customWidth="1" min="24" max="24"/>
    <col width="22" customWidth="1" min="25" max="25"/>
    <col width="24" customWidth="1" min="26" max="26"/>
    <col width="15" customWidth="1" min="27" max="27"/>
    <col width="12" customWidth="1" min="28" max="28"/>
    <col width="13" customWidth="1" min="29" max="29"/>
    <col width="11" customWidth="1" min="30" max="30"/>
    <col width="11" customWidth="1" min="31" max="31"/>
    <col width="11" customWidth="1" min="32" max="32"/>
    <col width="11" customWidth="1" min="33" max="33"/>
  </cols>
  <sheetData>
    <row r="1">
      <c r="A1" s="1" t="inlineStr">
        <is>
          <t>Ultrasound (US) - timely filing 10 day watchlist</t>
        </is>
      </c>
    </row>
    <row r="2">
      <c r="A2" s="2" t="inlineStr">
        <is>
          <t>Claims whose primary payer timely filing deadline falls within 10 days of 10 August 2026. Fill in the amber Claim Status and Notes columns - they feed the All Claims tab automatically. Every other column is copied from the source file or calculated.</t>
        </is>
      </c>
    </row>
    <row r="4" ht="32" customHeight="1">
      <c r="A4" s="13" t="inlineStr">
        <is>
          <t>Claim Status</t>
        </is>
      </c>
      <c r="B4" s="13" t="inlineStr">
        <is>
          <t>Notes</t>
        </is>
      </c>
      <c r="C4" s="13" t="inlineStr">
        <is>
          <t>Primary Claim ID</t>
        </is>
      </c>
      <c r="D4" s="13" t="inlineStr">
        <is>
          <t>Chart Number</t>
        </is>
      </c>
      <c r="E4" s="13" t="inlineStr">
        <is>
          <t>Responsible Payer</t>
        </is>
      </c>
      <c r="F4" s="13" t="inlineStr">
        <is>
          <t>Primary Payer Name</t>
        </is>
      </c>
      <c r="G4" s="13" t="inlineStr">
        <is>
          <t>Secondary Payer Name</t>
        </is>
      </c>
      <c r="H4" s="13" t="inlineStr">
        <is>
          <t>Date of Service</t>
        </is>
      </c>
      <c r="I4" s="13" t="inlineStr">
        <is>
          <t>Procedure Code</t>
        </is>
      </c>
      <c r="J4" s="13" t="inlineStr">
        <is>
          <t>Specialty</t>
        </is>
      </c>
      <c r="K4" s="13" t="inlineStr">
        <is>
          <t>Filing Deadline</t>
        </is>
      </c>
      <c r="L4" s="13" t="inlineStr">
        <is>
          <t>Days Until Deadline</t>
        </is>
      </c>
      <c r="M4" s="13" t="inlineStr">
        <is>
          <t>Timely Filing Limit (Days)</t>
        </is>
      </c>
      <c r="N4" s="13" t="inlineStr">
        <is>
          <t>Reference Carrier</t>
        </is>
      </c>
      <c r="O4" s="13" t="inlineStr">
        <is>
          <t>Limit Basis / Caveat</t>
        </is>
      </c>
      <c r="P4" s="13" t="inlineStr">
        <is>
          <t>Modifier 1</t>
        </is>
      </c>
      <c r="Q4" s="13" t="inlineStr">
        <is>
          <t>Modifier 2</t>
        </is>
      </c>
      <c r="R4" s="13" t="inlineStr">
        <is>
          <t>Modifier 3</t>
        </is>
      </c>
      <c r="S4" s="13" t="inlineStr">
        <is>
          <t>Units</t>
        </is>
      </c>
      <c r="T4" s="13" t="inlineStr">
        <is>
          <t>Charge Amount</t>
        </is>
      </c>
      <c r="U4" s="13" t="inlineStr">
        <is>
          <t>Insurance Payment</t>
        </is>
      </c>
      <c r="V4" s="13" t="inlineStr">
        <is>
          <t>Adjustment</t>
        </is>
      </c>
      <c r="W4" s="13" t="inlineStr">
        <is>
          <t>Insurance Balance</t>
        </is>
      </c>
      <c r="X4" s="13" t="inlineStr">
        <is>
          <t>AR Age by Service Date</t>
        </is>
      </c>
      <c r="Y4" s="13" t="inlineStr">
        <is>
          <t>Rendering Provider</t>
        </is>
      </c>
      <c r="Z4" s="13" t="inlineStr">
        <is>
          <t>Location Name</t>
        </is>
      </c>
      <c r="AA4" s="13" t="inlineStr">
        <is>
          <t>Secondary Claim ID</t>
        </is>
      </c>
      <c r="AB4" s="13" t="inlineStr">
        <is>
          <t>Created Date</t>
        </is>
      </c>
      <c r="AC4" s="13" t="inlineStr">
        <is>
          <t>Insurance Check Date</t>
        </is>
      </c>
      <c r="AD4" s="13" t="inlineStr">
        <is>
          <t>Diagnosis Code 1</t>
        </is>
      </c>
      <c r="AE4" s="13" t="inlineStr">
        <is>
          <t>Diagnosis Code 2</t>
        </is>
      </c>
      <c r="AF4" s="13" t="inlineStr">
        <is>
          <t>Diagnosis Code 3</t>
        </is>
      </c>
      <c r="AG4" s="13" t="inlineStr">
        <is>
          <t>Diagnosis Code 4</t>
        </is>
      </c>
    </row>
    <row r="5">
      <c r="A5" s="22" t="n"/>
      <c r="B5" s="23" t="n"/>
      <c r="C5" s="15" t="n">
        <v>563065806</v>
      </c>
      <c r="D5" s="24" t="inlineStr">
        <is>
          <t>HF550504744</t>
        </is>
      </c>
      <c r="E5" s="25" t="inlineStr">
        <is>
          <t>Devoted Health Plan</t>
        </is>
      </c>
      <c r="F5" s="25" t="inlineStr">
        <is>
          <t>Devoted Health Plan</t>
        </is>
      </c>
      <c r="G5" s="25" t="inlineStr">
        <is>
          <t>No Payer</t>
        </is>
      </c>
      <c r="H5" s="17" t="n">
        <v>46184</v>
      </c>
      <c r="I5" s="24" t="inlineStr">
        <is>
          <t>93923</t>
        </is>
      </c>
      <c r="J5" s="24" t="inlineStr">
        <is>
          <t>US</t>
        </is>
      </c>
      <c r="K5" s="26">
        <f>H5+M5</f>
        <v/>
      </c>
      <c r="L5" s="27">
        <f>K5-TODAY()</f>
        <v/>
      </c>
      <c r="M5" s="15" t="n">
        <v>60</v>
      </c>
      <c r="N5" s="24" t="inlineStr">
        <is>
          <t>DEVOTED</t>
        </is>
      </c>
      <c r="O5" s="25" t="inlineStr">
        <is>
          <t>Shortest limit on the reference list.</t>
        </is>
      </c>
      <c r="P5" s="24" t="n"/>
      <c r="Q5" s="24" t="n"/>
      <c r="R5" s="24" t="n"/>
      <c r="S5" s="15" t="n">
        <v>1</v>
      </c>
      <c r="T5" s="28" t="n">
        <v>879.0599999999999</v>
      </c>
      <c r="U5" s="28" t="n">
        <v>0</v>
      </c>
      <c r="V5" s="28" t="n">
        <v>0</v>
      </c>
      <c r="W5" s="28" t="n">
        <v>879.0599999999999</v>
      </c>
      <c r="X5" s="15" t="n">
        <v>58</v>
      </c>
      <c r="Y5" s="24" t="inlineStr">
        <is>
          <t>TURLEY, TODD</t>
        </is>
      </c>
      <c r="Z5" s="24" t="inlineStr">
        <is>
          <t>ASAP - DEER VALLEY 240</t>
        </is>
      </c>
      <c r="AA5" s="15" t="n"/>
      <c r="AB5" s="17" t="n">
        <v>46195</v>
      </c>
      <c r="AC5" s="17" t="n">
        <v>46202</v>
      </c>
      <c r="AD5" s="24" t="inlineStr">
        <is>
          <t>G5790</t>
        </is>
      </c>
      <c r="AE5" s="24" t="inlineStr">
        <is>
          <t>M5459</t>
        </is>
      </c>
      <c r="AF5" s="24" t="inlineStr">
        <is>
          <t>M546</t>
        </is>
      </c>
      <c r="AG5" s="24" t="inlineStr">
        <is>
          <t>N39498</t>
        </is>
      </c>
    </row>
    <row r="6">
      <c r="A6" s="22" t="n"/>
      <c r="B6" s="23" t="n"/>
      <c r="C6" s="19" t="n">
        <v>563065806</v>
      </c>
      <c r="D6" s="29" t="inlineStr">
        <is>
          <t>HF550504744</t>
        </is>
      </c>
      <c r="E6" s="30" t="inlineStr">
        <is>
          <t>Devoted Health Plan</t>
        </is>
      </c>
      <c r="F6" s="30" t="inlineStr">
        <is>
          <t>Devoted Health Plan</t>
        </is>
      </c>
      <c r="G6" s="30" t="inlineStr">
        <is>
          <t>No Payer</t>
        </is>
      </c>
      <c r="H6" s="21" t="n">
        <v>46184</v>
      </c>
      <c r="I6" s="29" t="inlineStr">
        <is>
          <t>93925</t>
        </is>
      </c>
      <c r="J6" s="29" t="inlineStr">
        <is>
          <t>US</t>
        </is>
      </c>
      <c r="K6" s="31">
        <f>H6+M6</f>
        <v/>
      </c>
      <c r="L6" s="32">
        <f>K6-TODAY()</f>
        <v/>
      </c>
      <c r="M6" s="19" t="n">
        <v>60</v>
      </c>
      <c r="N6" s="29" t="inlineStr">
        <is>
          <t>DEVOTED</t>
        </is>
      </c>
      <c r="O6" s="30" t="inlineStr">
        <is>
          <t>Shortest limit on the reference list.</t>
        </is>
      </c>
      <c r="P6" s="29" t="n"/>
      <c r="Q6" s="29" t="n"/>
      <c r="R6" s="29" t="n"/>
      <c r="S6" s="19" t="n">
        <v>1</v>
      </c>
      <c r="T6" s="33" t="n">
        <v>1649.2</v>
      </c>
      <c r="U6" s="33" t="n">
        <v>0</v>
      </c>
      <c r="V6" s="33" t="n">
        <v>0</v>
      </c>
      <c r="W6" s="33" t="n">
        <v>1649.2</v>
      </c>
      <c r="X6" s="19" t="n">
        <v>58</v>
      </c>
      <c r="Y6" s="29" t="inlineStr">
        <is>
          <t>TURLEY, TODD</t>
        </is>
      </c>
      <c r="Z6" s="29" t="inlineStr">
        <is>
          <t>ASAP - DEER VALLEY 240</t>
        </is>
      </c>
      <c r="AA6" s="19" t="n"/>
      <c r="AB6" s="21" t="n">
        <v>46195</v>
      </c>
      <c r="AC6" s="21" t="n">
        <v>46202</v>
      </c>
      <c r="AD6" s="29" t="inlineStr">
        <is>
          <t>G5790</t>
        </is>
      </c>
      <c r="AE6" s="29" t="inlineStr">
        <is>
          <t>M5459</t>
        </is>
      </c>
      <c r="AF6" s="29" t="inlineStr">
        <is>
          <t>M546</t>
        </is>
      </c>
      <c r="AG6" s="29" t="inlineStr">
        <is>
          <t>N39498</t>
        </is>
      </c>
    </row>
    <row r="7">
      <c r="A7" s="22" t="n"/>
      <c r="B7" s="23" t="n"/>
      <c r="C7" s="15" t="n">
        <v>563065806</v>
      </c>
      <c r="D7" s="24" t="inlineStr">
        <is>
          <t>HF550504744</t>
        </is>
      </c>
      <c r="E7" s="25" t="inlineStr">
        <is>
          <t>Devoted Health Plan</t>
        </is>
      </c>
      <c r="F7" s="25" t="inlineStr">
        <is>
          <t>Devoted Health Plan</t>
        </is>
      </c>
      <c r="G7" s="25" t="inlineStr">
        <is>
          <t>No Payer</t>
        </is>
      </c>
      <c r="H7" s="17" t="n">
        <v>46184</v>
      </c>
      <c r="I7" s="24" t="inlineStr">
        <is>
          <t>93970</t>
        </is>
      </c>
      <c r="J7" s="24" t="inlineStr">
        <is>
          <t>US</t>
        </is>
      </c>
      <c r="K7" s="26">
        <f>H7+M7</f>
        <v/>
      </c>
      <c r="L7" s="27">
        <f>K7-TODAY()</f>
        <v/>
      </c>
      <c r="M7" s="15" t="n">
        <v>60</v>
      </c>
      <c r="N7" s="24" t="inlineStr">
        <is>
          <t>DEVOTED</t>
        </is>
      </c>
      <c r="O7" s="25" t="inlineStr">
        <is>
          <t>Shortest limit on the reference list.</t>
        </is>
      </c>
      <c r="P7" s="24" t="n"/>
      <c r="Q7" s="24" t="n"/>
      <c r="R7" s="24" t="n"/>
      <c r="S7" s="15" t="n">
        <v>1</v>
      </c>
      <c r="T7" s="28" t="n">
        <v>1294.23</v>
      </c>
      <c r="U7" s="28" t="n">
        <v>0</v>
      </c>
      <c r="V7" s="28" t="n">
        <v>0</v>
      </c>
      <c r="W7" s="28" t="n">
        <v>1294.23</v>
      </c>
      <c r="X7" s="15" t="n">
        <v>58</v>
      </c>
      <c r="Y7" s="24" t="inlineStr">
        <is>
          <t>TURLEY, TODD</t>
        </is>
      </c>
      <c r="Z7" s="24" t="inlineStr">
        <is>
          <t>ASAP - DEER VALLEY 240</t>
        </is>
      </c>
      <c r="AA7" s="15" t="n"/>
      <c r="AB7" s="17" t="n">
        <v>46195</v>
      </c>
      <c r="AC7" s="17" t="n">
        <v>46202</v>
      </c>
      <c r="AD7" s="24" t="inlineStr">
        <is>
          <t>G5790</t>
        </is>
      </c>
      <c r="AE7" s="24" t="inlineStr">
        <is>
          <t>M5459</t>
        </is>
      </c>
      <c r="AF7" s="24" t="inlineStr">
        <is>
          <t>M546</t>
        </is>
      </c>
      <c r="AG7" s="24" t="inlineStr">
        <is>
          <t>N39498</t>
        </is>
      </c>
    </row>
    <row r="8">
      <c r="A8" s="22" t="n"/>
      <c r="B8" s="23" t="n"/>
      <c r="C8" s="19" t="n">
        <v>567453889</v>
      </c>
      <c r="D8" s="29" t="inlineStr">
        <is>
          <t>HF533821631</t>
        </is>
      </c>
      <c r="E8" s="30" t="inlineStr">
        <is>
          <t>HealthSpring Medicare Advantage</t>
        </is>
      </c>
      <c r="F8" s="30" t="inlineStr">
        <is>
          <t>HealthSpring Medicare Advantage</t>
        </is>
      </c>
      <c r="G8" s="30" t="inlineStr">
        <is>
          <t>No Payer</t>
        </is>
      </c>
      <c r="H8" s="21" t="n">
        <v>46154</v>
      </c>
      <c r="I8" s="29" t="inlineStr">
        <is>
          <t>93923</t>
        </is>
      </c>
      <c r="J8" s="29" t="inlineStr">
        <is>
          <t>US</t>
        </is>
      </c>
      <c r="K8" s="31">
        <f>H8+M8</f>
        <v/>
      </c>
      <c r="L8" s="32">
        <f>K8-TODAY()</f>
        <v/>
      </c>
      <c r="M8" s="19" t="n">
        <v>90</v>
      </c>
      <c r="N8" s="29" t="inlineStr">
        <is>
          <t>CIGNA / CIGNA MEDICARE</t>
        </is>
      </c>
      <c r="O8" s="30" t="inlineStr"/>
      <c r="P8" s="29" t="n"/>
      <c r="Q8" s="29" t="n"/>
      <c r="R8" s="29" t="n"/>
      <c r="S8" s="19" t="n">
        <v>1</v>
      </c>
      <c r="T8" s="33" t="n">
        <v>879.0599999999999</v>
      </c>
      <c r="U8" s="33" t="n">
        <v>0</v>
      </c>
      <c r="V8" s="33" t="n">
        <v>0</v>
      </c>
      <c r="W8" s="33" t="n">
        <v>879.0599999999999</v>
      </c>
      <c r="X8" s="19" t="n">
        <v>88</v>
      </c>
      <c r="Y8" s="29" t="inlineStr">
        <is>
          <t>LEATHEM, JARRETT</t>
        </is>
      </c>
      <c r="Z8" s="29" t="inlineStr">
        <is>
          <t>ASAP - Gilbert</t>
        </is>
      </c>
      <c r="AA8" s="19" t="n"/>
      <c r="AB8" s="21" t="n">
        <v>46164</v>
      </c>
      <c r="AC8" s="21" t="n">
        <v>46170</v>
      </c>
      <c r="AD8" s="29" t="inlineStr">
        <is>
          <t>I8393</t>
        </is>
      </c>
      <c r="AE8" s="29" t="inlineStr">
        <is>
          <t>I872</t>
        </is>
      </c>
      <c r="AF8" s="29" t="n"/>
      <c r="AG8" s="29" t="n"/>
    </row>
    <row r="9">
      <c r="A9" s="22" t="n"/>
      <c r="B9" s="23" t="n"/>
      <c r="C9" s="15" t="n">
        <v>567453889</v>
      </c>
      <c r="D9" s="24" t="inlineStr">
        <is>
          <t>HF533821631</t>
        </is>
      </c>
      <c r="E9" s="25" t="inlineStr">
        <is>
          <t>HealthSpring Medicare Advantage</t>
        </is>
      </c>
      <c r="F9" s="25" t="inlineStr">
        <is>
          <t>HealthSpring Medicare Advantage</t>
        </is>
      </c>
      <c r="G9" s="25" t="inlineStr">
        <is>
          <t>No Payer</t>
        </is>
      </c>
      <c r="H9" s="17" t="n">
        <v>46154</v>
      </c>
      <c r="I9" s="24" t="inlineStr">
        <is>
          <t>93925</t>
        </is>
      </c>
      <c r="J9" s="24" t="inlineStr">
        <is>
          <t>US</t>
        </is>
      </c>
      <c r="K9" s="26">
        <f>H9+M9</f>
        <v/>
      </c>
      <c r="L9" s="27">
        <f>K9-TODAY()</f>
        <v/>
      </c>
      <c r="M9" s="15" t="n">
        <v>90</v>
      </c>
      <c r="N9" s="24" t="inlineStr">
        <is>
          <t>CIGNA / CIGNA MEDICARE</t>
        </is>
      </c>
      <c r="O9" s="25" t="inlineStr"/>
      <c r="P9" s="24" t="n"/>
      <c r="Q9" s="24" t="n"/>
      <c r="R9" s="24" t="n"/>
      <c r="S9" s="15" t="n">
        <v>1</v>
      </c>
      <c r="T9" s="28" t="n">
        <v>1649.2</v>
      </c>
      <c r="U9" s="28" t="n">
        <v>0</v>
      </c>
      <c r="V9" s="28" t="n">
        <v>0</v>
      </c>
      <c r="W9" s="28" t="n">
        <v>1649.2</v>
      </c>
      <c r="X9" s="15" t="n">
        <v>88</v>
      </c>
      <c r="Y9" s="24" t="inlineStr">
        <is>
          <t>LEATHEM, JARRETT</t>
        </is>
      </c>
      <c r="Z9" s="24" t="inlineStr">
        <is>
          <t>ASAP - Gilbert</t>
        </is>
      </c>
      <c r="AA9" s="15" t="n"/>
      <c r="AB9" s="17" t="n">
        <v>46164</v>
      </c>
      <c r="AC9" s="17" t="n">
        <v>46170</v>
      </c>
      <c r="AD9" s="24" t="inlineStr">
        <is>
          <t>I8393</t>
        </is>
      </c>
      <c r="AE9" s="24" t="inlineStr">
        <is>
          <t>I872</t>
        </is>
      </c>
      <c r="AF9" s="24" t="n"/>
      <c r="AG9" s="24" t="n"/>
    </row>
    <row r="10">
      <c r="A10" s="22" t="n"/>
      <c r="B10" s="23" t="n"/>
      <c r="C10" s="19" t="n">
        <v>560081393</v>
      </c>
      <c r="D10" s="29" t="inlineStr">
        <is>
          <t>HF544192008</t>
        </is>
      </c>
      <c r="E10" s="30" t="inlineStr">
        <is>
          <t>United Healthcare</t>
        </is>
      </c>
      <c r="F10" s="30" t="inlineStr">
        <is>
          <t>United Healthcare</t>
        </is>
      </c>
      <c r="G10" s="30" t="inlineStr">
        <is>
          <t>No Payer</t>
        </is>
      </c>
      <c r="H10" s="21" t="n">
        <v>46155</v>
      </c>
      <c r="I10" s="29" t="inlineStr">
        <is>
          <t>93923</t>
        </is>
      </c>
      <c r="J10" s="29" t="inlineStr">
        <is>
          <t>US</t>
        </is>
      </c>
      <c r="K10" s="31">
        <f>H10+M10</f>
        <v/>
      </c>
      <c r="L10" s="32">
        <f>K10-TODAY()</f>
        <v/>
      </c>
      <c r="M10" s="19" t="n">
        <v>90</v>
      </c>
      <c r="N10" s="29" t="inlineStr">
        <is>
          <t>UHC COMMERCIAL</t>
        </is>
      </c>
      <c r="O10" s="30" t="inlineStr"/>
      <c r="P10" s="29" t="n"/>
      <c r="Q10" s="29" t="n"/>
      <c r="R10" s="29" t="n"/>
      <c r="S10" s="19" t="n">
        <v>1</v>
      </c>
      <c r="T10" s="33" t="n">
        <v>879.0599999999999</v>
      </c>
      <c r="U10" s="33" t="n">
        <v>0</v>
      </c>
      <c r="V10" s="33" t="n">
        <v>0</v>
      </c>
      <c r="W10" s="33" t="n">
        <v>879.0599999999999</v>
      </c>
      <c r="X10" s="19" t="n">
        <v>87</v>
      </c>
      <c r="Y10" s="29" t="inlineStr">
        <is>
          <t>BURGHER, ABRAM</t>
        </is>
      </c>
      <c r="Z10" s="29" t="inlineStr">
        <is>
          <t>ASAP - Surprise - Reems</t>
        </is>
      </c>
      <c r="AA10" s="19" t="n"/>
      <c r="AB10" s="21" t="n">
        <v>46164</v>
      </c>
      <c r="AC10" s="21" t="n">
        <v>46175</v>
      </c>
      <c r="AD10" s="29" t="inlineStr">
        <is>
          <t>I739</t>
        </is>
      </c>
      <c r="AE10" s="29" t="inlineStr">
        <is>
          <t>M79604</t>
        </is>
      </c>
      <c r="AF10" s="29" t="inlineStr">
        <is>
          <t>M79605</t>
        </is>
      </c>
      <c r="AG10" s="29" t="n"/>
    </row>
    <row r="11">
      <c r="A11" s="22" t="n"/>
      <c r="B11" s="23" t="n"/>
      <c r="C11" s="15" t="n">
        <v>560081393</v>
      </c>
      <c r="D11" s="24" t="inlineStr">
        <is>
          <t>HF544192008</t>
        </is>
      </c>
      <c r="E11" s="25" t="inlineStr">
        <is>
          <t>United Healthcare</t>
        </is>
      </c>
      <c r="F11" s="25" t="inlineStr">
        <is>
          <t>United Healthcare</t>
        </is>
      </c>
      <c r="G11" s="25" t="inlineStr">
        <is>
          <t>No Payer</t>
        </is>
      </c>
      <c r="H11" s="17" t="n">
        <v>46155</v>
      </c>
      <c r="I11" s="24" t="inlineStr">
        <is>
          <t>93925</t>
        </is>
      </c>
      <c r="J11" s="24" t="inlineStr">
        <is>
          <t>US</t>
        </is>
      </c>
      <c r="K11" s="26">
        <f>H11+M11</f>
        <v/>
      </c>
      <c r="L11" s="27">
        <f>K11-TODAY()</f>
        <v/>
      </c>
      <c r="M11" s="15" t="n">
        <v>90</v>
      </c>
      <c r="N11" s="24" t="inlineStr">
        <is>
          <t>UHC COMMERCIAL</t>
        </is>
      </c>
      <c r="O11" s="25" t="inlineStr"/>
      <c r="P11" s="24" t="n"/>
      <c r="Q11" s="24" t="n"/>
      <c r="R11" s="24" t="n"/>
      <c r="S11" s="15" t="n">
        <v>1</v>
      </c>
      <c r="T11" s="28" t="n">
        <v>1649.2</v>
      </c>
      <c r="U11" s="28" t="n">
        <v>0</v>
      </c>
      <c r="V11" s="28" t="n">
        <v>0</v>
      </c>
      <c r="W11" s="28" t="n">
        <v>1649.2</v>
      </c>
      <c r="X11" s="15" t="n">
        <v>87</v>
      </c>
      <c r="Y11" s="24" t="inlineStr">
        <is>
          <t>BURGHER, ABRAM</t>
        </is>
      </c>
      <c r="Z11" s="24" t="inlineStr">
        <is>
          <t>ASAP - Surprise - Reems</t>
        </is>
      </c>
      <c r="AA11" s="15" t="n"/>
      <c r="AB11" s="17" t="n">
        <v>46164</v>
      </c>
      <c r="AC11" s="17" t="n">
        <v>46175</v>
      </c>
      <c r="AD11" s="24" t="inlineStr">
        <is>
          <t>I739</t>
        </is>
      </c>
      <c r="AE11" s="24" t="inlineStr">
        <is>
          <t>M79604</t>
        </is>
      </c>
      <c r="AF11" s="24" t="inlineStr">
        <is>
          <t>M79605</t>
        </is>
      </c>
      <c r="AG11" s="24" t="n"/>
    </row>
    <row r="12">
      <c r="A12" s="22" t="n"/>
      <c r="B12" s="23" t="n"/>
      <c r="C12" s="19" t="n">
        <v>560081393</v>
      </c>
      <c r="D12" s="29" t="inlineStr">
        <is>
          <t>HF544192008</t>
        </is>
      </c>
      <c r="E12" s="30" t="inlineStr">
        <is>
          <t>United Healthcare</t>
        </is>
      </c>
      <c r="F12" s="30" t="inlineStr">
        <is>
          <t>United Healthcare</t>
        </is>
      </c>
      <c r="G12" s="30" t="inlineStr">
        <is>
          <t>No Payer</t>
        </is>
      </c>
      <c r="H12" s="21" t="n">
        <v>46155</v>
      </c>
      <c r="I12" s="29" t="inlineStr">
        <is>
          <t>93970</t>
        </is>
      </c>
      <c r="J12" s="29" t="inlineStr">
        <is>
          <t>US</t>
        </is>
      </c>
      <c r="K12" s="31">
        <f>H12+M12</f>
        <v/>
      </c>
      <c r="L12" s="32">
        <f>K12-TODAY()</f>
        <v/>
      </c>
      <c r="M12" s="19" t="n">
        <v>90</v>
      </c>
      <c r="N12" s="29" t="inlineStr">
        <is>
          <t>UHC COMMERCIAL</t>
        </is>
      </c>
      <c r="O12" s="30" t="inlineStr"/>
      <c r="P12" s="29" t="n"/>
      <c r="Q12" s="29" t="n"/>
      <c r="R12" s="29" t="n"/>
      <c r="S12" s="19" t="n">
        <v>1</v>
      </c>
      <c r="T12" s="33" t="n">
        <v>1294.23</v>
      </c>
      <c r="U12" s="33" t="n">
        <v>0</v>
      </c>
      <c r="V12" s="33" t="n">
        <v>0</v>
      </c>
      <c r="W12" s="33" t="n">
        <v>1294.23</v>
      </c>
      <c r="X12" s="19" t="n">
        <v>87</v>
      </c>
      <c r="Y12" s="29" t="inlineStr">
        <is>
          <t>BURGHER, ABRAM</t>
        </is>
      </c>
      <c r="Z12" s="29" t="inlineStr">
        <is>
          <t>ASAP - Surprise - Reems</t>
        </is>
      </c>
      <c r="AA12" s="19" t="n"/>
      <c r="AB12" s="21" t="n">
        <v>46164</v>
      </c>
      <c r="AC12" s="21" t="n">
        <v>46175</v>
      </c>
      <c r="AD12" s="29" t="inlineStr">
        <is>
          <t>I739</t>
        </is>
      </c>
      <c r="AE12" s="29" t="inlineStr">
        <is>
          <t>M79604</t>
        </is>
      </c>
      <c r="AF12" s="29" t="inlineStr">
        <is>
          <t>M79605</t>
        </is>
      </c>
      <c r="AG12" s="29" t="n"/>
    </row>
    <row r="13">
      <c r="A13" s="22" t="n"/>
      <c r="B13" s="23" t="n"/>
      <c r="C13" s="15" t="n">
        <v>558639899</v>
      </c>
      <c r="D13" s="24" t="inlineStr">
        <is>
          <t>HF523293759</t>
        </is>
      </c>
      <c r="E13" s="25" t="inlineStr">
        <is>
          <t>Banner Health &amp; Aetna Health Insurance Company</t>
        </is>
      </c>
      <c r="F13" s="25" t="inlineStr">
        <is>
          <t>Banner Health &amp; Aetna Health Insurance Company</t>
        </is>
      </c>
      <c r="G13" s="25" t="inlineStr">
        <is>
          <t>No Payer</t>
        </is>
      </c>
      <c r="H13" s="17" t="n">
        <v>46126</v>
      </c>
      <c r="I13" s="24" t="inlineStr">
        <is>
          <t>93923</t>
        </is>
      </c>
      <c r="J13" s="24" t="inlineStr">
        <is>
          <t>US</t>
        </is>
      </c>
      <c r="K13" s="26">
        <f>H13+M13</f>
        <v/>
      </c>
      <c r="L13" s="27">
        <f>K13-TODAY()</f>
        <v/>
      </c>
      <c r="M13" s="15" t="n">
        <v>120</v>
      </c>
      <c r="N13" s="24" t="inlineStr">
        <is>
          <t>BANNER HEALTH &amp; AETNA</t>
        </is>
      </c>
      <c r="O13" s="25" t="inlineStr"/>
      <c r="P13" s="24" t="n"/>
      <c r="Q13" s="24" t="n"/>
      <c r="R13" s="24" t="n"/>
      <c r="S13" s="15" t="n">
        <v>1</v>
      </c>
      <c r="T13" s="28" t="n">
        <v>879.0599999999999</v>
      </c>
      <c r="U13" s="28" t="n">
        <v>0</v>
      </c>
      <c r="V13" s="28" t="n">
        <v>0</v>
      </c>
      <c r="W13" s="28" t="n">
        <v>879.0599999999999</v>
      </c>
      <c r="X13" s="15" t="n">
        <v>116</v>
      </c>
      <c r="Y13" s="24" t="inlineStr">
        <is>
          <t>LEATHEM, JARRETT</t>
        </is>
      </c>
      <c r="Z13" s="24" t="inlineStr">
        <is>
          <t>ASAP - Gilbert</t>
        </is>
      </c>
      <c r="AA13" s="15" t="n"/>
      <c r="AB13" s="17" t="n">
        <v>46141</v>
      </c>
      <c r="AC13" s="24" t="n"/>
      <c r="AD13" s="24" t="inlineStr">
        <is>
          <t>M1712</t>
        </is>
      </c>
      <c r="AE13" s="24" t="inlineStr">
        <is>
          <t>M25562</t>
        </is>
      </c>
      <c r="AF13" s="24" t="inlineStr">
        <is>
          <t>I872</t>
        </is>
      </c>
      <c r="AG13" s="24" t="n"/>
    </row>
    <row r="14">
      <c r="A14" s="22" t="n"/>
      <c r="B14" s="23" t="n"/>
      <c r="C14" s="19" t="n">
        <v>560709048</v>
      </c>
      <c r="D14" s="29" t="inlineStr">
        <is>
          <t>HF330335441</t>
        </is>
      </c>
      <c r="E14" s="30" t="inlineStr">
        <is>
          <t>HealthSpring Medicare Advantage</t>
        </is>
      </c>
      <c r="F14" s="30" t="inlineStr">
        <is>
          <t>HealthSpring Medicare Advantage</t>
        </is>
      </c>
      <c r="G14" s="30" t="inlineStr">
        <is>
          <t>No Payer</t>
        </is>
      </c>
      <c r="H14" s="21" t="n">
        <v>46163</v>
      </c>
      <c r="I14" s="29" t="inlineStr">
        <is>
          <t>93923</t>
        </is>
      </c>
      <c r="J14" s="29" t="inlineStr">
        <is>
          <t>US</t>
        </is>
      </c>
      <c r="K14" s="31">
        <f>H14+M14</f>
        <v/>
      </c>
      <c r="L14" s="32">
        <f>K14-TODAY()</f>
        <v/>
      </c>
      <c r="M14" s="19" t="n">
        <v>90</v>
      </c>
      <c r="N14" s="29" t="inlineStr">
        <is>
          <t>CIGNA / CIGNA MEDICARE</t>
        </is>
      </c>
      <c r="O14" s="30" t="inlineStr"/>
      <c r="P14" s="29" t="n"/>
      <c r="Q14" s="29" t="n"/>
      <c r="R14" s="29" t="n"/>
      <c r="S14" s="19" t="n">
        <v>1</v>
      </c>
      <c r="T14" s="33" t="n">
        <v>879.0599999999999</v>
      </c>
      <c r="U14" s="33" t="n">
        <v>0</v>
      </c>
      <c r="V14" s="33" t="n">
        <v>0</v>
      </c>
      <c r="W14" s="33" t="n">
        <v>879.0599999999999</v>
      </c>
      <c r="X14" s="19" t="n">
        <v>79</v>
      </c>
      <c r="Y14" s="29" t="inlineStr">
        <is>
          <t>TURLEY, TODD</t>
        </is>
      </c>
      <c r="Z14" s="29" t="inlineStr">
        <is>
          <t>ASAP - DEER VALLEY 240</t>
        </is>
      </c>
      <c r="AA14" s="19" t="n"/>
      <c r="AB14" s="21" t="n">
        <v>46171</v>
      </c>
      <c r="AC14" s="21" t="n">
        <v>46182</v>
      </c>
      <c r="AD14" s="29" t="inlineStr">
        <is>
          <t>R2243</t>
        </is>
      </c>
      <c r="AE14" s="29" t="n"/>
      <c r="AF14" s="29" t="n"/>
      <c r="AG14" s="29" t="n"/>
    </row>
    <row r="15">
      <c r="A15" s="22" t="n"/>
      <c r="B15" s="23" t="n"/>
      <c r="C15" s="15" t="n">
        <v>560709048</v>
      </c>
      <c r="D15" s="24" t="inlineStr">
        <is>
          <t>HF330335441</t>
        </is>
      </c>
      <c r="E15" s="25" t="inlineStr">
        <is>
          <t>HealthSpring Medicare Advantage</t>
        </is>
      </c>
      <c r="F15" s="25" t="inlineStr">
        <is>
          <t>HealthSpring Medicare Advantage</t>
        </is>
      </c>
      <c r="G15" s="25" t="inlineStr">
        <is>
          <t>No Payer</t>
        </is>
      </c>
      <c r="H15" s="17" t="n">
        <v>46163</v>
      </c>
      <c r="I15" s="24" t="inlineStr">
        <is>
          <t>93925</t>
        </is>
      </c>
      <c r="J15" s="24" t="inlineStr">
        <is>
          <t>US</t>
        </is>
      </c>
      <c r="K15" s="26">
        <f>H15+M15</f>
        <v/>
      </c>
      <c r="L15" s="27">
        <f>K15-TODAY()</f>
        <v/>
      </c>
      <c r="M15" s="15" t="n">
        <v>90</v>
      </c>
      <c r="N15" s="24" t="inlineStr">
        <is>
          <t>CIGNA / CIGNA MEDICARE</t>
        </is>
      </c>
      <c r="O15" s="25" t="inlineStr"/>
      <c r="P15" s="24" t="n"/>
      <c r="Q15" s="24" t="n"/>
      <c r="R15" s="24" t="n"/>
      <c r="S15" s="15" t="n">
        <v>1</v>
      </c>
      <c r="T15" s="28" t="n">
        <v>1649.2</v>
      </c>
      <c r="U15" s="28" t="n">
        <v>0</v>
      </c>
      <c r="V15" s="28" t="n">
        <v>0</v>
      </c>
      <c r="W15" s="28" t="n">
        <v>1649.2</v>
      </c>
      <c r="X15" s="15" t="n">
        <v>79</v>
      </c>
      <c r="Y15" s="24" t="inlineStr">
        <is>
          <t>TURLEY, TODD</t>
        </is>
      </c>
      <c r="Z15" s="24" t="inlineStr">
        <is>
          <t>ASAP - DEER VALLEY 240</t>
        </is>
      </c>
      <c r="AA15" s="15" t="n"/>
      <c r="AB15" s="17" t="n">
        <v>46171</v>
      </c>
      <c r="AC15" s="17" t="n">
        <v>46182</v>
      </c>
      <c r="AD15" s="24" t="inlineStr">
        <is>
          <t>R2243</t>
        </is>
      </c>
      <c r="AE15" s="24" t="n"/>
      <c r="AF15" s="24" t="n"/>
      <c r="AG15" s="24" t="n"/>
    </row>
    <row r="16">
      <c r="A16" s="22" t="n"/>
      <c r="B16" s="23" t="n"/>
      <c r="C16" s="19" t="n">
        <v>560710074</v>
      </c>
      <c r="D16" s="29" t="inlineStr">
        <is>
          <t>HF556870121</t>
        </is>
      </c>
      <c r="E16" s="30" t="inlineStr">
        <is>
          <t>United Healthcare</t>
        </is>
      </c>
      <c r="F16" s="30" t="inlineStr">
        <is>
          <t>United Healthcare</t>
        </is>
      </c>
      <c r="G16" s="30" t="inlineStr">
        <is>
          <t>No Payer</t>
        </is>
      </c>
      <c r="H16" s="21" t="n">
        <v>46163</v>
      </c>
      <c r="I16" s="29" t="inlineStr">
        <is>
          <t>93923</t>
        </is>
      </c>
      <c r="J16" s="29" t="inlineStr">
        <is>
          <t>US</t>
        </is>
      </c>
      <c r="K16" s="31">
        <f>H16+M16</f>
        <v/>
      </c>
      <c r="L16" s="32">
        <f>K16-TODAY()</f>
        <v/>
      </c>
      <c r="M16" s="19" t="n">
        <v>90</v>
      </c>
      <c r="N16" s="29" t="inlineStr">
        <is>
          <t>UHC COMMERCIAL</t>
        </is>
      </c>
      <c r="O16" s="30" t="inlineStr"/>
      <c r="P16" s="29" t="n"/>
      <c r="Q16" s="29" t="n"/>
      <c r="R16" s="29" t="n"/>
      <c r="S16" s="19" t="n">
        <v>1</v>
      </c>
      <c r="T16" s="33" t="n">
        <v>879.0599999999999</v>
      </c>
      <c r="U16" s="33" t="n">
        <v>0</v>
      </c>
      <c r="V16" s="33" t="n">
        <v>0</v>
      </c>
      <c r="W16" s="33" t="n">
        <v>879.0599999999999</v>
      </c>
      <c r="X16" s="19" t="n">
        <v>79</v>
      </c>
      <c r="Y16" s="29" t="inlineStr">
        <is>
          <t>TURLEY, TODD</t>
        </is>
      </c>
      <c r="Z16" s="29" t="inlineStr">
        <is>
          <t>ASAP - DEER VALLEY 240</t>
        </is>
      </c>
      <c r="AA16" s="19" t="n"/>
      <c r="AB16" s="21" t="n">
        <v>46171</v>
      </c>
      <c r="AC16" s="29" t="n"/>
      <c r="AD16" s="29" t="inlineStr">
        <is>
          <t>R2242</t>
        </is>
      </c>
      <c r="AE16" s="29" t="n"/>
      <c r="AF16" s="29" t="n"/>
      <c r="AG16" s="29" t="n"/>
    </row>
    <row r="17">
      <c r="A17" s="22" t="n"/>
      <c r="B17" s="23" t="n"/>
      <c r="C17" s="15" t="n">
        <v>560710074</v>
      </c>
      <c r="D17" s="24" t="inlineStr">
        <is>
          <t>HF556870121</t>
        </is>
      </c>
      <c r="E17" s="25" t="inlineStr">
        <is>
          <t>United Healthcare</t>
        </is>
      </c>
      <c r="F17" s="25" t="inlineStr">
        <is>
          <t>United Healthcare</t>
        </is>
      </c>
      <c r="G17" s="25" t="inlineStr">
        <is>
          <t>No Payer</t>
        </is>
      </c>
      <c r="H17" s="17" t="n">
        <v>46163</v>
      </c>
      <c r="I17" s="24" t="inlineStr">
        <is>
          <t>93925</t>
        </is>
      </c>
      <c r="J17" s="24" t="inlineStr">
        <is>
          <t>US</t>
        </is>
      </c>
      <c r="K17" s="26">
        <f>H17+M17</f>
        <v/>
      </c>
      <c r="L17" s="27">
        <f>K17-TODAY()</f>
        <v/>
      </c>
      <c r="M17" s="15" t="n">
        <v>90</v>
      </c>
      <c r="N17" s="24" t="inlineStr">
        <is>
          <t>UHC COMMERCIAL</t>
        </is>
      </c>
      <c r="O17" s="25" t="inlineStr"/>
      <c r="P17" s="24" t="n"/>
      <c r="Q17" s="24" t="n"/>
      <c r="R17" s="24" t="n"/>
      <c r="S17" s="15" t="n">
        <v>1</v>
      </c>
      <c r="T17" s="28" t="n">
        <v>1649.2</v>
      </c>
      <c r="U17" s="28" t="n">
        <v>0</v>
      </c>
      <c r="V17" s="28" t="n">
        <v>0</v>
      </c>
      <c r="W17" s="28" t="n">
        <v>1649.2</v>
      </c>
      <c r="X17" s="15" t="n">
        <v>79</v>
      </c>
      <c r="Y17" s="24" t="inlineStr">
        <is>
          <t>TURLEY, TODD</t>
        </is>
      </c>
      <c r="Z17" s="24" t="inlineStr">
        <is>
          <t>ASAP - DEER VALLEY 240</t>
        </is>
      </c>
      <c r="AA17" s="15" t="n"/>
      <c r="AB17" s="17" t="n">
        <v>46171</v>
      </c>
      <c r="AC17" s="24" t="n"/>
      <c r="AD17" s="24" t="inlineStr">
        <is>
          <t>R2242</t>
        </is>
      </c>
      <c r="AE17" s="24" t="n"/>
      <c r="AF17" s="24" t="n"/>
      <c r="AG17" s="24" t="n"/>
    </row>
    <row r="18">
      <c r="A18" s="22" t="n"/>
      <c r="B18" s="23" t="n"/>
      <c r="C18" s="19" t="n">
        <v>560710074</v>
      </c>
      <c r="D18" s="29" t="inlineStr">
        <is>
          <t>HF556870121</t>
        </is>
      </c>
      <c r="E18" s="30" t="inlineStr">
        <is>
          <t>United Healthcare</t>
        </is>
      </c>
      <c r="F18" s="30" t="inlineStr">
        <is>
          <t>United Healthcare</t>
        </is>
      </c>
      <c r="G18" s="30" t="inlineStr">
        <is>
          <t>No Payer</t>
        </is>
      </c>
      <c r="H18" s="21" t="n">
        <v>46163</v>
      </c>
      <c r="I18" s="29" t="inlineStr">
        <is>
          <t>93970</t>
        </is>
      </c>
      <c r="J18" s="29" t="inlineStr">
        <is>
          <t>US</t>
        </is>
      </c>
      <c r="K18" s="31">
        <f>H18+M18</f>
        <v/>
      </c>
      <c r="L18" s="32">
        <f>K18-TODAY()</f>
        <v/>
      </c>
      <c r="M18" s="19" t="n">
        <v>90</v>
      </c>
      <c r="N18" s="29" t="inlineStr">
        <is>
          <t>UHC COMMERCIAL</t>
        </is>
      </c>
      <c r="O18" s="30" t="inlineStr"/>
      <c r="P18" s="29" t="n"/>
      <c r="Q18" s="29" t="n"/>
      <c r="R18" s="29" t="n"/>
      <c r="S18" s="19" t="n">
        <v>1</v>
      </c>
      <c r="T18" s="33" t="n">
        <v>1294.23</v>
      </c>
      <c r="U18" s="33" t="n">
        <v>0</v>
      </c>
      <c r="V18" s="33" t="n">
        <v>0</v>
      </c>
      <c r="W18" s="33" t="n">
        <v>1294.23</v>
      </c>
      <c r="X18" s="19" t="n">
        <v>79</v>
      </c>
      <c r="Y18" s="29" t="inlineStr">
        <is>
          <t>TURLEY, TODD</t>
        </is>
      </c>
      <c r="Z18" s="29" t="inlineStr">
        <is>
          <t>ASAP - DEER VALLEY 240</t>
        </is>
      </c>
      <c r="AA18" s="19" t="n"/>
      <c r="AB18" s="21" t="n">
        <v>46171</v>
      </c>
      <c r="AC18" s="29" t="n"/>
      <c r="AD18" s="29" t="inlineStr">
        <is>
          <t>R2242</t>
        </is>
      </c>
      <c r="AE18" s="29" t="n"/>
      <c r="AF18" s="29" t="n"/>
      <c r="AG18" s="29" t="n"/>
    </row>
    <row r="19">
      <c r="A19" s="22" t="n"/>
      <c r="B19" s="23" t="n"/>
      <c r="C19" s="15" t="n">
        <v>566566596</v>
      </c>
      <c r="D19" s="24" t="inlineStr">
        <is>
          <t>HF452713382</t>
        </is>
      </c>
      <c r="E19" s="25" t="inlineStr">
        <is>
          <t>UnitedHealthcare Community Plan / Arizona Long Term Care</t>
        </is>
      </c>
      <c r="F19" s="25" t="inlineStr">
        <is>
          <t>UnitedHealthcare Community Plan / Arizona Long Term Care</t>
        </is>
      </c>
      <c r="G19" s="25" t="inlineStr">
        <is>
          <t>No Payer</t>
        </is>
      </c>
      <c r="H19" s="17" t="n">
        <v>46163</v>
      </c>
      <c r="I19" s="24" t="inlineStr">
        <is>
          <t>93923</t>
        </is>
      </c>
      <c r="J19" s="24" t="inlineStr">
        <is>
          <t>US</t>
        </is>
      </c>
      <c r="K19" s="26">
        <f>H19+M19</f>
        <v/>
      </c>
      <c r="L19" s="27">
        <f>K19-TODAY()</f>
        <v/>
      </c>
      <c r="M19" s="15" t="n">
        <v>90</v>
      </c>
      <c r="N19" s="24" t="inlineStr">
        <is>
          <t>UHC COMMUNITY</t>
        </is>
      </c>
      <c r="O19" s="25" t="inlineStr"/>
      <c r="P19" s="24" t="n"/>
      <c r="Q19" s="24" t="n"/>
      <c r="R19" s="24" t="n"/>
      <c r="S19" s="15" t="n">
        <v>1</v>
      </c>
      <c r="T19" s="28" t="n">
        <v>879.0599999999999</v>
      </c>
      <c r="U19" s="28" t="n">
        <v>0</v>
      </c>
      <c r="V19" s="28" t="n">
        <v>0</v>
      </c>
      <c r="W19" s="28" t="n">
        <v>879.0599999999999</v>
      </c>
      <c r="X19" s="15" t="n">
        <v>79</v>
      </c>
      <c r="Y19" s="24" t="inlineStr">
        <is>
          <t>TURLEY, TODD</t>
        </is>
      </c>
      <c r="Z19" s="24" t="inlineStr">
        <is>
          <t>ASAP - DEER VALLEY 240</t>
        </is>
      </c>
      <c r="AA19" s="15" t="n"/>
      <c r="AB19" s="17" t="n">
        <v>46171</v>
      </c>
      <c r="AC19" s="17" t="n">
        <v>46182</v>
      </c>
      <c r="AD19" s="24" t="inlineStr">
        <is>
          <t>I872</t>
        </is>
      </c>
      <c r="AE19" s="24" t="inlineStr">
        <is>
          <t>I739</t>
        </is>
      </c>
      <c r="AF19" s="24" t="n"/>
      <c r="AG19" s="24" t="n"/>
    </row>
    <row r="20">
      <c r="A20" s="22" t="n"/>
      <c r="B20" s="23" t="n"/>
      <c r="C20" s="19" t="n">
        <v>566566596</v>
      </c>
      <c r="D20" s="29" t="inlineStr">
        <is>
          <t>HF452713382</t>
        </is>
      </c>
      <c r="E20" s="30" t="inlineStr">
        <is>
          <t>UnitedHealthcare Community Plan / Arizona Long Term Care</t>
        </is>
      </c>
      <c r="F20" s="30" t="inlineStr">
        <is>
          <t>UnitedHealthcare Community Plan / Arizona Long Term Care</t>
        </is>
      </c>
      <c r="G20" s="30" t="inlineStr">
        <is>
          <t>No Payer</t>
        </is>
      </c>
      <c r="H20" s="21" t="n">
        <v>46163</v>
      </c>
      <c r="I20" s="29" t="inlineStr">
        <is>
          <t>93925</t>
        </is>
      </c>
      <c r="J20" s="29" t="inlineStr">
        <is>
          <t>US</t>
        </is>
      </c>
      <c r="K20" s="31">
        <f>H20+M20</f>
        <v/>
      </c>
      <c r="L20" s="32">
        <f>K20-TODAY()</f>
        <v/>
      </c>
      <c r="M20" s="19" t="n">
        <v>90</v>
      </c>
      <c r="N20" s="29" t="inlineStr">
        <is>
          <t>UHC COMMUNITY</t>
        </is>
      </c>
      <c r="O20" s="30" t="inlineStr"/>
      <c r="P20" s="29" t="n"/>
      <c r="Q20" s="29" t="n"/>
      <c r="R20" s="29" t="n"/>
      <c r="S20" s="19" t="n">
        <v>1</v>
      </c>
      <c r="T20" s="33" t="n">
        <v>1649.2</v>
      </c>
      <c r="U20" s="33" t="n">
        <v>0</v>
      </c>
      <c r="V20" s="33" t="n">
        <v>0</v>
      </c>
      <c r="W20" s="33" t="n">
        <v>1649.2</v>
      </c>
      <c r="X20" s="19" t="n">
        <v>79</v>
      </c>
      <c r="Y20" s="29" t="inlineStr">
        <is>
          <t>TURLEY, TODD</t>
        </is>
      </c>
      <c r="Z20" s="29" t="inlineStr">
        <is>
          <t>ASAP - DEER VALLEY 240</t>
        </is>
      </c>
      <c r="AA20" s="19" t="n"/>
      <c r="AB20" s="21" t="n">
        <v>46171</v>
      </c>
      <c r="AC20" s="21" t="n">
        <v>46182</v>
      </c>
      <c r="AD20" s="29" t="inlineStr">
        <is>
          <t>I872</t>
        </is>
      </c>
      <c r="AE20" s="29" t="inlineStr">
        <is>
          <t>I739</t>
        </is>
      </c>
      <c r="AF20" s="29" t="n"/>
      <c r="AG20" s="29" t="n"/>
    </row>
    <row r="21">
      <c r="A21" s="22" t="n"/>
      <c r="B21" s="23" t="n"/>
      <c r="C21" s="15" t="n">
        <v>566566596</v>
      </c>
      <c r="D21" s="24" t="inlineStr">
        <is>
          <t>HF452713382</t>
        </is>
      </c>
      <c r="E21" s="25" t="inlineStr">
        <is>
          <t>UnitedHealthcare Community Plan / Arizona Long Term Care</t>
        </is>
      </c>
      <c r="F21" s="25" t="inlineStr">
        <is>
          <t>UnitedHealthcare Community Plan / Arizona Long Term Care</t>
        </is>
      </c>
      <c r="G21" s="25" t="inlineStr">
        <is>
          <t>No Payer</t>
        </is>
      </c>
      <c r="H21" s="17" t="n">
        <v>46163</v>
      </c>
      <c r="I21" s="24" t="inlineStr">
        <is>
          <t>93970</t>
        </is>
      </c>
      <c r="J21" s="24" t="inlineStr">
        <is>
          <t>US</t>
        </is>
      </c>
      <c r="K21" s="26">
        <f>H21+M21</f>
        <v/>
      </c>
      <c r="L21" s="27">
        <f>K21-TODAY()</f>
        <v/>
      </c>
      <c r="M21" s="15" t="n">
        <v>90</v>
      </c>
      <c r="N21" s="24" t="inlineStr">
        <is>
          <t>UHC COMMUNITY</t>
        </is>
      </c>
      <c r="O21" s="25" t="inlineStr"/>
      <c r="P21" s="24" t="n"/>
      <c r="Q21" s="24" t="n"/>
      <c r="R21" s="24" t="n"/>
      <c r="S21" s="15" t="n">
        <v>1</v>
      </c>
      <c r="T21" s="28" t="n">
        <v>1294.23</v>
      </c>
      <c r="U21" s="28" t="n">
        <v>0</v>
      </c>
      <c r="V21" s="28" t="n">
        <v>0</v>
      </c>
      <c r="W21" s="28" t="n">
        <v>1294.23</v>
      </c>
      <c r="X21" s="15" t="n">
        <v>79</v>
      </c>
      <c r="Y21" s="24" t="inlineStr">
        <is>
          <t>TURLEY, TODD</t>
        </is>
      </c>
      <c r="Z21" s="24" t="inlineStr">
        <is>
          <t>ASAP - DEER VALLEY 240</t>
        </is>
      </c>
      <c r="AA21" s="15" t="n"/>
      <c r="AB21" s="17" t="n">
        <v>46171</v>
      </c>
      <c r="AC21" s="17" t="n">
        <v>46182</v>
      </c>
      <c r="AD21" s="24" t="inlineStr">
        <is>
          <t>I872</t>
        </is>
      </c>
      <c r="AE21" s="24" t="inlineStr">
        <is>
          <t>I739</t>
        </is>
      </c>
      <c r="AF21" s="24" t="n"/>
      <c r="AG21" s="24" t="n"/>
    </row>
  </sheetData>
  <autoFilter ref="A4:AG21"/>
  <conditionalFormatting sqref="L5:L21">
    <cfRule type="cellIs" priority="1" operator="lessThanOrEqual" dxfId="0">
      <formula>3</formula>
    </cfRule>
    <cfRule type="cellIs" priority="2" operator="lessThanOrEqual" dxfId="1">
      <formula>7</formula>
    </cfRule>
    <cfRule type="cellIs" priority="3" operator="greaterThan" dxfId="2">
      <formula>7</formula>
    </cfRule>
  </conditionalFormatting>
  <dataValidations count="1">
    <dataValidation sqref="A5:A21" showDropDown="0" showInputMessage="0" showErrorMessage="0" allowBlank="1" type="list">
      <formula1>"Denied,Finalized,Received,In Progress,Refiled,Appealed,Written Off"</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5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5" customWidth="1" min="3" max="3"/>
    <col width="14" customWidth="1" min="4" max="4"/>
    <col width="40" customWidth="1" min="5" max="5"/>
    <col width="36" customWidth="1" min="6" max="6"/>
    <col width="36" customWidth="1" min="7" max="7"/>
    <col width="13" customWidth="1" min="8" max="8"/>
    <col width="12" customWidth="1" min="9" max="9"/>
    <col width="10" customWidth="1" min="10" max="10"/>
    <col width="13" customWidth="1" min="11" max="11"/>
    <col width="12" customWidth="1" min="12" max="12"/>
    <col width="12" customWidth="1" min="13" max="13"/>
    <col width="30" customWidth="1" min="14" max="14"/>
    <col width="52" customWidth="1" min="15" max="15"/>
    <col width="10" customWidth="1" min="16" max="16"/>
    <col width="10" customWidth="1" min="17" max="17"/>
    <col width="10" customWidth="1" min="18" max="18"/>
    <col width="7" customWidth="1" min="19" max="19"/>
    <col width="13" customWidth="1" min="20" max="20"/>
    <col width="14" customWidth="1" min="21" max="21"/>
    <col width="12" customWidth="1" min="22" max="22"/>
    <col width="14" customWidth="1" min="23" max="23"/>
    <col width="11" customWidth="1" min="24" max="24"/>
    <col width="22" customWidth="1" min="25" max="25"/>
    <col width="24" customWidth="1" min="26" max="26"/>
    <col width="15" customWidth="1" min="27" max="27"/>
    <col width="12" customWidth="1" min="28" max="28"/>
    <col width="13" customWidth="1" min="29" max="29"/>
    <col width="11" customWidth="1" min="30" max="30"/>
    <col width="11" customWidth="1" min="31" max="31"/>
    <col width="11" customWidth="1" min="32" max="32"/>
    <col width="11" customWidth="1" min="33" max="33"/>
    <col width="22" customWidth="1" min="34" max="34"/>
  </cols>
  <sheetData>
    <row r="1">
      <c r="A1" s="1" t="inlineStr">
        <is>
          <t>All specialties - timely filing 10 day watchlist</t>
        </is>
      </c>
    </row>
    <row r="2">
      <c r="A2" s="2" t="inlineStr">
        <is>
          <t>Every claim from the five specialty tabs in one list, as of 10 August 2026. Claim Status and Notes are live links to the specialty tabs - edit them there, not here.</t>
        </is>
      </c>
    </row>
    <row r="4" ht="32" customHeight="1">
      <c r="A4" s="13" t="inlineStr">
        <is>
          <t>Claim Status</t>
        </is>
      </c>
      <c r="B4" s="13" t="inlineStr">
        <is>
          <t>Notes</t>
        </is>
      </c>
      <c r="C4" s="13" t="inlineStr">
        <is>
          <t>Primary Claim ID</t>
        </is>
      </c>
      <c r="D4" s="13" t="inlineStr">
        <is>
          <t>Chart Number</t>
        </is>
      </c>
      <c r="E4" s="13" t="inlineStr">
        <is>
          <t>Responsible Payer</t>
        </is>
      </c>
      <c r="F4" s="13" t="inlineStr">
        <is>
          <t>Primary Payer Name</t>
        </is>
      </c>
      <c r="G4" s="13" t="inlineStr">
        <is>
          <t>Secondary Payer Name</t>
        </is>
      </c>
      <c r="H4" s="13" t="inlineStr">
        <is>
          <t>Date of Service</t>
        </is>
      </c>
      <c r="I4" s="13" t="inlineStr">
        <is>
          <t>Procedure Code</t>
        </is>
      </c>
      <c r="J4" s="13" t="inlineStr">
        <is>
          <t>Specialty</t>
        </is>
      </c>
      <c r="K4" s="13" t="inlineStr">
        <is>
          <t>Filing Deadline</t>
        </is>
      </c>
      <c r="L4" s="13" t="inlineStr">
        <is>
          <t>Days Until Deadline</t>
        </is>
      </c>
      <c r="M4" s="13" t="inlineStr">
        <is>
          <t>Timely Filing Limit (Days)</t>
        </is>
      </c>
      <c r="N4" s="13" t="inlineStr">
        <is>
          <t>Reference Carrier</t>
        </is>
      </c>
      <c r="O4" s="13" t="inlineStr">
        <is>
          <t>Limit Basis / Caveat</t>
        </is>
      </c>
      <c r="P4" s="13" t="inlineStr">
        <is>
          <t>Modifier 1</t>
        </is>
      </c>
      <c r="Q4" s="13" t="inlineStr">
        <is>
          <t>Modifier 2</t>
        </is>
      </c>
      <c r="R4" s="13" t="inlineStr">
        <is>
          <t>Modifier 3</t>
        </is>
      </c>
      <c r="S4" s="13" t="inlineStr">
        <is>
          <t>Units</t>
        </is>
      </c>
      <c r="T4" s="13" t="inlineStr">
        <is>
          <t>Charge Amount</t>
        </is>
      </c>
      <c r="U4" s="13" t="inlineStr">
        <is>
          <t>Insurance Payment</t>
        </is>
      </c>
      <c r="V4" s="13" t="inlineStr">
        <is>
          <t>Adjustment</t>
        </is>
      </c>
      <c r="W4" s="13" t="inlineStr">
        <is>
          <t>Insurance Balance</t>
        </is>
      </c>
      <c r="X4" s="13" t="inlineStr">
        <is>
          <t>AR Age by Service Date</t>
        </is>
      </c>
      <c r="Y4" s="13" t="inlineStr">
        <is>
          <t>Rendering Provider</t>
        </is>
      </c>
      <c r="Z4" s="13" t="inlineStr">
        <is>
          <t>Location Name</t>
        </is>
      </c>
      <c r="AA4" s="13" t="inlineStr">
        <is>
          <t>Secondary Claim ID</t>
        </is>
      </c>
      <c r="AB4" s="13" t="inlineStr">
        <is>
          <t>Created Date</t>
        </is>
      </c>
      <c r="AC4" s="13" t="inlineStr">
        <is>
          <t>Insurance Check Date</t>
        </is>
      </c>
      <c r="AD4" s="13" t="inlineStr">
        <is>
          <t>Diagnosis Code 1</t>
        </is>
      </c>
      <c r="AE4" s="13" t="inlineStr">
        <is>
          <t>Diagnosis Code 2</t>
        </is>
      </c>
      <c r="AF4" s="13" t="inlineStr">
        <is>
          <t>Diagnosis Code 3</t>
        </is>
      </c>
      <c r="AG4" s="13" t="inlineStr">
        <is>
          <t>Diagnosis Code 4</t>
        </is>
      </c>
      <c r="AH4" s="13" t="inlineStr">
        <is>
          <t>Linked Cell (Status / Notes)</t>
        </is>
      </c>
    </row>
    <row r="5">
      <c r="A5" s="22">
        <f>IF('BH'!A5="","",'BH'!A5)</f>
        <v/>
      </c>
      <c r="B5" s="23">
        <f>IF('BH'!B5="","",'BH'!B5)</f>
        <v/>
      </c>
      <c r="C5" s="15" t="n">
        <v>559340053</v>
      </c>
      <c r="D5" s="24" t="inlineStr">
        <is>
          <t>HF458717535</t>
        </is>
      </c>
      <c r="E5" s="25" t="inlineStr">
        <is>
          <t>Blue Cross Blue Shield of Arizona (BCBS AZ)</t>
        </is>
      </c>
      <c r="F5" s="25" t="inlineStr">
        <is>
          <t>Blue Cross Blue Shield of Arizona (BCBS AZ)</t>
        </is>
      </c>
      <c r="G5" s="25" t="inlineStr">
        <is>
          <t>No Payer</t>
        </is>
      </c>
      <c r="H5" s="17" t="n">
        <v>46154</v>
      </c>
      <c r="I5" s="24" t="inlineStr">
        <is>
          <t>99492</t>
        </is>
      </c>
      <c r="J5" s="24" t="inlineStr">
        <is>
          <t>BH</t>
        </is>
      </c>
      <c r="K5" s="26">
        <f>H5+M5</f>
        <v/>
      </c>
      <c r="L5" s="27">
        <f>K5-TODAY()</f>
        <v/>
      </c>
      <c r="M5" s="15" t="n">
        <v>90</v>
      </c>
      <c r="N5" s="24" t="inlineStr">
        <is>
          <t>BCBS</t>
        </is>
      </c>
      <c r="O5" s="25" t="inlineStr">
        <is>
          <t>Limit cut from 365 to 90 days effective 01/01/2026; 90 applies because the date of service is in 2026.</t>
        </is>
      </c>
      <c r="P5" s="24" t="n"/>
      <c r="Q5" s="24" t="n"/>
      <c r="R5" s="24" t="n"/>
      <c r="S5" s="15" t="n">
        <v>1</v>
      </c>
      <c r="T5" s="28" t="n">
        <v>1029.98</v>
      </c>
      <c r="U5" s="28" t="n">
        <v>0</v>
      </c>
      <c r="V5" s="28" t="n">
        <v>0</v>
      </c>
      <c r="W5" s="28" t="n">
        <v>826.36</v>
      </c>
      <c r="X5" s="15" t="n">
        <v>88</v>
      </c>
      <c r="Y5" s="24" t="inlineStr">
        <is>
          <t>SARKAR, AWNIK</t>
        </is>
      </c>
      <c r="Z5" s="24" t="inlineStr">
        <is>
          <t>ASAP Peoria</t>
        </is>
      </c>
      <c r="AA5" s="15" t="n"/>
      <c r="AB5" s="17" t="n">
        <v>46180</v>
      </c>
      <c r="AC5" s="17" t="n">
        <v>46216</v>
      </c>
      <c r="AD5" s="24" t="inlineStr">
        <is>
          <t>F4320</t>
        </is>
      </c>
      <c r="AE5" s="24" t="n"/>
      <c r="AF5" s="24" t="n"/>
      <c r="AG5" s="24" t="n"/>
      <c r="AH5" s="35" t="inlineStr">
        <is>
          <t>BH!A5 / BH!B5</t>
        </is>
      </c>
    </row>
    <row r="6">
      <c r="A6" s="22">
        <f>IF('BH'!A6="","",'BH'!A6)</f>
        <v/>
      </c>
      <c r="B6" s="23">
        <f>IF('BH'!B6="","",'BH'!B6)</f>
        <v/>
      </c>
      <c r="C6" s="19" t="n">
        <v>559340053</v>
      </c>
      <c r="D6" s="29" t="inlineStr">
        <is>
          <t>HF458717535</t>
        </is>
      </c>
      <c r="E6" s="30" t="inlineStr">
        <is>
          <t>Blue Cross Blue Shield of Arizona (BCBS AZ)</t>
        </is>
      </c>
      <c r="F6" s="30" t="inlineStr">
        <is>
          <t>Blue Cross Blue Shield of Arizona (BCBS AZ)</t>
        </is>
      </c>
      <c r="G6" s="30" t="inlineStr">
        <is>
          <t>No Payer</t>
        </is>
      </c>
      <c r="H6" s="21" t="n">
        <v>46154</v>
      </c>
      <c r="I6" s="29" t="inlineStr">
        <is>
          <t>99494</t>
        </is>
      </c>
      <c r="J6" s="29" t="inlineStr">
        <is>
          <t>BH</t>
        </is>
      </c>
      <c r="K6" s="31">
        <f>H6+M6</f>
        <v/>
      </c>
      <c r="L6" s="32">
        <f>K6-TODAY()</f>
        <v/>
      </c>
      <c r="M6" s="19" t="n">
        <v>90</v>
      </c>
      <c r="N6" s="29" t="inlineStr">
        <is>
          <t>BCBS</t>
        </is>
      </c>
      <c r="O6" s="30" t="inlineStr">
        <is>
          <t>Limit cut from 365 to 90 days effective 01/01/2026; 90 applies because the date of service is in 2026.</t>
        </is>
      </c>
      <c r="P6" s="29" t="n"/>
      <c r="Q6" s="29" t="n"/>
      <c r="R6" s="29" t="n"/>
      <c r="S6" s="19" t="n">
        <v>1</v>
      </c>
      <c r="T6" s="33" t="n">
        <v>396.27</v>
      </c>
      <c r="U6" s="33" t="n">
        <v>0</v>
      </c>
      <c r="V6" s="33" t="n">
        <v>0</v>
      </c>
      <c r="W6" s="33" t="n">
        <v>317.94</v>
      </c>
      <c r="X6" s="19" t="n">
        <v>88</v>
      </c>
      <c r="Y6" s="29" t="inlineStr">
        <is>
          <t>SARKAR, AWNIK</t>
        </is>
      </c>
      <c r="Z6" s="29" t="inlineStr">
        <is>
          <t>ASAP Peoria</t>
        </is>
      </c>
      <c r="AA6" s="19" t="n"/>
      <c r="AB6" s="21" t="n">
        <v>46180</v>
      </c>
      <c r="AC6" s="21" t="n">
        <v>46216</v>
      </c>
      <c r="AD6" s="29" t="inlineStr">
        <is>
          <t>F4320</t>
        </is>
      </c>
      <c r="AE6" s="29" t="n"/>
      <c r="AF6" s="29" t="n"/>
      <c r="AG6" s="29" t="n"/>
      <c r="AH6" s="36" t="inlineStr">
        <is>
          <t>BH!A6 / BH!B6</t>
        </is>
      </c>
    </row>
    <row r="7">
      <c r="A7" s="22">
        <f>IF('US'!A5="","",'US'!A5)</f>
        <v/>
      </c>
      <c r="B7" s="23">
        <f>IF('US'!B5="","",'US'!B5)</f>
        <v/>
      </c>
      <c r="C7" s="15" t="n">
        <v>563065806</v>
      </c>
      <c r="D7" s="24" t="inlineStr">
        <is>
          <t>HF550504744</t>
        </is>
      </c>
      <c r="E7" s="25" t="inlineStr">
        <is>
          <t>Devoted Health Plan</t>
        </is>
      </c>
      <c r="F7" s="25" t="inlineStr">
        <is>
          <t>Devoted Health Plan</t>
        </is>
      </c>
      <c r="G7" s="25" t="inlineStr">
        <is>
          <t>No Payer</t>
        </is>
      </c>
      <c r="H7" s="17" t="n">
        <v>46184</v>
      </c>
      <c r="I7" s="24" t="inlineStr">
        <is>
          <t>93923</t>
        </is>
      </c>
      <c r="J7" s="24" t="inlineStr">
        <is>
          <t>US</t>
        </is>
      </c>
      <c r="K7" s="26">
        <f>H7+M7</f>
        <v/>
      </c>
      <c r="L7" s="27">
        <f>K7-TODAY()</f>
        <v/>
      </c>
      <c r="M7" s="15" t="n">
        <v>60</v>
      </c>
      <c r="N7" s="24" t="inlineStr">
        <is>
          <t>DEVOTED</t>
        </is>
      </c>
      <c r="O7" s="25" t="inlineStr">
        <is>
          <t>Shortest limit on the reference list.</t>
        </is>
      </c>
      <c r="P7" s="24" t="n"/>
      <c r="Q7" s="24" t="n"/>
      <c r="R7" s="24" t="n"/>
      <c r="S7" s="15" t="n">
        <v>1</v>
      </c>
      <c r="T7" s="28" t="n">
        <v>879.0599999999999</v>
      </c>
      <c r="U7" s="28" t="n">
        <v>0</v>
      </c>
      <c r="V7" s="28" t="n">
        <v>0</v>
      </c>
      <c r="W7" s="28" t="n">
        <v>879.0599999999999</v>
      </c>
      <c r="X7" s="15" t="n">
        <v>58</v>
      </c>
      <c r="Y7" s="24" t="inlineStr">
        <is>
          <t>TURLEY, TODD</t>
        </is>
      </c>
      <c r="Z7" s="24" t="inlineStr">
        <is>
          <t>ASAP - DEER VALLEY 240</t>
        </is>
      </c>
      <c r="AA7" s="15" t="n"/>
      <c r="AB7" s="17" t="n">
        <v>46195</v>
      </c>
      <c r="AC7" s="17" t="n">
        <v>46202</v>
      </c>
      <c r="AD7" s="24" t="inlineStr">
        <is>
          <t>G5790</t>
        </is>
      </c>
      <c r="AE7" s="24" t="inlineStr">
        <is>
          <t>M5459</t>
        </is>
      </c>
      <c r="AF7" s="24" t="inlineStr">
        <is>
          <t>M546</t>
        </is>
      </c>
      <c r="AG7" s="24" t="inlineStr">
        <is>
          <t>N39498</t>
        </is>
      </c>
      <c r="AH7" s="35" t="inlineStr">
        <is>
          <t>US!A5 / US!B5</t>
        </is>
      </c>
    </row>
    <row r="8">
      <c r="A8" s="22">
        <f>IF('US'!A6="","",'US'!A6)</f>
        <v/>
      </c>
      <c r="B8" s="23">
        <f>IF('US'!B6="","",'US'!B6)</f>
        <v/>
      </c>
      <c r="C8" s="19" t="n">
        <v>563065806</v>
      </c>
      <c r="D8" s="29" t="inlineStr">
        <is>
          <t>HF550504744</t>
        </is>
      </c>
      <c r="E8" s="30" t="inlineStr">
        <is>
          <t>Devoted Health Plan</t>
        </is>
      </c>
      <c r="F8" s="30" t="inlineStr">
        <is>
          <t>Devoted Health Plan</t>
        </is>
      </c>
      <c r="G8" s="30" t="inlineStr">
        <is>
          <t>No Payer</t>
        </is>
      </c>
      <c r="H8" s="21" t="n">
        <v>46184</v>
      </c>
      <c r="I8" s="29" t="inlineStr">
        <is>
          <t>93925</t>
        </is>
      </c>
      <c r="J8" s="29" t="inlineStr">
        <is>
          <t>US</t>
        </is>
      </c>
      <c r="K8" s="31">
        <f>H8+M8</f>
        <v/>
      </c>
      <c r="L8" s="32">
        <f>K8-TODAY()</f>
        <v/>
      </c>
      <c r="M8" s="19" t="n">
        <v>60</v>
      </c>
      <c r="N8" s="29" t="inlineStr">
        <is>
          <t>DEVOTED</t>
        </is>
      </c>
      <c r="O8" s="30" t="inlineStr">
        <is>
          <t>Shortest limit on the reference list.</t>
        </is>
      </c>
      <c r="P8" s="29" t="n"/>
      <c r="Q8" s="29" t="n"/>
      <c r="R8" s="29" t="n"/>
      <c r="S8" s="19" t="n">
        <v>1</v>
      </c>
      <c r="T8" s="33" t="n">
        <v>1649.2</v>
      </c>
      <c r="U8" s="33" t="n">
        <v>0</v>
      </c>
      <c r="V8" s="33" t="n">
        <v>0</v>
      </c>
      <c r="W8" s="33" t="n">
        <v>1649.2</v>
      </c>
      <c r="X8" s="19" t="n">
        <v>58</v>
      </c>
      <c r="Y8" s="29" t="inlineStr">
        <is>
          <t>TURLEY, TODD</t>
        </is>
      </c>
      <c r="Z8" s="29" t="inlineStr">
        <is>
          <t>ASAP - DEER VALLEY 240</t>
        </is>
      </c>
      <c r="AA8" s="19" t="n"/>
      <c r="AB8" s="21" t="n">
        <v>46195</v>
      </c>
      <c r="AC8" s="21" t="n">
        <v>46202</v>
      </c>
      <c r="AD8" s="29" t="inlineStr">
        <is>
          <t>G5790</t>
        </is>
      </c>
      <c r="AE8" s="29" t="inlineStr">
        <is>
          <t>M5459</t>
        </is>
      </c>
      <c r="AF8" s="29" t="inlineStr">
        <is>
          <t>M546</t>
        </is>
      </c>
      <c r="AG8" s="29" t="inlineStr">
        <is>
          <t>N39498</t>
        </is>
      </c>
      <c r="AH8" s="36" t="inlineStr">
        <is>
          <t>US!A6 / US!B6</t>
        </is>
      </c>
    </row>
    <row r="9">
      <c r="A9" s="22">
        <f>IF('US'!A7="","",'US'!A7)</f>
        <v/>
      </c>
      <c r="B9" s="23">
        <f>IF('US'!B7="","",'US'!B7)</f>
        <v/>
      </c>
      <c r="C9" s="15" t="n">
        <v>563065806</v>
      </c>
      <c r="D9" s="24" t="inlineStr">
        <is>
          <t>HF550504744</t>
        </is>
      </c>
      <c r="E9" s="25" t="inlineStr">
        <is>
          <t>Devoted Health Plan</t>
        </is>
      </c>
      <c r="F9" s="25" t="inlineStr">
        <is>
          <t>Devoted Health Plan</t>
        </is>
      </c>
      <c r="G9" s="25" t="inlineStr">
        <is>
          <t>No Payer</t>
        </is>
      </c>
      <c r="H9" s="17" t="n">
        <v>46184</v>
      </c>
      <c r="I9" s="24" t="inlineStr">
        <is>
          <t>93970</t>
        </is>
      </c>
      <c r="J9" s="24" t="inlineStr">
        <is>
          <t>US</t>
        </is>
      </c>
      <c r="K9" s="26">
        <f>H9+M9</f>
        <v/>
      </c>
      <c r="L9" s="27">
        <f>K9-TODAY()</f>
        <v/>
      </c>
      <c r="M9" s="15" t="n">
        <v>60</v>
      </c>
      <c r="N9" s="24" t="inlineStr">
        <is>
          <t>DEVOTED</t>
        </is>
      </c>
      <c r="O9" s="25" t="inlineStr">
        <is>
          <t>Shortest limit on the reference list.</t>
        </is>
      </c>
      <c r="P9" s="24" t="n"/>
      <c r="Q9" s="24" t="n"/>
      <c r="R9" s="24" t="n"/>
      <c r="S9" s="15" t="n">
        <v>1</v>
      </c>
      <c r="T9" s="28" t="n">
        <v>1294.23</v>
      </c>
      <c r="U9" s="28" t="n">
        <v>0</v>
      </c>
      <c r="V9" s="28" t="n">
        <v>0</v>
      </c>
      <c r="W9" s="28" t="n">
        <v>1294.23</v>
      </c>
      <c r="X9" s="15" t="n">
        <v>58</v>
      </c>
      <c r="Y9" s="24" t="inlineStr">
        <is>
          <t>TURLEY, TODD</t>
        </is>
      </c>
      <c r="Z9" s="24" t="inlineStr">
        <is>
          <t>ASAP - DEER VALLEY 240</t>
        </is>
      </c>
      <c r="AA9" s="15" t="n"/>
      <c r="AB9" s="17" t="n">
        <v>46195</v>
      </c>
      <c r="AC9" s="17" t="n">
        <v>46202</v>
      </c>
      <c r="AD9" s="24" t="inlineStr">
        <is>
          <t>G5790</t>
        </is>
      </c>
      <c r="AE9" s="24" t="inlineStr">
        <is>
          <t>M5459</t>
        </is>
      </c>
      <c r="AF9" s="24" t="inlineStr">
        <is>
          <t>M546</t>
        </is>
      </c>
      <c r="AG9" s="24" t="inlineStr">
        <is>
          <t>N39498</t>
        </is>
      </c>
      <c r="AH9" s="35" t="inlineStr">
        <is>
          <t>US!A7 / US!B7</t>
        </is>
      </c>
    </row>
    <row r="10">
      <c r="A10" s="22">
        <f>IF('US'!A8="","",'US'!A8)</f>
        <v/>
      </c>
      <c r="B10" s="23">
        <f>IF('US'!B8="","",'US'!B8)</f>
        <v/>
      </c>
      <c r="C10" s="19" t="n">
        <v>567453889</v>
      </c>
      <c r="D10" s="29" t="inlineStr">
        <is>
          <t>HF533821631</t>
        </is>
      </c>
      <c r="E10" s="30" t="inlineStr">
        <is>
          <t>HealthSpring Medicare Advantage</t>
        </is>
      </c>
      <c r="F10" s="30" t="inlineStr">
        <is>
          <t>HealthSpring Medicare Advantage</t>
        </is>
      </c>
      <c r="G10" s="30" t="inlineStr">
        <is>
          <t>No Payer</t>
        </is>
      </c>
      <c r="H10" s="21" t="n">
        <v>46154</v>
      </c>
      <c r="I10" s="29" t="inlineStr">
        <is>
          <t>93923</t>
        </is>
      </c>
      <c r="J10" s="29" t="inlineStr">
        <is>
          <t>US</t>
        </is>
      </c>
      <c r="K10" s="31">
        <f>H10+M10</f>
        <v/>
      </c>
      <c r="L10" s="32">
        <f>K10-TODAY()</f>
        <v/>
      </c>
      <c r="M10" s="19" t="n">
        <v>90</v>
      </c>
      <c r="N10" s="29" t="inlineStr">
        <is>
          <t>CIGNA / CIGNA MEDICARE</t>
        </is>
      </c>
      <c r="O10" s="30" t="inlineStr"/>
      <c r="P10" s="29" t="n"/>
      <c r="Q10" s="29" t="n"/>
      <c r="R10" s="29" t="n"/>
      <c r="S10" s="19" t="n">
        <v>1</v>
      </c>
      <c r="T10" s="33" t="n">
        <v>879.0599999999999</v>
      </c>
      <c r="U10" s="33" t="n">
        <v>0</v>
      </c>
      <c r="V10" s="33" t="n">
        <v>0</v>
      </c>
      <c r="W10" s="33" t="n">
        <v>879.0599999999999</v>
      </c>
      <c r="X10" s="19" t="n">
        <v>88</v>
      </c>
      <c r="Y10" s="29" t="inlineStr">
        <is>
          <t>LEATHEM, JARRETT</t>
        </is>
      </c>
      <c r="Z10" s="29" t="inlineStr">
        <is>
          <t>ASAP - Gilbert</t>
        </is>
      </c>
      <c r="AA10" s="19" t="n"/>
      <c r="AB10" s="21" t="n">
        <v>46164</v>
      </c>
      <c r="AC10" s="21" t="n">
        <v>46170</v>
      </c>
      <c r="AD10" s="29" t="inlineStr">
        <is>
          <t>I8393</t>
        </is>
      </c>
      <c r="AE10" s="29" t="inlineStr">
        <is>
          <t>I872</t>
        </is>
      </c>
      <c r="AF10" s="29" t="n"/>
      <c r="AG10" s="29" t="n"/>
      <c r="AH10" s="36" t="inlineStr">
        <is>
          <t>US!A8 / US!B8</t>
        </is>
      </c>
    </row>
    <row r="11">
      <c r="A11" s="22">
        <f>IF('US'!A9="","",'US'!A9)</f>
        <v/>
      </c>
      <c r="B11" s="23">
        <f>IF('US'!B9="","",'US'!B9)</f>
        <v/>
      </c>
      <c r="C11" s="15" t="n">
        <v>567453889</v>
      </c>
      <c r="D11" s="24" t="inlineStr">
        <is>
          <t>HF533821631</t>
        </is>
      </c>
      <c r="E11" s="25" t="inlineStr">
        <is>
          <t>HealthSpring Medicare Advantage</t>
        </is>
      </c>
      <c r="F11" s="25" t="inlineStr">
        <is>
          <t>HealthSpring Medicare Advantage</t>
        </is>
      </c>
      <c r="G11" s="25" t="inlineStr">
        <is>
          <t>No Payer</t>
        </is>
      </c>
      <c r="H11" s="17" t="n">
        <v>46154</v>
      </c>
      <c r="I11" s="24" t="inlineStr">
        <is>
          <t>93925</t>
        </is>
      </c>
      <c r="J11" s="24" t="inlineStr">
        <is>
          <t>US</t>
        </is>
      </c>
      <c r="K11" s="26">
        <f>H11+M11</f>
        <v/>
      </c>
      <c r="L11" s="27">
        <f>K11-TODAY()</f>
        <v/>
      </c>
      <c r="M11" s="15" t="n">
        <v>90</v>
      </c>
      <c r="N11" s="24" t="inlineStr">
        <is>
          <t>CIGNA / CIGNA MEDICARE</t>
        </is>
      </c>
      <c r="O11" s="25" t="inlineStr"/>
      <c r="P11" s="24" t="n"/>
      <c r="Q11" s="24" t="n"/>
      <c r="R11" s="24" t="n"/>
      <c r="S11" s="15" t="n">
        <v>1</v>
      </c>
      <c r="T11" s="28" t="n">
        <v>1649.2</v>
      </c>
      <c r="U11" s="28" t="n">
        <v>0</v>
      </c>
      <c r="V11" s="28" t="n">
        <v>0</v>
      </c>
      <c r="W11" s="28" t="n">
        <v>1649.2</v>
      </c>
      <c r="X11" s="15" t="n">
        <v>88</v>
      </c>
      <c r="Y11" s="24" t="inlineStr">
        <is>
          <t>LEATHEM, JARRETT</t>
        </is>
      </c>
      <c r="Z11" s="24" t="inlineStr">
        <is>
          <t>ASAP - Gilbert</t>
        </is>
      </c>
      <c r="AA11" s="15" t="n"/>
      <c r="AB11" s="17" t="n">
        <v>46164</v>
      </c>
      <c r="AC11" s="17" t="n">
        <v>46170</v>
      </c>
      <c r="AD11" s="24" t="inlineStr">
        <is>
          <t>I8393</t>
        </is>
      </c>
      <c r="AE11" s="24" t="inlineStr">
        <is>
          <t>I872</t>
        </is>
      </c>
      <c r="AF11" s="24" t="n"/>
      <c r="AG11" s="24" t="n"/>
      <c r="AH11" s="35" t="inlineStr">
        <is>
          <t>US!A9 / US!B9</t>
        </is>
      </c>
    </row>
    <row r="12">
      <c r="A12" s="22">
        <f>IF('ORTHO'!A5="","",'ORTHO'!A5)</f>
        <v/>
      </c>
      <c r="B12" s="23">
        <f>IF('ORTHO'!B5="","",'ORTHO'!B5)</f>
        <v/>
      </c>
      <c r="C12" s="19" t="n">
        <v>559605223</v>
      </c>
      <c r="D12" s="29" t="inlineStr">
        <is>
          <t>HF549730183</t>
        </is>
      </c>
      <c r="E12" s="30" t="inlineStr">
        <is>
          <t>Optum Care Medical Network of Arizona, Utah, &amp; Washington (LifePrint)</t>
        </is>
      </c>
      <c r="F12" s="30" t="inlineStr">
        <is>
          <t>Optum Care Medical Network of Arizona, Utah, &amp; Washington (LifePrint)</t>
        </is>
      </c>
      <c r="G12" s="30" t="inlineStr">
        <is>
          <t>No Payer</t>
        </is>
      </c>
      <c r="H12" s="21" t="n">
        <v>46155</v>
      </c>
      <c r="I12" s="29" t="inlineStr">
        <is>
          <t>22551</t>
        </is>
      </c>
      <c r="J12" s="29" t="inlineStr">
        <is>
          <t>ORTHO</t>
        </is>
      </c>
      <c r="K12" s="31">
        <f>H12+M12</f>
        <v/>
      </c>
      <c r="L12" s="32">
        <f>K12-TODAY()</f>
        <v/>
      </c>
      <c r="M12" s="19" t="n">
        <v>90</v>
      </c>
      <c r="N12" s="29" t="inlineStr">
        <is>
          <t>OPTUM</t>
        </is>
      </c>
      <c r="O12" s="30" t="inlineStr"/>
      <c r="P12" s="29" t="n"/>
      <c r="Q12" s="29" t="n"/>
      <c r="R12" s="29" t="n"/>
      <c r="S12" s="19" t="n">
        <v>1</v>
      </c>
      <c r="T12" s="33" t="n">
        <v>11690.98</v>
      </c>
      <c r="U12" s="33" t="n">
        <v>0</v>
      </c>
      <c r="V12" s="33" t="n">
        <v>0</v>
      </c>
      <c r="W12" s="33" t="n">
        <v>11690.98</v>
      </c>
      <c r="X12" s="19" t="n">
        <v>87</v>
      </c>
      <c r="Y12" s="29" t="inlineStr">
        <is>
          <t>BURGHER, ABRAM</t>
        </is>
      </c>
      <c r="Z12" s="29" t="inlineStr">
        <is>
          <t>ASAP Surgery Centers North Valley LLC</t>
        </is>
      </c>
      <c r="AA12" s="19" t="n"/>
      <c r="AB12" s="21" t="n">
        <v>46161</v>
      </c>
      <c r="AC12" s="29" t="n"/>
      <c r="AD12" s="29" t="inlineStr">
        <is>
          <t>M50022</t>
        </is>
      </c>
      <c r="AE12" s="29" t="inlineStr">
        <is>
          <t>M50122</t>
        </is>
      </c>
      <c r="AF12" s="29" t="inlineStr">
        <is>
          <t>M5412</t>
        </is>
      </c>
      <c r="AG12" s="29" t="inlineStr">
        <is>
          <t>M5000</t>
        </is>
      </c>
      <c r="AH12" s="36" t="inlineStr">
        <is>
          <t>ORTHO!A5 / ORTHO!B5</t>
        </is>
      </c>
    </row>
    <row r="13">
      <c r="A13" s="22">
        <f>IF('ORTHO'!A6="","",'ORTHO'!A6)</f>
        <v/>
      </c>
      <c r="B13" s="23">
        <f>IF('ORTHO'!B6="","",'ORTHO'!B6)</f>
        <v/>
      </c>
      <c r="C13" s="15" t="n">
        <v>559605223</v>
      </c>
      <c r="D13" s="24" t="inlineStr">
        <is>
          <t>HF549730183</t>
        </is>
      </c>
      <c r="E13" s="25" t="inlineStr">
        <is>
          <t>Optum Care Medical Network of Arizona, Utah, &amp; Washington (LifePrint)</t>
        </is>
      </c>
      <c r="F13" s="25" t="inlineStr">
        <is>
          <t>Optum Care Medical Network of Arizona, Utah, &amp; Washington (LifePrint)</t>
        </is>
      </c>
      <c r="G13" s="25" t="inlineStr">
        <is>
          <t>No Payer</t>
        </is>
      </c>
      <c r="H13" s="17" t="n">
        <v>46155</v>
      </c>
      <c r="I13" s="24" t="inlineStr">
        <is>
          <t>22845</t>
        </is>
      </c>
      <c r="J13" s="24" t="inlineStr">
        <is>
          <t>ORTHO</t>
        </is>
      </c>
      <c r="K13" s="26">
        <f>H13+M13</f>
        <v/>
      </c>
      <c r="L13" s="27">
        <f>K13-TODAY()</f>
        <v/>
      </c>
      <c r="M13" s="15" t="n">
        <v>90</v>
      </c>
      <c r="N13" s="24" t="inlineStr">
        <is>
          <t>OPTUM</t>
        </is>
      </c>
      <c r="O13" s="25" t="inlineStr"/>
      <c r="P13" s="24" t="inlineStr">
        <is>
          <t>59</t>
        </is>
      </c>
      <c r="Q13" s="24" t="n"/>
      <c r="R13" s="24" t="n"/>
      <c r="S13" s="15" t="n">
        <v>1</v>
      </c>
      <c r="T13" s="28" t="n">
        <v>4951.24</v>
      </c>
      <c r="U13" s="28" t="n">
        <v>0</v>
      </c>
      <c r="V13" s="28" t="n">
        <v>0</v>
      </c>
      <c r="W13" s="28" t="n">
        <v>4951.24</v>
      </c>
      <c r="X13" s="15" t="n">
        <v>87</v>
      </c>
      <c r="Y13" s="24" t="inlineStr">
        <is>
          <t>BURGHER, ABRAM</t>
        </is>
      </c>
      <c r="Z13" s="24" t="inlineStr">
        <is>
          <t>ASAP Surgery Centers North Valley LLC</t>
        </is>
      </c>
      <c r="AA13" s="15" t="n"/>
      <c r="AB13" s="17" t="n">
        <v>46161</v>
      </c>
      <c r="AC13" s="24" t="n"/>
      <c r="AD13" s="24" t="inlineStr">
        <is>
          <t>M50022</t>
        </is>
      </c>
      <c r="AE13" s="24" t="inlineStr">
        <is>
          <t>M50023</t>
        </is>
      </c>
      <c r="AF13" s="24" t="inlineStr">
        <is>
          <t>M50122</t>
        </is>
      </c>
      <c r="AG13" s="24" t="inlineStr">
        <is>
          <t>M5412</t>
        </is>
      </c>
      <c r="AH13" s="35" t="inlineStr">
        <is>
          <t>ORTHO!A6 / ORTHO!B6</t>
        </is>
      </c>
    </row>
    <row r="14">
      <c r="A14" s="22">
        <f>IF('ORTHO'!A8="","",'ORTHO'!A8)</f>
        <v/>
      </c>
      <c r="B14" s="23">
        <f>IF('ORTHO'!B8="","",'ORTHO'!B8)</f>
        <v/>
      </c>
      <c r="C14" s="19" t="n">
        <v>559605223</v>
      </c>
      <c r="D14" s="29" t="inlineStr">
        <is>
          <t>HF549730183</t>
        </is>
      </c>
      <c r="E14" s="30" t="inlineStr">
        <is>
          <t>Optum Care Medical Network of Arizona, Utah, &amp; Washington (LifePrint)</t>
        </is>
      </c>
      <c r="F14" s="30" t="inlineStr">
        <is>
          <t>Optum Care Medical Network of Arizona, Utah, &amp; Washington (LifePrint)</t>
        </is>
      </c>
      <c r="G14" s="30" t="inlineStr">
        <is>
          <t>No Payer</t>
        </is>
      </c>
      <c r="H14" s="21" t="n">
        <v>46155</v>
      </c>
      <c r="I14" s="29" t="inlineStr">
        <is>
          <t>22853</t>
        </is>
      </c>
      <c r="J14" s="29" t="inlineStr">
        <is>
          <t>ORTHO</t>
        </is>
      </c>
      <c r="K14" s="31">
        <f>H14+M14</f>
        <v/>
      </c>
      <c r="L14" s="32">
        <f>K14-TODAY()</f>
        <v/>
      </c>
      <c r="M14" s="19" t="n">
        <v>90</v>
      </c>
      <c r="N14" s="29" t="inlineStr">
        <is>
          <t>OPTUM</t>
        </is>
      </c>
      <c r="O14" s="30" t="inlineStr"/>
      <c r="P14" s="29" t="n"/>
      <c r="Q14" s="29" t="n"/>
      <c r="R14" s="29" t="n"/>
      <c r="S14" s="19" t="n">
        <v>1</v>
      </c>
      <c r="T14" s="33" t="n">
        <v>1758.12</v>
      </c>
      <c r="U14" s="33" t="n">
        <v>0</v>
      </c>
      <c r="V14" s="33" t="n">
        <v>0</v>
      </c>
      <c r="W14" s="33" t="n">
        <v>1758.12</v>
      </c>
      <c r="X14" s="19" t="n">
        <v>87</v>
      </c>
      <c r="Y14" s="29" t="inlineStr">
        <is>
          <t>BURGHER, ABRAM</t>
        </is>
      </c>
      <c r="Z14" s="29" t="inlineStr">
        <is>
          <t>ASAP Surgery Centers North Valley LLC</t>
        </is>
      </c>
      <c r="AA14" s="19" t="n"/>
      <c r="AB14" s="21" t="n">
        <v>46161</v>
      </c>
      <c r="AC14" s="29" t="n"/>
      <c r="AD14" s="29" t="inlineStr">
        <is>
          <t>M50022</t>
        </is>
      </c>
      <c r="AE14" s="29" t="inlineStr">
        <is>
          <t>M50122</t>
        </is>
      </c>
      <c r="AF14" s="29" t="inlineStr">
        <is>
          <t>M5412</t>
        </is>
      </c>
      <c r="AG14" s="29" t="inlineStr">
        <is>
          <t>M5000</t>
        </is>
      </c>
      <c r="AH14" s="36" t="inlineStr">
        <is>
          <t>ORTHO!A8 / ORTHO!B8</t>
        </is>
      </c>
    </row>
    <row r="15">
      <c r="A15" s="22">
        <f>IF('ORTHO'!A8="","",'ORTHO'!A8)</f>
        <v/>
      </c>
      <c r="B15" s="23">
        <f>IF('ORTHO'!B8="","",'ORTHO'!B8)</f>
        <v/>
      </c>
      <c r="C15" s="15" t="n">
        <v>559605223</v>
      </c>
      <c r="D15" s="24" t="inlineStr">
        <is>
          <t>HF549730183</t>
        </is>
      </c>
      <c r="E15" s="25" t="inlineStr">
        <is>
          <t>Optum Care Medical Network of Arizona, Utah, &amp; Washington (LifePrint)</t>
        </is>
      </c>
      <c r="F15" s="25" t="inlineStr">
        <is>
          <t>Optum Care Medical Network of Arizona, Utah, &amp; Washington (LifePrint)</t>
        </is>
      </c>
      <c r="G15" s="25" t="inlineStr">
        <is>
          <t>No Payer</t>
        </is>
      </c>
      <c r="H15" s="17" t="n">
        <v>46155</v>
      </c>
      <c r="I15" s="24" t="inlineStr">
        <is>
          <t>22853</t>
        </is>
      </c>
      <c r="J15" s="24" t="inlineStr">
        <is>
          <t>ORTHO</t>
        </is>
      </c>
      <c r="K15" s="26">
        <f>H15+M15</f>
        <v/>
      </c>
      <c r="L15" s="27">
        <f>K15-TODAY()</f>
        <v/>
      </c>
      <c r="M15" s="15" t="n">
        <v>90</v>
      </c>
      <c r="N15" s="24" t="inlineStr">
        <is>
          <t>OPTUM</t>
        </is>
      </c>
      <c r="O15" s="25" t="inlineStr"/>
      <c r="P15" s="24" t="inlineStr">
        <is>
          <t>59</t>
        </is>
      </c>
      <c r="Q15" s="24" t="n"/>
      <c r="R15" s="24" t="n"/>
      <c r="S15" s="15" t="n">
        <v>1</v>
      </c>
      <c r="T15" s="28" t="n">
        <v>1758.12</v>
      </c>
      <c r="U15" s="28" t="n">
        <v>0</v>
      </c>
      <c r="V15" s="28" t="n">
        <v>0</v>
      </c>
      <c r="W15" s="28" t="n">
        <v>1758.12</v>
      </c>
      <c r="X15" s="15" t="n">
        <v>87</v>
      </c>
      <c r="Y15" s="24" t="inlineStr">
        <is>
          <t>BURGHER, ABRAM</t>
        </is>
      </c>
      <c r="Z15" s="24" t="inlineStr">
        <is>
          <t>ASAP Surgery Centers North Valley LLC</t>
        </is>
      </c>
      <c r="AA15" s="15" t="n"/>
      <c r="AB15" s="17" t="n">
        <v>46161</v>
      </c>
      <c r="AC15" s="24" t="n"/>
      <c r="AD15" s="24" t="inlineStr">
        <is>
          <t>M50023</t>
        </is>
      </c>
      <c r="AE15" s="24" t="inlineStr">
        <is>
          <t>M5412</t>
        </is>
      </c>
      <c r="AF15" s="24" t="inlineStr">
        <is>
          <t>M5000</t>
        </is>
      </c>
      <c r="AG15" s="24" t="inlineStr">
        <is>
          <t>M542</t>
        </is>
      </c>
      <c r="AH15" s="35" t="inlineStr">
        <is>
          <t>ORTHO!A8 / ORTHO!B8</t>
        </is>
      </c>
    </row>
    <row r="16">
      <c r="A16" s="22">
        <f>IF('US'!A10="","",'US'!A10)</f>
        <v/>
      </c>
      <c r="B16" s="23">
        <f>IF('US'!B10="","",'US'!B10)</f>
        <v/>
      </c>
      <c r="C16" s="19" t="n">
        <v>560081393</v>
      </c>
      <c r="D16" s="29" t="inlineStr">
        <is>
          <t>HF544192008</t>
        </is>
      </c>
      <c r="E16" s="30" t="inlineStr">
        <is>
          <t>United Healthcare</t>
        </is>
      </c>
      <c r="F16" s="30" t="inlineStr">
        <is>
          <t>United Healthcare</t>
        </is>
      </c>
      <c r="G16" s="30" t="inlineStr">
        <is>
          <t>No Payer</t>
        </is>
      </c>
      <c r="H16" s="21" t="n">
        <v>46155</v>
      </c>
      <c r="I16" s="29" t="inlineStr">
        <is>
          <t>93923</t>
        </is>
      </c>
      <c r="J16" s="29" t="inlineStr">
        <is>
          <t>US</t>
        </is>
      </c>
      <c r="K16" s="31">
        <f>H16+M16</f>
        <v/>
      </c>
      <c r="L16" s="32">
        <f>K16-TODAY()</f>
        <v/>
      </c>
      <c r="M16" s="19" t="n">
        <v>90</v>
      </c>
      <c r="N16" s="29" t="inlineStr">
        <is>
          <t>UHC COMMERCIAL</t>
        </is>
      </c>
      <c r="O16" s="30" t="inlineStr"/>
      <c r="P16" s="29" t="n"/>
      <c r="Q16" s="29" t="n"/>
      <c r="R16" s="29" t="n"/>
      <c r="S16" s="19" t="n">
        <v>1</v>
      </c>
      <c r="T16" s="33" t="n">
        <v>879.0599999999999</v>
      </c>
      <c r="U16" s="33" t="n">
        <v>0</v>
      </c>
      <c r="V16" s="33" t="n">
        <v>0</v>
      </c>
      <c r="W16" s="33" t="n">
        <v>879.0599999999999</v>
      </c>
      <c r="X16" s="19" t="n">
        <v>87</v>
      </c>
      <c r="Y16" s="29" t="inlineStr">
        <is>
          <t>BURGHER, ABRAM</t>
        </is>
      </c>
      <c r="Z16" s="29" t="inlineStr">
        <is>
          <t>ASAP - Surprise - Reems</t>
        </is>
      </c>
      <c r="AA16" s="19" t="n"/>
      <c r="AB16" s="21" t="n">
        <v>46164</v>
      </c>
      <c r="AC16" s="21" t="n">
        <v>46175</v>
      </c>
      <c r="AD16" s="29" t="inlineStr">
        <is>
          <t>I739</t>
        </is>
      </c>
      <c r="AE16" s="29" t="inlineStr">
        <is>
          <t>M79604</t>
        </is>
      </c>
      <c r="AF16" s="29" t="inlineStr">
        <is>
          <t>M79605</t>
        </is>
      </c>
      <c r="AG16" s="29" t="n"/>
      <c r="AH16" s="36" t="inlineStr">
        <is>
          <t>US!A10 / US!B10</t>
        </is>
      </c>
    </row>
    <row r="17">
      <c r="A17" s="22">
        <f>IF('US'!A11="","",'US'!A11)</f>
        <v/>
      </c>
      <c r="B17" s="23">
        <f>IF('US'!B11="","",'US'!B11)</f>
        <v/>
      </c>
      <c r="C17" s="15" t="n">
        <v>560081393</v>
      </c>
      <c r="D17" s="24" t="inlineStr">
        <is>
          <t>HF544192008</t>
        </is>
      </c>
      <c r="E17" s="25" t="inlineStr">
        <is>
          <t>United Healthcare</t>
        </is>
      </c>
      <c r="F17" s="25" t="inlineStr">
        <is>
          <t>United Healthcare</t>
        </is>
      </c>
      <c r="G17" s="25" t="inlineStr">
        <is>
          <t>No Payer</t>
        </is>
      </c>
      <c r="H17" s="17" t="n">
        <v>46155</v>
      </c>
      <c r="I17" s="24" t="inlineStr">
        <is>
          <t>93925</t>
        </is>
      </c>
      <c r="J17" s="24" t="inlineStr">
        <is>
          <t>US</t>
        </is>
      </c>
      <c r="K17" s="26">
        <f>H17+M17</f>
        <v/>
      </c>
      <c r="L17" s="27">
        <f>K17-TODAY()</f>
        <v/>
      </c>
      <c r="M17" s="15" t="n">
        <v>90</v>
      </c>
      <c r="N17" s="24" t="inlineStr">
        <is>
          <t>UHC COMMERCIAL</t>
        </is>
      </c>
      <c r="O17" s="25" t="inlineStr"/>
      <c r="P17" s="24" t="n"/>
      <c r="Q17" s="24" t="n"/>
      <c r="R17" s="24" t="n"/>
      <c r="S17" s="15" t="n">
        <v>1</v>
      </c>
      <c r="T17" s="28" t="n">
        <v>1649.2</v>
      </c>
      <c r="U17" s="28" t="n">
        <v>0</v>
      </c>
      <c r="V17" s="28" t="n">
        <v>0</v>
      </c>
      <c r="W17" s="28" t="n">
        <v>1649.2</v>
      </c>
      <c r="X17" s="15" t="n">
        <v>87</v>
      </c>
      <c r="Y17" s="24" t="inlineStr">
        <is>
          <t>BURGHER, ABRAM</t>
        </is>
      </c>
      <c r="Z17" s="24" t="inlineStr">
        <is>
          <t>ASAP - Surprise - Reems</t>
        </is>
      </c>
      <c r="AA17" s="15" t="n"/>
      <c r="AB17" s="17" t="n">
        <v>46164</v>
      </c>
      <c r="AC17" s="17" t="n">
        <v>46175</v>
      </c>
      <c r="AD17" s="24" t="inlineStr">
        <is>
          <t>I739</t>
        </is>
      </c>
      <c r="AE17" s="24" t="inlineStr">
        <is>
          <t>M79604</t>
        </is>
      </c>
      <c r="AF17" s="24" t="inlineStr">
        <is>
          <t>M79605</t>
        </is>
      </c>
      <c r="AG17" s="24" t="n"/>
      <c r="AH17" s="35" t="inlineStr">
        <is>
          <t>US!A11 / US!B11</t>
        </is>
      </c>
    </row>
    <row r="18">
      <c r="A18" s="22">
        <f>IF('US'!A12="","",'US'!A12)</f>
        <v/>
      </c>
      <c r="B18" s="23">
        <f>IF('US'!B12="","",'US'!B12)</f>
        <v/>
      </c>
      <c r="C18" s="19" t="n">
        <v>560081393</v>
      </c>
      <c r="D18" s="29" t="inlineStr">
        <is>
          <t>HF544192008</t>
        </is>
      </c>
      <c r="E18" s="30" t="inlineStr">
        <is>
          <t>United Healthcare</t>
        </is>
      </c>
      <c r="F18" s="30" t="inlineStr">
        <is>
          <t>United Healthcare</t>
        </is>
      </c>
      <c r="G18" s="30" t="inlineStr">
        <is>
          <t>No Payer</t>
        </is>
      </c>
      <c r="H18" s="21" t="n">
        <v>46155</v>
      </c>
      <c r="I18" s="29" t="inlineStr">
        <is>
          <t>93970</t>
        </is>
      </c>
      <c r="J18" s="29" t="inlineStr">
        <is>
          <t>US</t>
        </is>
      </c>
      <c r="K18" s="31">
        <f>H18+M18</f>
        <v/>
      </c>
      <c r="L18" s="32">
        <f>K18-TODAY()</f>
        <v/>
      </c>
      <c r="M18" s="19" t="n">
        <v>90</v>
      </c>
      <c r="N18" s="29" t="inlineStr">
        <is>
          <t>UHC COMMERCIAL</t>
        </is>
      </c>
      <c r="O18" s="30" t="inlineStr"/>
      <c r="P18" s="29" t="n"/>
      <c r="Q18" s="29" t="n"/>
      <c r="R18" s="29" t="n"/>
      <c r="S18" s="19" t="n">
        <v>1</v>
      </c>
      <c r="T18" s="33" t="n">
        <v>1294.23</v>
      </c>
      <c r="U18" s="33" t="n">
        <v>0</v>
      </c>
      <c r="V18" s="33" t="n">
        <v>0</v>
      </c>
      <c r="W18" s="33" t="n">
        <v>1294.23</v>
      </c>
      <c r="X18" s="19" t="n">
        <v>87</v>
      </c>
      <c r="Y18" s="29" t="inlineStr">
        <is>
          <t>BURGHER, ABRAM</t>
        </is>
      </c>
      <c r="Z18" s="29" t="inlineStr">
        <is>
          <t>ASAP - Surprise - Reems</t>
        </is>
      </c>
      <c r="AA18" s="19" t="n"/>
      <c r="AB18" s="21" t="n">
        <v>46164</v>
      </c>
      <c r="AC18" s="21" t="n">
        <v>46175</v>
      </c>
      <c r="AD18" s="29" t="inlineStr">
        <is>
          <t>I739</t>
        </is>
      </c>
      <c r="AE18" s="29" t="inlineStr">
        <is>
          <t>M79604</t>
        </is>
      </c>
      <c r="AF18" s="29" t="inlineStr">
        <is>
          <t>M79605</t>
        </is>
      </c>
      <c r="AG18" s="29" t="n"/>
      <c r="AH18" s="36" t="inlineStr">
        <is>
          <t>US!A12 / US!B12</t>
        </is>
      </c>
    </row>
    <row r="19">
      <c r="A19" s="22">
        <f>IF('BH'!A7="","",'BH'!A7)</f>
        <v/>
      </c>
      <c r="B19" s="23">
        <f>IF('BH'!B7="","",'BH'!B7)</f>
        <v/>
      </c>
      <c r="C19" s="15" t="n">
        <v>559331282</v>
      </c>
      <c r="D19" s="24" t="inlineStr">
        <is>
          <t>HF479934906</t>
        </is>
      </c>
      <c r="E19" s="25" t="inlineStr">
        <is>
          <t>United Healthcare</t>
        </is>
      </c>
      <c r="F19" s="25" t="inlineStr">
        <is>
          <t>United Healthcare</t>
        </is>
      </c>
      <c r="G19" s="25" t="inlineStr">
        <is>
          <t>No Payer</t>
        </is>
      </c>
      <c r="H19" s="17" t="n">
        <v>46156</v>
      </c>
      <c r="I19" s="24" t="inlineStr">
        <is>
          <t>99493</t>
        </is>
      </c>
      <c r="J19" s="24" t="inlineStr">
        <is>
          <t>BH</t>
        </is>
      </c>
      <c r="K19" s="26">
        <f>H19+M19</f>
        <v/>
      </c>
      <c r="L19" s="27">
        <f>K19-TODAY()</f>
        <v/>
      </c>
      <c r="M19" s="15" t="n">
        <v>90</v>
      </c>
      <c r="N19" s="24" t="inlineStr">
        <is>
          <t>UHC COMMERCIAL</t>
        </is>
      </c>
      <c r="O19" s="25" t="inlineStr"/>
      <c r="P19" s="24" t="n"/>
      <c r="Q19" s="24" t="n"/>
      <c r="R19" s="24" t="n"/>
      <c r="S19" s="15" t="n">
        <v>1</v>
      </c>
      <c r="T19" s="28" t="n">
        <v>976.64</v>
      </c>
      <c r="U19" s="28" t="n">
        <v>0</v>
      </c>
      <c r="V19" s="28" t="n">
        <v>0</v>
      </c>
      <c r="W19" s="28" t="n">
        <v>976.64</v>
      </c>
      <c r="X19" s="15" t="n">
        <v>86</v>
      </c>
      <c r="Y19" s="24" t="inlineStr">
        <is>
          <t>MEARS, CHAD</t>
        </is>
      </c>
      <c r="Z19" s="24" t="inlineStr">
        <is>
          <t>ASAP - DEER VALLEY</t>
        </is>
      </c>
      <c r="AA19" s="15" t="n"/>
      <c r="AB19" s="17" t="n">
        <v>46180</v>
      </c>
      <c r="AC19" s="24" t="n"/>
      <c r="AD19" s="24" t="inlineStr">
        <is>
          <t>F4312</t>
        </is>
      </c>
      <c r="AE19" s="24" t="n"/>
      <c r="AF19" s="24" t="n"/>
      <c r="AG19" s="24" t="n"/>
      <c r="AH19" s="35" t="inlineStr">
        <is>
          <t>BH!A7 / BH!B7</t>
        </is>
      </c>
    </row>
    <row r="20">
      <c r="A20" s="22">
        <f>IF('BH'!A8="","",'BH'!A8)</f>
        <v/>
      </c>
      <c r="B20" s="23">
        <f>IF('BH'!B8="","",'BH'!B8)</f>
        <v/>
      </c>
      <c r="C20" s="19" t="n">
        <v>559331282</v>
      </c>
      <c r="D20" s="29" t="inlineStr">
        <is>
          <t>HF479934906</t>
        </is>
      </c>
      <c r="E20" s="30" t="inlineStr">
        <is>
          <t>United Healthcare</t>
        </is>
      </c>
      <c r="F20" s="30" t="inlineStr">
        <is>
          <t>United Healthcare</t>
        </is>
      </c>
      <c r="G20" s="30" t="inlineStr">
        <is>
          <t>No Payer</t>
        </is>
      </c>
      <c r="H20" s="21" t="n">
        <v>46156</v>
      </c>
      <c r="I20" s="29" t="inlineStr">
        <is>
          <t>99494</t>
        </is>
      </c>
      <c r="J20" s="29" t="inlineStr">
        <is>
          <t>BH</t>
        </is>
      </c>
      <c r="K20" s="31">
        <f>H20+M20</f>
        <v/>
      </c>
      <c r="L20" s="32">
        <f>K20-TODAY()</f>
        <v/>
      </c>
      <c r="M20" s="19" t="n">
        <v>90</v>
      </c>
      <c r="N20" s="29" t="inlineStr">
        <is>
          <t>UHC COMMERCIAL</t>
        </is>
      </c>
      <c r="O20" s="30" t="inlineStr"/>
      <c r="P20" s="29" t="n"/>
      <c r="Q20" s="29" t="n"/>
      <c r="R20" s="29" t="n"/>
      <c r="S20" s="19" t="n">
        <v>1</v>
      </c>
      <c r="T20" s="33" t="n">
        <v>396.27</v>
      </c>
      <c r="U20" s="33" t="n">
        <v>0</v>
      </c>
      <c r="V20" s="33" t="n">
        <v>0</v>
      </c>
      <c r="W20" s="33" t="n">
        <v>396.27</v>
      </c>
      <c r="X20" s="19" t="n">
        <v>86</v>
      </c>
      <c r="Y20" s="29" t="inlineStr">
        <is>
          <t>MEARS, CHAD</t>
        </is>
      </c>
      <c r="Z20" s="29" t="inlineStr">
        <is>
          <t>ASAP - DEER VALLEY</t>
        </is>
      </c>
      <c r="AA20" s="19" t="n"/>
      <c r="AB20" s="21" t="n">
        <v>46180</v>
      </c>
      <c r="AC20" s="29" t="n"/>
      <c r="AD20" s="29" t="inlineStr">
        <is>
          <t>F4312</t>
        </is>
      </c>
      <c r="AE20" s="29" t="n"/>
      <c r="AF20" s="29" t="n"/>
      <c r="AG20" s="29" t="n"/>
      <c r="AH20" s="36" t="inlineStr">
        <is>
          <t>BH!A8 / BH!B8</t>
        </is>
      </c>
    </row>
    <row r="21">
      <c r="A21" s="22">
        <f>IF('BH'!A9="","",'BH'!A9)</f>
        <v/>
      </c>
      <c r="B21" s="23">
        <f>IF('BH'!B9="","",'BH'!B9)</f>
        <v/>
      </c>
      <c r="C21" s="15" t="n">
        <v>559334288</v>
      </c>
      <c r="D21" s="24" t="inlineStr">
        <is>
          <t>HF555357253</t>
        </is>
      </c>
      <c r="E21" s="25" t="inlineStr">
        <is>
          <t>United Healthcare</t>
        </is>
      </c>
      <c r="F21" s="25" t="inlineStr">
        <is>
          <t>United Healthcare</t>
        </is>
      </c>
      <c r="G21" s="25" t="inlineStr">
        <is>
          <t>No Payer</t>
        </is>
      </c>
      <c r="H21" s="17" t="n">
        <v>46156</v>
      </c>
      <c r="I21" s="24" t="inlineStr">
        <is>
          <t>99492</t>
        </is>
      </c>
      <c r="J21" s="24" t="inlineStr">
        <is>
          <t>BH</t>
        </is>
      </c>
      <c r="K21" s="26">
        <f>H21+M21</f>
        <v/>
      </c>
      <c r="L21" s="27">
        <f>K21-TODAY()</f>
        <v/>
      </c>
      <c r="M21" s="15" t="n">
        <v>90</v>
      </c>
      <c r="N21" s="24" t="inlineStr">
        <is>
          <t>UHC COMMERCIAL</t>
        </is>
      </c>
      <c r="O21" s="25" t="inlineStr"/>
      <c r="P21" s="24" t="n"/>
      <c r="Q21" s="24" t="n"/>
      <c r="R21" s="24" t="n"/>
      <c r="S21" s="15" t="n">
        <v>1</v>
      </c>
      <c r="T21" s="28" t="n">
        <v>1029.98</v>
      </c>
      <c r="U21" s="28" t="n">
        <v>0</v>
      </c>
      <c r="V21" s="28" t="n">
        <v>0</v>
      </c>
      <c r="W21" s="28" t="n">
        <v>1029.98</v>
      </c>
      <c r="X21" s="15" t="n">
        <v>86</v>
      </c>
      <c r="Y21" s="24" t="inlineStr">
        <is>
          <t>MEARS, CHAD</t>
        </is>
      </c>
      <c r="Z21" s="24" t="inlineStr">
        <is>
          <t>ASAP - DEER VALLEY</t>
        </is>
      </c>
      <c r="AA21" s="15" t="n"/>
      <c r="AB21" s="17" t="n">
        <v>46180</v>
      </c>
      <c r="AC21" s="24" t="n"/>
      <c r="AD21" s="24" t="inlineStr">
        <is>
          <t>F4320</t>
        </is>
      </c>
      <c r="AE21" s="24" t="n"/>
      <c r="AF21" s="24" t="n"/>
      <c r="AG21" s="24" t="n"/>
      <c r="AH21" s="35" t="inlineStr">
        <is>
          <t>BH!A9 / BH!B9</t>
        </is>
      </c>
    </row>
    <row r="22">
      <c r="A22" s="22">
        <f>IF('BH'!A10="","",'BH'!A10)</f>
        <v/>
      </c>
      <c r="B22" s="23">
        <f>IF('BH'!B10="","",'BH'!B10)</f>
        <v/>
      </c>
      <c r="C22" s="19" t="n">
        <v>559334288</v>
      </c>
      <c r="D22" s="29" t="inlineStr">
        <is>
          <t>HF555357253</t>
        </is>
      </c>
      <c r="E22" s="30" t="inlineStr">
        <is>
          <t>United Healthcare</t>
        </is>
      </c>
      <c r="F22" s="30" t="inlineStr">
        <is>
          <t>United Healthcare</t>
        </is>
      </c>
      <c r="G22" s="30" t="inlineStr">
        <is>
          <t>No Payer</t>
        </is>
      </c>
      <c r="H22" s="21" t="n">
        <v>46156</v>
      </c>
      <c r="I22" s="29" t="inlineStr">
        <is>
          <t>99494</t>
        </is>
      </c>
      <c r="J22" s="29" t="inlineStr">
        <is>
          <t>BH</t>
        </is>
      </c>
      <c r="K22" s="31">
        <f>H22+M22</f>
        <v/>
      </c>
      <c r="L22" s="32">
        <f>K22-TODAY()</f>
        <v/>
      </c>
      <c r="M22" s="19" t="n">
        <v>90</v>
      </c>
      <c r="N22" s="29" t="inlineStr">
        <is>
          <t>UHC COMMERCIAL</t>
        </is>
      </c>
      <c r="O22" s="30" t="inlineStr"/>
      <c r="P22" s="29" t="n"/>
      <c r="Q22" s="29" t="n"/>
      <c r="R22" s="29" t="n"/>
      <c r="S22" s="19" t="n">
        <v>1</v>
      </c>
      <c r="T22" s="33" t="n">
        <v>396.27</v>
      </c>
      <c r="U22" s="33" t="n">
        <v>0</v>
      </c>
      <c r="V22" s="33" t="n">
        <v>0</v>
      </c>
      <c r="W22" s="33" t="n">
        <v>396.27</v>
      </c>
      <c r="X22" s="19" t="n">
        <v>86</v>
      </c>
      <c r="Y22" s="29" t="inlineStr">
        <is>
          <t>MEARS, CHAD</t>
        </is>
      </c>
      <c r="Z22" s="29" t="inlineStr">
        <is>
          <t>ASAP - DEER VALLEY</t>
        </is>
      </c>
      <c r="AA22" s="19" t="n"/>
      <c r="AB22" s="21" t="n">
        <v>46180</v>
      </c>
      <c r="AC22" s="29" t="n"/>
      <c r="AD22" s="29" t="inlineStr">
        <is>
          <t>F4320</t>
        </is>
      </c>
      <c r="AE22" s="29" t="n"/>
      <c r="AF22" s="29" t="n"/>
      <c r="AG22" s="29" t="n"/>
      <c r="AH22" s="36" t="inlineStr">
        <is>
          <t>BH!A10 / BH!B10</t>
        </is>
      </c>
    </row>
    <row r="23">
      <c r="A23" s="22">
        <f>IF('ORTHO'!A9="","",'ORTHO'!A9)</f>
        <v/>
      </c>
      <c r="B23" s="23">
        <f>IF('ORTHO'!B9="","",'ORTHO'!B9)</f>
        <v/>
      </c>
      <c r="C23" s="15" t="n">
        <v>559356030</v>
      </c>
      <c r="D23" s="24" t="inlineStr">
        <is>
          <t>HF427171307</t>
        </is>
      </c>
      <c r="E23" s="25" t="inlineStr">
        <is>
          <t>HealthSpring Medicare Advantage</t>
        </is>
      </c>
      <c r="F23" s="25" t="inlineStr">
        <is>
          <t>HealthSpring Medicare Advantage</t>
        </is>
      </c>
      <c r="G23" s="25" t="inlineStr">
        <is>
          <t>No Payer</t>
        </is>
      </c>
      <c r="H23" s="17" t="n">
        <v>46156</v>
      </c>
      <c r="I23" s="24" t="inlineStr">
        <is>
          <t>63047</t>
        </is>
      </c>
      <c r="J23" s="24" t="inlineStr">
        <is>
          <t>ORTHO</t>
        </is>
      </c>
      <c r="K23" s="26">
        <f>H23+M23</f>
        <v/>
      </c>
      <c r="L23" s="27">
        <f>K23-TODAY()</f>
        <v/>
      </c>
      <c r="M23" s="15" t="n">
        <v>90</v>
      </c>
      <c r="N23" s="24" t="inlineStr">
        <is>
          <t>CIGNA / CIGNA MEDICARE</t>
        </is>
      </c>
      <c r="O23" s="25" t="inlineStr"/>
      <c r="P23" s="24" t="n"/>
      <c r="Q23" s="24" t="n"/>
      <c r="R23" s="24" t="n"/>
      <c r="S23" s="15" t="n">
        <v>1</v>
      </c>
      <c r="T23" s="28" t="n">
        <v>7623.07</v>
      </c>
      <c r="U23" s="28" t="n">
        <v>0</v>
      </c>
      <c r="V23" s="28" t="n">
        <v>0</v>
      </c>
      <c r="W23" s="28" t="n">
        <v>7623.07</v>
      </c>
      <c r="X23" s="15" t="n">
        <v>86</v>
      </c>
      <c r="Y23" s="24" t="inlineStr">
        <is>
          <t>KRAUSE, JEFFREY</t>
        </is>
      </c>
      <c r="Z23" s="24" t="inlineStr">
        <is>
          <t>ASAP Surgery Centers North Valley LLC</t>
        </is>
      </c>
      <c r="AA23" s="15" t="n"/>
      <c r="AB23" s="17" t="n">
        <v>46160</v>
      </c>
      <c r="AC23" s="17" t="n">
        <v>46170</v>
      </c>
      <c r="AD23" s="24" t="inlineStr">
        <is>
          <t>M48062</t>
        </is>
      </c>
      <c r="AE23" s="24" t="n"/>
      <c r="AF23" s="24" t="n"/>
      <c r="AG23" s="24" t="n"/>
      <c r="AH23" s="35" t="inlineStr">
        <is>
          <t>ORTHO!A9 / ORTHO!B9</t>
        </is>
      </c>
    </row>
    <row r="24">
      <c r="A24" s="22">
        <f>IF('US'!A13="","",'US'!A13)</f>
        <v/>
      </c>
      <c r="B24" s="23">
        <f>IF('US'!B13="","",'US'!B13)</f>
        <v/>
      </c>
      <c r="C24" s="19" t="n">
        <v>558639899</v>
      </c>
      <c r="D24" s="29" t="inlineStr">
        <is>
          <t>HF523293759</t>
        </is>
      </c>
      <c r="E24" s="30" t="inlineStr">
        <is>
          <t>Banner Health &amp; Aetna Health Insurance Company</t>
        </is>
      </c>
      <c r="F24" s="30" t="inlineStr">
        <is>
          <t>Banner Health &amp; Aetna Health Insurance Company</t>
        </is>
      </c>
      <c r="G24" s="30" t="inlineStr">
        <is>
          <t>No Payer</t>
        </is>
      </c>
      <c r="H24" s="21" t="n">
        <v>46126</v>
      </c>
      <c r="I24" s="29" t="inlineStr">
        <is>
          <t>93923</t>
        </is>
      </c>
      <c r="J24" s="29" t="inlineStr">
        <is>
          <t>US</t>
        </is>
      </c>
      <c r="K24" s="31">
        <f>H24+M24</f>
        <v/>
      </c>
      <c r="L24" s="32">
        <f>K24-TODAY()</f>
        <v/>
      </c>
      <c r="M24" s="19" t="n">
        <v>120</v>
      </c>
      <c r="N24" s="29" t="inlineStr">
        <is>
          <t>BANNER HEALTH &amp; AETNA</t>
        </is>
      </c>
      <c r="O24" s="30" t="inlineStr"/>
      <c r="P24" s="29" t="n"/>
      <c r="Q24" s="29" t="n"/>
      <c r="R24" s="29" t="n"/>
      <c r="S24" s="19" t="n">
        <v>1</v>
      </c>
      <c r="T24" s="33" t="n">
        <v>879.0599999999999</v>
      </c>
      <c r="U24" s="33" t="n">
        <v>0</v>
      </c>
      <c r="V24" s="33" t="n">
        <v>0</v>
      </c>
      <c r="W24" s="33" t="n">
        <v>879.0599999999999</v>
      </c>
      <c r="X24" s="19" t="n">
        <v>116</v>
      </c>
      <c r="Y24" s="29" t="inlineStr">
        <is>
          <t>LEATHEM, JARRETT</t>
        </is>
      </c>
      <c r="Z24" s="29" t="inlineStr">
        <is>
          <t>ASAP - Gilbert</t>
        </is>
      </c>
      <c r="AA24" s="19" t="n"/>
      <c r="AB24" s="21" t="n">
        <v>46141</v>
      </c>
      <c r="AC24" s="29" t="n"/>
      <c r="AD24" s="29" t="inlineStr">
        <is>
          <t>M1712</t>
        </is>
      </c>
      <c r="AE24" s="29" t="inlineStr">
        <is>
          <t>M25562</t>
        </is>
      </c>
      <c r="AF24" s="29" t="inlineStr">
        <is>
          <t>I872</t>
        </is>
      </c>
      <c r="AG24" s="29" t="n"/>
      <c r="AH24" s="36" t="inlineStr">
        <is>
          <t>US!A13 / US!B13</t>
        </is>
      </c>
    </row>
    <row r="25">
      <c r="A25" s="22">
        <f>IF('DME'!A5="","",'DME'!A5)</f>
        <v/>
      </c>
      <c r="B25" s="23">
        <f>IF('DME'!B5="","",'DME'!B5)</f>
        <v/>
      </c>
      <c r="C25" s="15" t="n">
        <v>559604554</v>
      </c>
      <c r="D25" s="24" t="inlineStr">
        <is>
          <t>HF549730183</t>
        </is>
      </c>
      <c r="E25" s="25" t="inlineStr">
        <is>
          <t>Optum Care Medical Network of Arizona, Utah, &amp; Washington (LifePrint)</t>
        </is>
      </c>
      <c r="F25" s="25" t="inlineStr">
        <is>
          <t>Optum Care Medical Network of Arizona, Utah, &amp; Washington (LifePrint)</t>
        </is>
      </c>
      <c r="G25" s="25" t="inlineStr">
        <is>
          <t>LIEN 03</t>
        </is>
      </c>
      <c r="H25" s="17" t="n">
        <v>46157</v>
      </c>
      <c r="I25" s="24" t="inlineStr">
        <is>
          <t>A6023</t>
        </is>
      </c>
      <c r="J25" s="24" t="inlineStr">
        <is>
          <t>DME</t>
        </is>
      </c>
      <c r="K25" s="26">
        <f>H25+M25</f>
        <v/>
      </c>
      <c r="L25" s="27">
        <f>K25-TODAY()</f>
        <v/>
      </c>
      <c r="M25" s="15" t="n">
        <v>90</v>
      </c>
      <c r="N25" s="24" t="inlineStr">
        <is>
          <t>OPTUM</t>
        </is>
      </c>
      <c r="O25" s="25" t="inlineStr"/>
      <c r="P25" s="24" t="inlineStr">
        <is>
          <t>A1</t>
        </is>
      </c>
      <c r="Q25" s="24" t="n"/>
      <c r="R25" s="24" t="n"/>
      <c r="S25" s="15" t="n">
        <v>20</v>
      </c>
      <c r="T25" s="28" t="n">
        <v>36353.8</v>
      </c>
      <c r="U25" s="28" t="n">
        <v>0</v>
      </c>
      <c r="V25" s="28" t="n">
        <v>0</v>
      </c>
      <c r="W25" s="28" t="n">
        <v>36353.8</v>
      </c>
      <c r="X25" s="15" t="n">
        <v>85</v>
      </c>
      <c r="Y25" s="24" t="inlineStr">
        <is>
          <t>MCCUNNIFF, PETER</t>
        </is>
      </c>
      <c r="Z25" s="24" t="inlineStr">
        <is>
          <t>ASAP Peoria</t>
        </is>
      </c>
      <c r="AA25" s="15" t="n"/>
      <c r="AB25" s="17" t="n">
        <v>46217</v>
      </c>
      <c r="AC25" s="24" t="n"/>
      <c r="AD25" s="24" t="inlineStr">
        <is>
          <t>G894</t>
        </is>
      </c>
      <c r="AE25" s="24" t="inlineStr">
        <is>
          <t>M50022</t>
        </is>
      </c>
      <c r="AF25" s="24" t="inlineStr">
        <is>
          <t>M50023</t>
        </is>
      </c>
      <c r="AG25" s="24" t="inlineStr">
        <is>
          <t>M50122</t>
        </is>
      </c>
      <c r="AH25" s="35" t="inlineStr">
        <is>
          <t>DME!A5 / DME!B5</t>
        </is>
      </c>
    </row>
    <row r="26">
      <c r="A26" s="22">
        <f>IF('BH'!A11="","",'BH'!A11)</f>
        <v/>
      </c>
      <c r="B26" s="23">
        <f>IF('BH'!B11="","",'BH'!B11)</f>
        <v/>
      </c>
      <c r="C26" s="19" t="n">
        <v>558887755</v>
      </c>
      <c r="D26" s="29" t="inlineStr">
        <is>
          <t>HF475049197</t>
        </is>
      </c>
      <c r="E26" s="30" t="inlineStr">
        <is>
          <t>Allwell - All States (Centene)</t>
        </is>
      </c>
      <c r="F26" s="30" t="inlineStr">
        <is>
          <t>Allwell - All States (Centene)</t>
        </is>
      </c>
      <c r="G26" s="30" t="inlineStr">
        <is>
          <t>Arizona Complete Health (Centene)</t>
        </is>
      </c>
      <c r="H26" s="21" t="n">
        <v>46153</v>
      </c>
      <c r="I26" s="29" t="inlineStr">
        <is>
          <t>99493</t>
        </is>
      </c>
      <c r="J26" s="29" t="inlineStr">
        <is>
          <t>BH</t>
        </is>
      </c>
      <c r="K26" s="31">
        <f>H26+M26</f>
        <v/>
      </c>
      <c r="L26" s="32">
        <f>K26-TODAY()</f>
        <v/>
      </c>
      <c r="M26" s="19" t="n">
        <v>95</v>
      </c>
      <c r="N26" s="29" t="inlineStr">
        <is>
          <t>WELLCARE BY ALLWELL</t>
        </is>
      </c>
      <c r="O26" s="30" t="inlineStr"/>
      <c r="P26" s="29" t="n"/>
      <c r="Q26" s="29" t="n"/>
      <c r="R26" s="29" t="n"/>
      <c r="S26" s="19" t="n">
        <v>1</v>
      </c>
      <c r="T26" s="33" t="n">
        <v>976.64</v>
      </c>
      <c r="U26" s="33" t="n">
        <v>0</v>
      </c>
      <c r="V26" s="33" t="n">
        <v>0</v>
      </c>
      <c r="W26" s="33" t="n">
        <v>976.64</v>
      </c>
      <c r="X26" s="19" t="n">
        <v>89</v>
      </c>
      <c r="Y26" s="29" t="inlineStr">
        <is>
          <t>SARKAR, AWNIK</t>
        </is>
      </c>
      <c r="Z26" s="29" t="inlineStr">
        <is>
          <t>ASAP Peoria</t>
        </is>
      </c>
      <c r="AA26" s="19" t="n"/>
      <c r="AB26" s="21" t="n">
        <v>46180</v>
      </c>
      <c r="AC26" s="29" t="n"/>
      <c r="AD26" s="29" t="inlineStr">
        <is>
          <t>F4320</t>
        </is>
      </c>
      <c r="AE26" s="29" t="n"/>
      <c r="AF26" s="29" t="n"/>
      <c r="AG26" s="29" t="n"/>
      <c r="AH26" s="36" t="inlineStr">
        <is>
          <t>BH!A11 / BH!B11</t>
        </is>
      </c>
    </row>
    <row r="27">
      <c r="A27" s="22">
        <f>IF('DME'!A6="","",'DME'!A6)</f>
        <v/>
      </c>
      <c r="B27" s="23">
        <f>IF('DME'!B6="","",'DME'!B6)</f>
        <v/>
      </c>
      <c r="C27" s="15" t="n">
        <v>561880042</v>
      </c>
      <c r="D27" s="24" t="inlineStr">
        <is>
          <t>HF545888888</t>
        </is>
      </c>
      <c r="E27" s="25" t="inlineStr">
        <is>
          <t>Humana Gold Plus HMO</t>
        </is>
      </c>
      <c r="F27" s="25" t="inlineStr">
        <is>
          <t>Humana Gold Plus HMO</t>
        </is>
      </c>
      <c r="G27" s="25" t="inlineStr">
        <is>
          <t>No Payer</t>
        </is>
      </c>
      <c r="H27" s="17" t="n">
        <v>46160</v>
      </c>
      <c r="I27" s="24" t="inlineStr">
        <is>
          <t>A6023</t>
        </is>
      </c>
      <c r="J27" s="24" t="inlineStr">
        <is>
          <t>DME</t>
        </is>
      </c>
      <c r="K27" s="26">
        <f>H27+M27</f>
        <v/>
      </c>
      <c r="L27" s="27">
        <f>K27-TODAY()</f>
        <v/>
      </c>
      <c r="M27" s="15" t="n">
        <v>90</v>
      </c>
      <c r="N27" s="24" t="inlineStr">
        <is>
          <t>HUMANA MA</t>
        </is>
      </c>
      <c r="O27" s="25" t="inlineStr">
        <is>
          <t>ASSUMPTION - shorter of two limits used. 180 days for physicians, 90 for ancillary providers; confirm the provider category.</t>
        </is>
      </c>
      <c r="P27" s="24" t="inlineStr">
        <is>
          <t>A2</t>
        </is>
      </c>
      <c r="Q27" s="24" t="n"/>
      <c r="R27" s="24" t="n"/>
      <c r="S27" s="15" t="n">
        <v>40</v>
      </c>
      <c r="T27" s="28" t="n">
        <v>72707.60000000001</v>
      </c>
      <c r="U27" s="28" t="n">
        <v>0</v>
      </c>
      <c r="V27" s="28" t="n">
        <v>0</v>
      </c>
      <c r="W27" s="28" t="n">
        <v>72707.60000000001</v>
      </c>
      <c r="X27" s="15" t="n">
        <v>82</v>
      </c>
      <c r="Y27" s="24" t="inlineStr">
        <is>
          <t>Van Dyke, Sandra</t>
        </is>
      </c>
      <c r="Z27" s="24" t="inlineStr">
        <is>
          <t>ASAP - Gilbert</t>
        </is>
      </c>
      <c r="AA27" s="15" t="n"/>
      <c r="AB27" s="17" t="n">
        <v>46183</v>
      </c>
      <c r="AC27" s="17" t="n">
        <v>46185</v>
      </c>
      <c r="AD27" s="24" t="inlineStr">
        <is>
          <t>G894</t>
        </is>
      </c>
      <c r="AE27" s="24" t="inlineStr">
        <is>
          <t>G90523</t>
        </is>
      </c>
      <c r="AF27" s="24" t="n"/>
      <c r="AG27" s="24" t="n"/>
      <c r="AH27" s="35" t="inlineStr">
        <is>
          <t>DME!A6 / DME!B6</t>
        </is>
      </c>
    </row>
    <row r="28">
      <c r="A28" s="22">
        <f>IF('DME'!A7="","",'DME'!A7)</f>
        <v/>
      </c>
      <c r="B28" s="23">
        <f>IF('DME'!B7="","",'DME'!B7)</f>
        <v/>
      </c>
      <c r="C28" s="19" t="n">
        <v>559742691</v>
      </c>
      <c r="D28" s="29" t="inlineStr">
        <is>
          <t>HF543653317</t>
        </is>
      </c>
      <c r="E28" s="30" t="inlineStr">
        <is>
          <t>Optum Care Medical Network of Arizona, Utah, &amp; Washington (LifePrint)</t>
        </is>
      </c>
      <c r="F28" s="30" t="inlineStr">
        <is>
          <t>Optum Care Medical Network of Arizona, Utah, &amp; Washington (LifePrint)</t>
        </is>
      </c>
      <c r="G28" s="30" t="inlineStr">
        <is>
          <t>No Payer</t>
        </is>
      </c>
      <c r="H28" s="21" t="n">
        <v>46160</v>
      </c>
      <c r="I28" s="29" t="inlineStr">
        <is>
          <t>A6010</t>
        </is>
      </c>
      <c r="J28" s="29" t="inlineStr">
        <is>
          <t>DME</t>
        </is>
      </c>
      <c r="K28" s="31">
        <f>H28+M28</f>
        <v/>
      </c>
      <c r="L28" s="32">
        <f>K28-TODAY()</f>
        <v/>
      </c>
      <c r="M28" s="19" t="n">
        <v>90</v>
      </c>
      <c r="N28" s="29" t="inlineStr">
        <is>
          <t>OPTUM</t>
        </is>
      </c>
      <c r="O28" s="30" t="inlineStr"/>
      <c r="P28" s="29" t="inlineStr">
        <is>
          <t>A2</t>
        </is>
      </c>
      <c r="Q28" s="29" t="n"/>
      <c r="R28" s="29" t="n"/>
      <c r="S28" s="19" t="n">
        <v>20</v>
      </c>
      <c r="T28" s="33" t="n">
        <v>5916.4</v>
      </c>
      <c r="U28" s="33" t="n">
        <v>0</v>
      </c>
      <c r="V28" s="33" t="n">
        <v>0</v>
      </c>
      <c r="W28" s="33" t="n">
        <v>5916.4</v>
      </c>
      <c r="X28" s="19" t="n">
        <v>82</v>
      </c>
      <c r="Y28" s="29" t="inlineStr">
        <is>
          <t>TONDINI, JENISE</t>
        </is>
      </c>
      <c r="Z28" s="29" t="inlineStr">
        <is>
          <t>ASAP - Goodyear</t>
        </is>
      </c>
      <c r="AA28" s="19" t="n"/>
      <c r="AB28" s="21" t="n">
        <v>46162</v>
      </c>
      <c r="AC28" s="21" t="n">
        <v>46196</v>
      </c>
      <c r="AD28" s="29" t="inlineStr">
        <is>
          <t>G894</t>
        </is>
      </c>
      <c r="AE28" s="29" t="n"/>
      <c r="AF28" s="29" t="n"/>
      <c r="AG28" s="29" t="n"/>
      <c r="AH28" s="36" t="inlineStr">
        <is>
          <t>DME!A7 / DME!B7</t>
        </is>
      </c>
    </row>
    <row r="29">
      <c r="A29" s="22">
        <f>IF('ORTHO'!A10="","",'ORTHO'!A10)</f>
        <v/>
      </c>
      <c r="B29" s="23">
        <f>IF('ORTHO'!B10="","",'ORTHO'!B10)</f>
        <v/>
      </c>
      <c r="C29" s="15" t="n">
        <v>565931559</v>
      </c>
      <c r="D29" s="24" t="inlineStr">
        <is>
          <t>HF549060053</t>
        </is>
      </c>
      <c r="E29" s="25" t="inlineStr">
        <is>
          <t>Devoted Health Plan</t>
        </is>
      </c>
      <c r="F29" s="25" t="inlineStr">
        <is>
          <t>Devoted Health Plan</t>
        </is>
      </c>
      <c r="G29" s="25" t="inlineStr">
        <is>
          <t>No Payer</t>
        </is>
      </c>
      <c r="H29" s="17" t="n">
        <v>46190</v>
      </c>
      <c r="I29" s="24" t="inlineStr">
        <is>
          <t>63047</t>
        </is>
      </c>
      <c r="J29" s="24" t="inlineStr">
        <is>
          <t>ORTHO</t>
        </is>
      </c>
      <c r="K29" s="26">
        <f>H29+M29</f>
        <v/>
      </c>
      <c r="L29" s="27">
        <f>K29-TODAY()</f>
        <v/>
      </c>
      <c r="M29" s="15" t="n">
        <v>60</v>
      </c>
      <c r="N29" s="24" t="inlineStr">
        <is>
          <t>DEVOTED</t>
        </is>
      </c>
      <c r="O29" s="25" t="inlineStr">
        <is>
          <t>Shortest limit on the reference list.</t>
        </is>
      </c>
      <c r="P29" s="24" t="n"/>
      <c r="Q29" s="24" t="n"/>
      <c r="R29" s="24" t="n"/>
      <c r="S29" s="15" t="n">
        <v>1</v>
      </c>
      <c r="T29" s="28" t="n">
        <v>7623.07</v>
      </c>
      <c r="U29" s="28" t="n">
        <v>0</v>
      </c>
      <c r="V29" s="28" t="n">
        <v>0</v>
      </c>
      <c r="W29" s="28" t="n">
        <v>7623.07</v>
      </c>
      <c r="X29" s="15" t="n">
        <v>52</v>
      </c>
      <c r="Y29" s="24" t="inlineStr">
        <is>
          <t>MAYURAN, VIKRAM</t>
        </is>
      </c>
      <c r="Z29" s="24" t="inlineStr">
        <is>
          <t>ASAP Surgery Centers North Valley LLC</t>
        </is>
      </c>
      <c r="AA29" s="15" t="n"/>
      <c r="AB29" s="17" t="n">
        <v>46210</v>
      </c>
      <c r="AC29" s="24" t="n"/>
      <c r="AD29" s="24" t="inlineStr">
        <is>
          <t>M48062</t>
        </is>
      </c>
      <c r="AE29" s="24" t="n"/>
      <c r="AF29" s="24" t="n"/>
      <c r="AG29" s="24" t="n"/>
      <c r="AH29" s="35" t="inlineStr">
        <is>
          <t>ORTHO!A10 / ORTHO!B10</t>
        </is>
      </c>
    </row>
    <row r="30">
      <c r="A30" s="22">
        <f>IF('ORTHO'!A11="","",'ORTHO'!A11)</f>
        <v/>
      </c>
      <c r="B30" s="23">
        <f>IF('ORTHO'!B11="","",'ORTHO'!B11)</f>
        <v/>
      </c>
      <c r="C30" s="19" t="n">
        <v>565931559</v>
      </c>
      <c r="D30" s="29" t="inlineStr">
        <is>
          <t>HF549060053</t>
        </is>
      </c>
      <c r="E30" s="30" t="inlineStr">
        <is>
          <t>Devoted Health Plan</t>
        </is>
      </c>
      <c r="F30" s="30" t="inlineStr">
        <is>
          <t>Devoted Health Plan</t>
        </is>
      </c>
      <c r="G30" s="30" t="inlineStr">
        <is>
          <t>No Payer</t>
        </is>
      </c>
      <c r="H30" s="21" t="n">
        <v>46190</v>
      </c>
      <c r="I30" s="29" t="inlineStr">
        <is>
          <t>63048</t>
        </is>
      </c>
      <c r="J30" s="29" t="inlineStr">
        <is>
          <t>ORTHO</t>
        </is>
      </c>
      <c r="K30" s="31">
        <f>H30+M30</f>
        <v/>
      </c>
      <c r="L30" s="32">
        <f>K30-TODAY()</f>
        <v/>
      </c>
      <c r="M30" s="19" t="n">
        <v>60</v>
      </c>
      <c r="N30" s="29" t="inlineStr">
        <is>
          <t>DEVOTED</t>
        </is>
      </c>
      <c r="O30" s="30" t="inlineStr">
        <is>
          <t>Shortest limit on the reference list.</t>
        </is>
      </c>
      <c r="P30" s="29" t="n"/>
      <c r="Q30" s="29" t="n"/>
      <c r="R30" s="29" t="n"/>
      <c r="S30" s="19" t="n">
        <v>1</v>
      </c>
      <c r="T30" s="33" t="n">
        <v>1433.32</v>
      </c>
      <c r="U30" s="33" t="n">
        <v>0</v>
      </c>
      <c r="V30" s="33" t="n">
        <v>0</v>
      </c>
      <c r="W30" s="33" t="n">
        <v>1433.32</v>
      </c>
      <c r="X30" s="19" t="n">
        <v>52</v>
      </c>
      <c r="Y30" s="29" t="inlineStr">
        <is>
          <t>MAYURAN, VIKRAM</t>
        </is>
      </c>
      <c r="Z30" s="29" t="inlineStr">
        <is>
          <t>ASAP Surgery Centers North Valley LLC</t>
        </is>
      </c>
      <c r="AA30" s="19" t="n"/>
      <c r="AB30" s="21" t="n">
        <v>46210</v>
      </c>
      <c r="AC30" s="29" t="n"/>
      <c r="AD30" s="29" t="inlineStr">
        <is>
          <t>M48062</t>
        </is>
      </c>
      <c r="AE30" s="29" t="n"/>
      <c r="AF30" s="29" t="n"/>
      <c r="AG30" s="29" t="n"/>
      <c r="AH30" s="36" t="inlineStr">
        <is>
          <t>ORTHO!A11 / ORTHO!B11</t>
        </is>
      </c>
    </row>
    <row r="31">
      <c r="A31" s="22">
        <f>IF('ORTHO'!A12="","",'ORTHO'!A12)</f>
        <v/>
      </c>
      <c r="B31" s="23">
        <f>IF('ORTHO'!B12="","",'ORTHO'!B12)</f>
        <v/>
      </c>
      <c r="C31" s="15" t="n">
        <v>561233259</v>
      </c>
      <c r="D31" s="24" t="inlineStr">
        <is>
          <t>WC-509516716</t>
        </is>
      </c>
      <c r="E31" s="25" t="inlineStr">
        <is>
          <t>United Healthcare</t>
        </is>
      </c>
      <c r="F31" s="25" t="inlineStr">
        <is>
          <t>United Healthcare</t>
        </is>
      </c>
      <c r="G31" s="25" t="inlineStr">
        <is>
          <t>No Payer</t>
        </is>
      </c>
      <c r="H31" s="17" t="n">
        <v>46160</v>
      </c>
      <c r="I31" s="24" t="inlineStr">
        <is>
          <t>63047</t>
        </is>
      </c>
      <c r="J31" s="24" t="inlineStr">
        <is>
          <t>ORTHO</t>
        </is>
      </c>
      <c r="K31" s="26">
        <f>H31+M31</f>
        <v/>
      </c>
      <c r="L31" s="27">
        <f>K31-TODAY()</f>
        <v/>
      </c>
      <c r="M31" s="15" t="n">
        <v>90</v>
      </c>
      <c r="N31" s="24" t="inlineStr">
        <is>
          <t>UHC COMMERCIAL</t>
        </is>
      </c>
      <c r="O31" s="25" t="inlineStr"/>
      <c r="P31" s="24" t="n"/>
      <c r="Q31" s="24" t="n"/>
      <c r="R31" s="24" t="n"/>
      <c r="S31" s="15" t="n">
        <v>1</v>
      </c>
      <c r="T31" s="28" t="n">
        <v>7623.07</v>
      </c>
      <c r="U31" s="28" t="n">
        <v>0</v>
      </c>
      <c r="V31" s="28" t="n">
        <v>0</v>
      </c>
      <c r="W31" s="28" t="n">
        <v>7623.07</v>
      </c>
      <c r="X31" s="15" t="n">
        <v>82</v>
      </c>
      <c r="Y31" s="24" t="inlineStr">
        <is>
          <t>MAYURAN, VIKRAM</t>
        </is>
      </c>
      <c r="Z31" s="24" t="inlineStr">
        <is>
          <t>ASAP Surgery Centers North Valley LLC</t>
        </is>
      </c>
      <c r="AA31" s="15" t="n"/>
      <c r="AB31" s="17" t="n">
        <v>46177</v>
      </c>
      <c r="AC31" s="24" t="n"/>
      <c r="AD31" s="24" t="inlineStr">
        <is>
          <t>M5416</t>
        </is>
      </c>
      <c r="AE31" s="24" t="inlineStr">
        <is>
          <t>M48061</t>
        </is>
      </c>
      <c r="AF31" s="24" t="inlineStr">
        <is>
          <t>S335XXA</t>
        </is>
      </c>
      <c r="AG31" s="24" t="n"/>
      <c r="AH31" s="35" t="inlineStr">
        <is>
          <t>ORTHO!A12 / ORTHO!B12</t>
        </is>
      </c>
    </row>
    <row r="32">
      <c r="A32" s="22">
        <f>IF('ORTHO'!A13="","",'ORTHO'!A13)</f>
        <v/>
      </c>
      <c r="B32" s="23">
        <f>IF('ORTHO'!B13="","",'ORTHO'!B13)</f>
        <v/>
      </c>
      <c r="C32" s="19" t="n">
        <v>561233259</v>
      </c>
      <c r="D32" s="29" t="inlineStr">
        <is>
          <t>WC-509516716</t>
        </is>
      </c>
      <c r="E32" s="30" t="inlineStr">
        <is>
          <t>United Healthcare</t>
        </is>
      </c>
      <c r="F32" s="30" t="inlineStr">
        <is>
          <t>United Healthcare</t>
        </is>
      </c>
      <c r="G32" s="30" t="inlineStr">
        <is>
          <t>No Payer</t>
        </is>
      </c>
      <c r="H32" s="21" t="n">
        <v>46160</v>
      </c>
      <c r="I32" s="29" t="inlineStr">
        <is>
          <t>63048</t>
        </is>
      </c>
      <c r="J32" s="29" t="inlineStr">
        <is>
          <t>ORTHO</t>
        </is>
      </c>
      <c r="K32" s="31">
        <f>H32+M32</f>
        <v/>
      </c>
      <c r="L32" s="32">
        <f>K32-TODAY()</f>
        <v/>
      </c>
      <c r="M32" s="19" t="n">
        <v>90</v>
      </c>
      <c r="N32" s="29" t="inlineStr">
        <is>
          <t>UHC COMMERCIAL</t>
        </is>
      </c>
      <c r="O32" s="30" t="inlineStr"/>
      <c r="P32" s="29" t="n"/>
      <c r="Q32" s="29" t="n"/>
      <c r="R32" s="29" t="n"/>
      <c r="S32" s="19" t="n">
        <v>1</v>
      </c>
      <c r="T32" s="33" t="n">
        <v>1433.32</v>
      </c>
      <c r="U32" s="33" t="n">
        <v>0</v>
      </c>
      <c r="V32" s="33" t="n">
        <v>0</v>
      </c>
      <c r="W32" s="33" t="n">
        <v>1433.32</v>
      </c>
      <c r="X32" s="19" t="n">
        <v>82</v>
      </c>
      <c r="Y32" s="29" t="inlineStr">
        <is>
          <t>MAYURAN, VIKRAM</t>
        </is>
      </c>
      <c r="Z32" s="29" t="inlineStr">
        <is>
          <t>ASAP Surgery Centers North Valley LLC</t>
        </is>
      </c>
      <c r="AA32" s="19" t="n"/>
      <c r="AB32" s="21" t="n">
        <v>46177</v>
      </c>
      <c r="AC32" s="29" t="n"/>
      <c r="AD32" s="29" t="inlineStr">
        <is>
          <t>M5416</t>
        </is>
      </c>
      <c r="AE32" s="29" t="inlineStr">
        <is>
          <t>M48061</t>
        </is>
      </c>
      <c r="AF32" s="29" t="inlineStr">
        <is>
          <t>S335XXA</t>
        </is>
      </c>
      <c r="AG32" s="29" t="n"/>
      <c r="AH32" s="36" t="inlineStr">
        <is>
          <t>ORTHO!A13 / ORTHO!B13</t>
        </is>
      </c>
    </row>
    <row r="33">
      <c r="A33" s="22">
        <f>IF('BH'!A13="","",'BH'!A13)</f>
        <v/>
      </c>
      <c r="B33" s="23">
        <f>IF('BH'!B13="","",'BH'!B13)</f>
        <v/>
      </c>
      <c r="C33" s="15" t="n">
        <v>559931934</v>
      </c>
      <c r="D33" s="24" t="inlineStr">
        <is>
          <t>HF494160468</t>
        </is>
      </c>
      <c r="E33" s="25" t="inlineStr">
        <is>
          <t>UnitedHealthcare Community Plan / Arizona Long Term Care</t>
        </is>
      </c>
      <c r="F33" s="25" t="inlineStr">
        <is>
          <t>UnitedHealthcare Community Plan / Arizona Long Term Care</t>
        </is>
      </c>
      <c r="G33" s="25" t="inlineStr">
        <is>
          <t>No Payer</t>
        </is>
      </c>
      <c r="H33" s="17" t="n">
        <v>46162</v>
      </c>
      <c r="I33" s="24" t="inlineStr">
        <is>
          <t>99494</t>
        </is>
      </c>
      <c r="J33" s="24" t="inlineStr">
        <is>
          <t>BH</t>
        </is>
      </c>
      <c r="K33" s="26">
        <f>H33+M33</f>
        <v/>
      </c>
      <c r="L33" s="27">
        <f>K33-TODAY()</f>
        <v/>
      </c>
      <c r="M33" s="15" t="n">
        <v>90</v>
      </c>
      <c r="N33" s="24" t="inlineStr">
        <is>
          <t>UHC COMMUNITY</t>
        </is>
      </c>
      <c r="O33" s="25" t="inlineStr"/>
      <c r="P33" s="24" t="n"/>
      <c r="Q33" s="24" t="n"/>
      <c r="R33" s="24" t="n"/>
      <c r="S33" s="15" t="n">
        <v>1</v>
      </c>
      <c r="T33" s="28" t="n">
        <v>396.27</v>
      </c>
      <c r="U33" s="28" t="n">
        <v>0</v>
      </c>
      <c r="V33" s="28" t="n">
        <v>0</v>
      </c>
      <c r="W33" s="28" t="n">
        <v>396.27</v>
      </c>
      <c r="X33" s="15" t="n">
        <v>80</v>
      </c>
      <c r="Y33" s="24" t="inlineStr">
        <is>
          <t>O'NEIL, ROY</t>
        </is>
      </c>
      <c r="Z33" s="24" t="inlineStr">
        <is>
          <t>ASAP - DEER VALLEY</t>
        </is>
      </c>
      <c r="AA33" s="15" t="n"/>
      <c r="AB33" s="17" t="n">
        <v>46182</v>
      </c>
      <c r="AC33" s="17" t="n">
        <v>46196</v>
      </c>
      <c r="AD33" s="24" t="inlineStr">
        <is>
          <t>F32A</t>
        </is>
      </c>
      <c r="AE33" s="24" t="inlineStr">
        <is>
          <t>F411</t>
        </is>
      </c>
      <c r="AF33" s="24" t="n"/>
      <c r="AG33" s="24" t="n"/>
      <c r="AH33" s="35" t="inlineStr">
        <is>
          <t>BH!A13 / BH!B13</t>
        </is>
      </c>
    </row>
    <row r="34">
      <c r="A34" s="22">
        <f>IF('BH'!A13="","",'BH'!A13)</f>
        <v/>
      </c>
      <c r="B34" s="23">
        <f>IF('BH'!B13="","",'BH'!B13)</f>
        <v/>
      </c>
      <c r="C34" s="19" t="n">
        <v>559931934</v>
      </c>
      <c r="D34" s="29" t="inlineStr">
        <is>
          <t>HF494160468</t>
        </is>
      </c>
      <c r="E34" s="30" t="inlineStr">
        <is>
          <t>UnitedHealthcare Community Plan / Arizona Long Term Care</t>
        </is>
      </c>
      <c r="F34" s="30" t="inlineStr">
        <is>
          <t>UnitedHealthcare Community Plan / Arizona Long Term Care</t>
        </is>
      </c>
      <c r="G34" s="30" t="inlineStr">
        <is>
          <t>No Payer</t>
        </is>
      </c>
      <c r="H34" s="21" t="n">
        <v>46162</v>
      </c>
      <c r="I34" s="29" t="inlineStr">
        <is>
          <t>99494</t>
        </is>
      </c>
      <c r="J34" s="29" t="inlineStr">
        <is>
          <t>BH</t>
        </is>
      </c>
      <c r="K34" s="31">
        <f>H34+M34</f>
        <v/>
      </c>
      <c r="L34" s="32">
        <f>K34-TODAY()</f>
        <v/>
      </c>
      <c r="M34" s="19" t="n">
        <v>90</v>
      </c>
      <c r="N34" s="29" t="inlineStr">
        <is>
          <t>UHC COMMUNITY</t>
        </is>
      </c>
      <c r="O34" s="30" t="inlineStr"/>
      <c r="P34" s="29" t="n"/>
      <c r="Q34" s="29" t="n"/>
      <c r="R34" s="29" t="n"/>
      <c r="S34" s="19" t="n">
        <v>1</v>
      </c>
      <c r="T34" s="33" t="n">
        <v>396.27</v>
      </c>
      <c r="U34" s="33" t="n">
        <v>0</v>
      </c>
      <c r="V34" s="33" t="n">
        <v>0</v>
      </c>
      <c r="W34" s="33" t="n">
        <v>396.27</v>
      </c>
      <c r="X34" s="19" t="n">
        <v>80</v>
      </c>
      <c r="Y34" s="29" t="inlineStr">
        <is>
          <t>O'NEIL, ROY</t>
        </is>
      </c>
      <c r="Z34" s="29" t="inlineStr">
        <is>
          <t>ASAP - DEER VALLEY</t>
        </is>
      </c>
      <c r="AA34" s="19" t="n"/>
      <c r="AB34" s="21" t="n">
        <v>46182</v>
      </c>
      <c r="AC34" s="21" t="n">
        <v>46196</v>
      </c>
      <c r="AD34" s="29" t="inlineStr">
        <is>
          <t>F32A</t>
        </is>
      </c>
      <c r="AE34" s="29" t="inlineStr">
        <is>
          <t>F411</t>
        </is>
      </c>
      <c r="AF34" s="29" t="n"/>
      <c r="AG34" s="29" t="n"/>
      <c r="AH34" s="36" t="inlineStr">
        <is>
          <t>BH!A13 / BH!B13</t>
        </is>
      </c>
    </row>
    <row r="35">
      <c r="A35" s="22">
        <f>IF('BH'!A14="","",'BH'!A14)</f>
        <v/>
      </c>
      <c r="B35" s="23">
        <f>IF('BH'!B14="","",'BH'!B14)</f>
        <v/>
      </c>
      <c r="C35" s="15" t="n">
        <v>560175340</v>
      </c>
      <c r="D35" s="24" t="inlineStr">
        <is>
          <t>HF485806241</t>
        </is>
      </c>
      <c r="E35" s="25" t="inlineStr">
        <is>
          <t>UnitedHealthcare Community Plan / Arizona Long Term Care</t>
        </is>
      </c>
      <c r="F35" s="25" t="inlineStr">
        <is>
          <t>UnitedHealthcare Community Plan / Arizona Long Term Care</t>
        </is>
      </c>
      <c r="G35" s="25" t="inlineStr">
        <is>
          <t>UnitedHealthcare Community Plan / Arizona Long Term Care</t>
        </is>
      </c>
      <c r="H35" s="17" t="n">
        <v>46162</v>
      </c>
      <c r="I35" s="24" t="inlineStr">
        <is>
          <t>99494</t>
        </is>
      </c>
      <c r="J35" s="24" t="inlineStr">
        <is>
          <t>BH</t>
        </is>
      </c>
      <c r="K35" s="26">
        <f>H35+M35</f>
        <v/>
      </c>
      <c r="L35" s="27">
        <f>K35-TODAY()</f>
        <v/>
      </c>
      <c r="M35" s="15" t="n">
        <v>90</v>
      </c>
      <c r="N35" s="24" t="inlineStr">
        <is>
          <t>UHC COMMUNITY</t>
        </is>
      </c>
      <c r="O35" s="25" t="inlineStr"/>
      <c r="P35" s="24" t="n"/>
      <c r="Q35" s="24" t="n"/>
      <c r="R35" s="24" t="n"/>
      <c r="S35" s="15" t="n">
        <v>1</v>
      </c>
      <c r="T35" s="28" t="n">
        <v>396.27</v>
      </c>
      <c r="U35" s="28" t="n">
        <v>0</v>
      </c>
      <c r="V35" s="28" t="n">
        <v>0</v>
      </c>
      <c r="W35" s="28" t="n">
        <v>396.27</v>
      </c>
      <c r="X35" s="15" t="n">
        <v>80</v>
      </c>
      <c r="Y35" s="24" t="inlineStr">
        <is>
          <t>TURLEY, TODD</t>
        </is>
      </c>
      <c r="Z35" s="24" t="inlineStr">
        <is>
          <t>ASAP - DEER VALLEY</t>
        </is>
      </c>
      <c r="AA35" s="15" t="n"/>
      <c r="AB35" s="17" t="n">
        <v>46182</v>
      </c>
      <c r="AC35" s="17" t="n">
        <v>46195</v>
      </c>
      <c r="AD35" s="24" t="inlineStr">
        <is>
          <t>F1190</t>
        </is>
      </c>
      <c r="AE35" s="24" t="inlineStr">
        <is>
          <t>F32A</t>
        </is>
      </c>
      <c r="AF35" s="24" t="n"/>
      <c r="AG35" s="24" t="n"/>
      <c r="AH35" s="35" t="inlineStr">
        <is>
          <t>BH!A14 / BH!B14</t>
        </is>
      </c>
    </row>
    <row r="36">
      <c r="A36" s="22">
        <f>IF('ORTHO'!A14="","",'ORTHO'!A14)</f>
        <v/>
      </c>
      <c r="B36" s="23">
        <f>IF('ORTHO'!B14="","",'ORTHO'!B14)</f>
        <v/>
      </c>
      <c r="C36" s="19" t="n">
        <v>559340087</v>
      </c>
      <c r="D36" s="29" t="inlineStr">
        <is>
          <t>HF522538764</t>
        </is>
      </c>
      <c r="E36" s="30" t="inlineStr">
        <is>
          <t>Allwell - All States (Centene)</t>
        </is>
      </c>
      <c r="F36" s="30" t="inlineStr">
        <is>
          <t>Allwell - All States (Centene)</t>
        </is>
      </c>
      <c r="G36" s="30" t="inlineStr">
        <is>
          <t>No Payer</t>
        </is>
      </c>
      <c r="H36" s="21" t="n">
        <v>46157</v>
      </c>
      <c r="I36" s="29" t="inlineStr">
        <is>
          <t>63685</t>
        </is>
      </c>
      <c r="J36" s="29" t="inlineStr">
        <is>
          <t>ORTHO</t>
        </is>
      </c>
      <c r="K36" s="31">
        <f>H36+M36</f>
        <v/>
      </c>
      <c r="L36" s="32">
        <f>K36-TODAY()</f>
        <v/>
      </c>
      <c r="M36" s="19" t="n">
        <v>95</v>
      </c>
      <c r="N36" s="29" t="inlineStr">
        <is>
          <t>WELLCARE BY ALLWELL</t>
        </is>
      </c>
      <c r="O36" s="30" t="inlineStr"/>
      <c r="P36" s="29" t="n"/>
      <c r="Q36" s="29" t="n"/>
      <c r="R36" s="29" t="n"/>
      <c r="S36" s="19" t="n">
        <v>1</v>
      </c>
      <c r="T36" s="33" t="n">
        <v>2493.33</v>
      </c>
      <c r="U36" s="33" t="n">
        <v>0</v>
      </c>
      <c r="V36" s="33" t="n">
        <v>0</v>
      </c>
      <c r="W36" s="33" t="n">
        <v>2493.33</v>
      </c>
      <c r="X36" s="19" t="n">
        <v>85</v>
      </c>
      <c r="Y36" s="29" t="inlineStr">
        <is>
          <t>O'NEIL, ROY</t>
        </is>
      </c>
      <c r="Z36" s="29" t="inlineStr">
        <is>
          <t>ASAP Surgery Centers North Valley LLC</t>
        </is>
      </c>
      <c r="AA36" s="19" t="n"/>
      <c r="AB36" s="21" t="n">
        <v>46160</v>
      </c>
      <c r="AC36" s="21" t="n">
        <v>46170</v>
      </c>
      <c r="AD36" s="29" t="inlineStr">
        <is>
          <t>M961</t>
        </is>
      </c>
      <c r="AE36" s="29" t="inlineStr">
        <is>
          <t>M5416</t>
        </is>
      </c>
      <c r="AF36" s="29" t="inlineStr">
        <is>
          <t>G894</t>
        </is>
      </c>
      <c r="AG36" s="29" t="n"/>
      <c r="AH36" s="36" t="inlineStr">
        <is>
          <t>ORTHO!A14 / ORTHO!B14</t>
        </is>
      </c>
    </row>
    <row r="37">
      <c r="A37" s="22">
        <f>IF('DME'!A8="","",'DME'!A8)</f>
        <v/>
      </c>
      <c r="B37" s="23">
        <f>IF('DME'!B8="","",'DME'!B8)</f>
        <v/>
      </c>
      <c r="C37" s="15" t="n">
        <v>561237046</v>
      </c>
      <c r="D37" s="24" t="inlineStr">
        <is>
          <t>HF533960930</t>
        </is>
      </c>
      <c r="E37" s="25" t="inlineStr">
        <is>
          <t>UnitedHealthcare Community Plan / Arizona Long Term Care</t>
        </is>
      </c>
      <c r="F37" s="25" t="inlineStr">
        <is>
          <t>UnitedHealthcare Community Plan / Arizona Long Term Care</t>
        </is>
      </c>
      <c r="G37" s="25" t="inlineStr">
        <is>
          <t>Molina Complete Care of Arizona (Magellan Complete Care AZ)</t>
        </is>
      </c>
      <c r="H37" s="17" t="n">
        <v>46163</v>
      </c>
      <c r="I37" s="24" t="inlineStr">
        <is>
          <t>A6010</t>
        </is>
      </c>
      <c r="J37" s="24" t="inlineStr">
        <is>
          <t>DME</t>
        </is>
      </c>
      <c r="K37" s="26">
        <f>H37+M37</f>
        <v/>
      </c>
      <c r="L37" s="27">
        <f>K37-TODAY()</f>
        <v/>
      </c>
      <c r="M37" s="15" t="n">
        <v>90</v>
      </c>
      <c r="N37" s="24" t="inlineStr">
        <is>
          <t>UHC COMMUNITY</t>
        </is>
      </c>
      <c r="O37" s="25" t="inlineStr"/>
      <c r="P37" s="24" t="inlineStr">
        <is>
          <t>A1</t>
        </is>
      </c>
      <c r="Q37" s="24" t="n"/>
      <c r="R37" s="24" t="n"/>
      <c r="S37" s="15" t="n">
        <v>10</v>
      </c>
      <c r="T37" s="28" t="n">
        <v>2958.2</v>
      </c>
      <c r="U37" s="28" t="n">
        <v>0</v>
      </c>
      <c r="V37" s="28" t="n">
        <v>0</v>
      </c>
      <c r="W37" s="28" t="n">
        <v>2958.2</v>
      </c>
      <c r="X37" s="15" t="n">
        <v>79</v>
      </c>
      <c r="Y37" s="24" t="inlineStr">
        <is>
          <t>LUKE, TIMOTHY</t>
        </is>
      </c>
      <c r="Z37" s="24" t="inlineStr">
        <is>
          <t>ASAP - DEER VALLEY</t>
        </is>
      </c>
      <c r="AA37" s="15" t="n"/>
      <c r="AB37" s="17" t="n">
        <v>46177</v>
      </c>
      <c r="AC37" s="17" t="n">
        <v>46183</v>
      </c>
      <c r="AD37" s="24" t="inlineStr">
        <is>
          <t>M5030</t>
        </is>
      </c>
      <c r="AE37" s="24" t="inlineStr">
        <is>
          <t>M5412</t>
        </is>
      </c>
      <c r="AF37" s="24" t="n"/>
      <c r="AG37" s="24" t="n"/>
      <c r="AH37" s="35" t="inlineStr">
        <is>
          <t>DME!A8 / DME!B8</t>
        </is>
      </c>
    </row>
    <row r="38">
      <c r="A38" s="22">
        <f>IF('ORTHO'!A15="","",'ORTHO'!A15)</f>
        <v/>
      </c>
      <c r="B38" s="23">
        <f>IF('ORTHO'!B15="","",'ORTHO'!B15)</f>
        <v/>
      </c>
      <c r="C38" s="19" t="n">
        <v>561246589</v>
      </c>
      <c r="D38" s="29" t="inlineStr">
        <is>
          <t>HF554018380</t>
        </is>
      </c>
      <c r="E38" s="30" t="inlineStr">
        <is>
          <t>UnitedHealthcare Community Plan / Arizona Long Term Care</t>
        </is>
      </c>
      <c r="F38" s="30" t="inlineStr">
        <is>
          <t>UnitedHealthcare Community Plan / Arizona Long Term Care</t>
        </is>
      </c>
      <c r="G38" s="30" t="inlineStr">
        <is>
          <t>No Payer</t>
        </is>
      </c>
      <c r="H38" s="21" t="n">
        <v>46163</v>
      </c>
      <c r="I38" s="29" t="inlineStr">
        <is>
          <t>63030</t>
        </is>
      </c>
      <c r="J38" s="29" t="inlineStr">
        <is>
          <t>ORTHO</t>
        </is>
      </c>
      <c r="K38" s="31">
        <f>H38+M38</f>
        <v/>
      </c>
      <c r="L38" s="32">
        <f>K38-TODAY()</f>
        <v/>
      </c>
      <c r="M38" s="19" t="n">
        <v>90</v>
      </c>
      <c r="N38" s="29" t="inlineStr">
        <is>
          <t>UHC COMMUNITY</t>
        </is>
      </c>
      <c r="O38" s="30" t="inlineStr"/>
      <c r="P38" s="29" t="inlineStr">
        <is>
          <t>RT</t>
        </is>
      </c>
      <c r="Q38" s="29" t="n"/>
      <c r="R38" s="29" t="n"/>
      <c r="S38" s="19" t="n">
        <v>1</v>
      </c>
      <c r="T38" s="33" t="n">
        <v>6297.27</v>
      </c>
      <c r="U38" s="33" t="n">
        <v>0</v>
      </c>
      <c r="V38" s="33" t="n">
        <v>0</v>
      </c>
      <c r="W38" s="33" t="n">
        <v>6297.27</v>
      </c>
      <c r="X38" s="19" t="n">
        <v>79</v>
      </c>
      <c r="Y38" s="29" t="inlineStr">
        <is>
          <t>LUKE, TIMOTHY</t>
        </is>
      </c>
      <c r="Z38" s="29" t="inlineStr">
        <is>
          <t>ASAP Surgery Centers North Valley LLC</t>
        </is>
      </c>
      <c r="AA38" s="19" t="n"/>
      <c r="AB38" s="21" t="n">
        <v>46177</v>
      </c>
      <c r="AC38" s="21" t="n">
        <v>46183</v>
      </c>
      <c r="AD38" s="29" t="inlineStr">
        <is>
          <t>M4807</t>
        </is>
      </c>
      <c r="AE38" s="29" t="inlineStr">
        <is>
          <t>M5417</t>
        </is>
      </c>
      <c r="AF38" s="29" t="inlineStr">
        <is>
          <t>M5127</t>
        </is>
      </c>
      <c r="AG38" s="29" t="n"/>
      <c r="AH38" s="36" t="inlineStr">
        <is>
          <t>ORTHO!A15 / ORTHO!B15</t>
        </is>
      </c>
    </row>
    <row r="39">
      <c r="A39" s="22">
        <f>IF('US'!A14="","",'US'!A14)</f>
        <v/>
      </c>
      <c r="B39" s="23">
        <f>IF('US'!B14="","",'US'!B14)</f>
        <v/>
      </c>
      <c r="C39" s="15" t="n">
        <v>560709048</v>
      </c>
      <c r="D39" s="24" t="inlineStr">
        <is>
          <t>HF330335441</t>
        </is>
      </c>
      <c r="E39" s="25" t="inlineStr">
        <is>
          <t>HealthSpring Medicare Advantage</t>
        </is>
      </c>
      <c r="F39" s="25" t="inlineStr">
        <is>
          <t>HealthSpring Medicare Advantage</t>
        </is>
      </c>
      <c r="G39" s="25" t="inlineStr">
        <is>
          <t>No Payer</t>
        </is>
      </c>
      <c r="H39" s="17" t="n">
        <v>46163</v>
      </c>
      <c r="I39" s="24" t="inlineStr">
        <is>
          <t>93923</t>
        </is>
      </c>
      <c r="J39" s="24" t="inlineStr">
        <is>
          <t>US</t>
        </is>
      </c>
      <c r="K39" s="26">
        <f>H39+M39</f>
        <v/>
      </c>
      <c r="L39" s="27">
        <f>K39-TODAY()</f>
        <v/>
      </c>
      <c r="M39" s="15" t="n">
        <v>90</v>
      </c>
      <c r="N39" s="24" t="inlineStr">
        <is>
          <t>CIGNA / CIGNA MEDICARE</t>
        </is>
      </c>
      <c r="O39" s="25" t="inlineStr"/>
      <c r="P39" s="24" t="n"/>
      <c r="Q39" s="24" t="n"/>
      <c r="R39" s="24" t="n"/>
      <c r="S39" s="15" t="n">
        <v>1</v>
      </c>
      <c r="T39" s="28" t="n">
        <v>879.0599999999999</v>
      </c>
      <c r="U39" s="28" t="n">
        <v>0</v>
      </c>
      <c r="V39" s="28" t="n">
        <v>0</v>
      </c>
      <c r="W39" s="28" t="n">
        <v>879.0599999999999</v>
      </c>
      <c r="X39" s="15" t="n">
        <v>79</v>
      </c>
      <c r="Y39" s="24" t="inlineStr">
        <is>
          <t>TURLEY, TODD</t>
        </is>
      </c>
      <c r="Z39" s="24" t="inlineStr">
        <is>
          <t>ASAP - DEER VALLEY 240</t>
        </is>
      </c>
      <c r="AA39" s="15" t="n"/>
      <c r="AB39" s="17" t="n">
        <v>46171</v>
      </c>
      <c r="AC39" s="17" t="n">
        <v>46182</v>
      </c>
      <c r="AD39" s="24" t="inlineStr">
        <is>
          <t>R2243</t>
        </is>
      </c>
      <c r="AE39" s="24" t="n"/>
      <c r="AF39" s="24" t="n"/>
      <c r="AG39" s="24" t="n"/>
      <c r="AH39" s="35" t="inlineStr">
        <is>
          <t>US!A14 / US!B14</t>
        </is>
      </c>
    </row>
    <row r="40">
      <c r="A40" s="22">
        <f>IF('US'!A15="","",'US'!A15)</f>
        <v/>
      </c>
      <c r="B40" s="23">
        <f>IF('US'!B15="","",'US'!B15)</f>
        <v/>
      </c>
      <c r="C40" s="19" t="n">
        <v>560709048</v>
      </c>
      <c r="D40" s="29" t="inlineStr">
        <is>
          <t>HF330335441</t>
        </is>
      </c>
      <c r="E40" s="30" t="inlineStr">
        <is>
          <t>HealthSpring Medicare Advantage</t>
        </is>
      </c>
      <c r="F40" s="30" t="inlineStr">
        <is>
          <t>HealthSpring Medicare Advantage</t>
        </is>
      </c>
      <c r="G40" s="30" t="inlineStr">
        <is>
          <t>No Payer</t>
        </is>
      </c>
      <c r="H40" s="21" t="n">
        <v>46163</v>
      </c>
      <c r="I40" s="29" t="inlineStr">
        <is>
          <t>93925</t>
        </is>
      </c>
      <c r="J40" s="29" t="inlineStr">
        <is>
          <t>US</t>
        </is>
      </c>
      <c r="K40" s="31">
        <f>H40+M40</f>
        <v/>
      </c>
      <c r="L40" s="32">
        <f>K40-TODAY()</f>
        <v/>
      </c>
      <c r="M40" s="19" t="n">
        <v>90</v>
      </c>
      <c r="N40" s="29" t="inlineStr">
        <is>
          <t>CIGNA / CIGNA MEDICARE</t>
        </is>
      </c>
      <c r="O40" s="30" t="inlineStr"/>
      <c r="P40" s="29" t="n"/>
      <c r="Q40" s="29" t="n"/>
      <c r="R40" s="29" t="n"/>
      <c r="S40" s="19" t="n">
        <v>1</v>
      </c>
      <c r="T40" s="33" t="n">
        <v>1649.2</v>
      </c>
      <c r="U40" s="33" t="n">
        <v>0</v>
      </c>
      <c r="V40" s="33" t="n">
        <v>0</v>
      </c>
      <c r="W40" s="33" t="n">
        <v>1649.2</v>
      </c>
      <c r="X40" s="19" t="n">
        <v>79</v>
      </c>
      <c r="Y40" s="29" t="inlineStr">
        <is>
          <t>TURLEY, TODD</t>
        </is>
      </c>
      <c r="Z40" s="29" t="inlineStr">
        <is>
          <t>ASAP - DEER VALLEY 240</t>
        </is>
      </c>
      <c r="AA40" s="19" t="n"/>
      <c r="AB40" s="21" t="n">
        <v>46171</v>
      </c>
      <c r="AC40" s="21" t="n">
        <v>46182</v>
      </c>
      <c r="AD40" s="29" t="inlineStr">
        <is>
          <t>R2243</t>
        </is>
      </c>
      <c r="AE40" s="29" t="n"/>
      <c r="AF40" s="29" t="n"/>
      <c r="AG40" s="29" t="n"/>
      <c r="AH40" s="36" t="inlineStr">
        <is>
          <t>US!A15 / US!B15</t>
        </is>
      </c>
    </row>
    <row r="41">
      <c r="A41" s="22">
        <f>IF('US'!A16="","",'US'!A16)</f>
        <v/>
      </c>
      <c r="B41" s="23">
        <f>IF('US'!B16="","",'US'!B16)</f>
        <v/>
      </c>
      <c r="C41" s="15" t="n">
        <v>560710074</v>
      </c>
      <c r="D41" s="24" t="inlineStr">
        <is>
          <t>HF556870121</t>
        </is>
      </c>
      <c r="E41" s="25" t="inlineStr">
        <is>
          <t>United Healthcare</t>
        </is>
      </c>
      <c r="F41" s="25" t="inlineStr">
        <is>
          <t>United Healthcare</t>
        </is>
      </c>
      <c r="G41" s="25" t="inlineStr">
        <is>
          <t>No Payer</t>
        </is>
      </c>
      <c r="H41" s="17" t="n">
        <v>46163</v>
      </c>
      <c r="I41" s="24" t="inlineStr">
        <is>
          <t>93923</t>
        </is>
      </c>
      <c r="J41" s="24" t="inlineStr">
        <is>
          <t>US</t>
        </is>
      </c>
      <c r="K41" s="26">
        <f>H41+M41</f>
        <v/>
      </c>
      <c r="L41" s="27">
        <f>K41-TODAY()</f>
        <v/>
      </c>
      <c r="M41" s="15" t="n">
        <v>90</v>
      </c>
      <c r="N41" s="24" t="inlineStr">
        <is>
          <t>UHC COMMERCIAL</t>
        </is>
      </c>
      <c r="O41" s="25" t="inlineStr"/>
      <c r="P41" s="24" t="n"/>
      <c r="Q41" s="24" t="n"/>
      <c r="R41" s="24" t="n"/>
      <c r="S41" s="15" t="n">
        <v>1</v>
      </c>
      <c r="T41" s="28" t="n">
        <v>879.0599999999999</v>
      </c>
      <c r="U41" s="28" t="n">
        <v>0</v>
      </c>
      <c r="V41" s="28" t="n">
        <v>0</v>
      </c>
      <c r="W41" s="28" t="n">
        <v>879.0599999999999</v>
      </c>
      <c r="X41" s="15" t="n">
        <v>79</v>
      </c>
      <c r="Y41" s="24" t="inlineStr">
        <is>
          <t>TURLEY, TODD</t>
        </is>
      </c>
      <c r="Z41" s="24" t="inlineStr">
        <is>
          <t>ASAP - DEER VALLEY 240</t>
        </is>
      </c>
      <c r="AA41" s="15" t="n"/>
      <c r="AB41" s="17" t="n">
        <v>46171</v>
      </c>
      <c r="AC41" s="24" t="n"/>
      <c r="AD41" s="24" t="inlineStr">
        <is>
          <t>R2242</t>
        </is>
      </c>
      <c r="AE41" s="24" t="n"/>
      <c r="AF41" s="24" t="n"/>
      <c r="AG41" s="24" t="n"/>
      <c r="AH41" s="35" t="inlineStr">
        <is>
          <t>US!A16 / US!B16</t>
        </is>
      </c>
    </row>
    <row r="42">
      <c r="A42" s="22">
        <f>IF('US'!A17="","",'US'!A17)</f>
        <v/>
      </c>
      <c r="B42" s="23">
        <f>IF('US'!B17="","",'US'!B17)</f>
        <v/>
      </c>
      <c r="C42" s="19" t="n">
        <v>560710074</v>
      </c>
      <c r="D42" s="29" t="inlineStr">
        <is>
          <t>HF556870121</t>
        </is>
      </c>
      <c r="E42" s="30" t="inlineStr">
        <is>
          <t>United Healthcare</t>
        </is>
      </c>
      <c r="F42" s="30" t="inlineStr">
        <is>
          <t>United Healthcare</t>
        </is>
      </c>
      <c r="G42" s="30" t="inlineStr">
        <is>
          <t>No Payer</t>
        </is>
      </c>
      <c r="H42" s="21" t="n">
        <v>46163</v>
      </c>
      <c r="I42" s="29" t="inlineStr">
        <is>
          <t>93925</t>
        </is>
      </c>
      <c r="J42" s="29" t="inlineStr">
        <is>
          <t>US</t>
        </is>
      </c>
      <c r="K42" s="31">
        <f>H42+M42</f>
        <v/>
      </c>
      <c r="L42" s="32">
        <f>K42-TODAY()</f>
        <v/>
      </c>
      <c r="M42" s="19" t="n">
        <v>90</v>
      </c>
      <c r="N42" s="29" t="inlineStr">
        <is>
          <t>UHC COMMERCIAL</t>
        </is>
      </c>
      <c r="O42" s="30" t="inlineStr"/>
      <c r="P42" s="29" t="n"/>
      <c r="Q42" s="29" t="n"/>
      <c r="R42" s="29" t="n"/>
      <c r="S42" s="19" t="n">
        <v>1</v>
      </c>
      <c r="T42" s="33" t="n">
        <v>1649.2</v>
      </c>
      <c r="U42" s="33" t="n">
        <v>0</v>
      </c>
      <c r="V42" s="33" t="n">
        <v>0</v>
      </c>
      <c r="W42" s="33" t="n">
        <v>1649.2</v>
      </c>
      <c r="X42" s="19" t="n">
        <v>79</v>
      </c>
      <c r="Y42" s="29" t="inlineStr">
        <is>
          <t>TURLEY, TODD</t>
        </is>
      </c>
      <c r="Z42" s="29" t="inlineStr">
        <is>
          <t>ASAP - DEER VALLEY 240</t>
        </is>
      </c>
      <c r="AA42" s="19" t="n"/>
      <c r="AB42" s="21" t="n">
        <v>46171</v>
      </c>
      <c r="AC42" s="29" t="n"/>
      <c r="AD42" s="29" t="inlineStr">
        <is>
          <t>R2242</t>
        </is>
      </c>
      <c r="AE42" s="29" t="n"/>
      <c r="AF42" s="29" t="n"/>
      <c r="AG42" s="29" t="n"/>
      <c r="AH42" s="36" t="inlineStr">
        <is>
          <t>US!A17 / US!B17</t>
        </is>
      </c>
    </row>
    <row r="43">
      <c r="A43" s="22">
        <f>IF('US'!A18="","",'US'!A18)</f>
        <v/>
      </c>
      <c r="B43" s="23">
        <f>IF('US'!B18="","",'US'!B18)</f>
        <v/>
      </c>
      <c r="C43" s="15" t="n">
        <v>560710074</v>
      </c>
      <c r="D43" s="24" t="inlineStr">
        <is>
          <t>HF556870121</t>
        </is>
      </c>
      <c r="E43" s="25" t="inlineStr">
        <is>
          <t>United Healthcare</t>
        </is>
      </c>
      <c r="F43" s="25" t="inlineStr">
        <is>
          <t>United Healthcare</t>
        </is>
      </c>
      <c r="G43" s="25" t="inlineStr">
        <is>
          <t>No Payer</t>
        </is>
      </c>
      <c r="H43" s="17" t="n">
        <v>46163</v>
      </c>
      <c r="I43" s="24" t="inlineStr">
        <is>
          <t>93970</t>
        </is>
      </c>
      <c r="J43" s="24" t="inlineStr">
        <is>
          <t>US</t>
        </is>
      </c>
      <c r="K43" s="26">
        <f>H43+M43</f>
        <v/>
      </c>
      <c r="L43" s="27">
        <f>K43-TODAY()</f>
        <v/>
      </c>
      <c r="M43" s="15" t="n">
        <v>90</v>
      </c>
      <c r="N43" s="24" t="inlineStr">
        <is>
          <t>UHC COMMERCIAL</t>
        </is>
      </c>
      <c r="O43" s="25" t="inlineStr"/>
      <c r="P43" s="24" t="n"/>
      <c r="Q43" s="24" t="n"/>
      <c r="R43" s="24" t="n"/>
      <c r="S43" s="15" t="n">
        <v>1</v>
      </c>
      <c r="T43" s="28" t="n">
        <v>1294.23</v>
      </c>
      <c r="U43" s="28" t="n">
        <v>0</v>
      </c>
      <c r="V43" s="28" t="n">
        <v>0</v>
      </c>
      <c r="W43" s="28" t="n">
        <v>1294.23</v>
      </c>
      <c r="X43" s="15" t="n">
        <v>79</v>
      </c>
      <c r="Y43" s="24" t="inlineStr">
        <is>
          <t>TURLEY, TODD</t>
        </is>
      </c>
      <c r="Z43" s="24" t="inlineStr">
        <is>
          <t>ASAP - DEER VALLEY 240</t>
        </is>
      </c>
      <c r="AA43" s="15" t="n"/>
      <c r="AB43" s="17" t="n">
        <v>46171</v>
      </c>
      <c r="AC43" s="24" t="n"/>
      <c r="AD43" s="24" t="inlineStr">
        <is>
          <t>R2242</t>
        </is>
      </c>
      <c r="AE43" s="24" t="n"/>
      <c r="AF43" s="24" t="n"/>
      <c r="AG43" s="24" t="n"/>
      <c r="AH43" s="35" t="inlineStr">
        <is>
          <t>US!A18 / US!B18</t>
        </is>
      </c>
    </row>
    <row r="44">
      <c r="A44" s="22">
        <f>IF('US'!A19="","",'US'!A19)</f>
        <v/>
      </c>
      <c r="B44" s="23">
        <f>IF('US'!B19="","",'US'!B19)</f>
        <v/>
      </c>
      <c r="C44" s="19" t="n">
        <v>566566596</v>
      </c>
      <c r="D44" s="29" t="inlineStr">
        <is>
          <t>HF452713382</t>
        </is>
      </c>
      <c r="E44" s="30" t="inlineStr">
        <is>
          <t>UnitedHealthcare Community Plan / Arizona Long Term Care</t>
        </is>
      </c>
      <c r="F44" s="30" t="inlineStr">
        <is>
          <t>UnitedHealthcare Community Plan / Arizona Long Term Care</t>
        </is>
      </c>
      <c r="G44" s="30" t="inlineStr">
        <is>
          <t>No Payer</t>
        </is>
      </c>
      <c r="H44" s="21" t="n">
        <v>46163</v>
      </c>
      <c r="I44" s="29" t="inlineStr">
        <is>
          <t>93923</t>
        </is>
      </c>
      <c r="J44" s="29" t="inlineStr">
        <is>
          <t>US</t>
        </is>
      </c>
      <c r="K44" s="31">
        <f>H44+M44</f>
        <v/>
      </c>
      <c r="L44" s="32">
        <f>K44-TODAY()</f>
        <v/>
      </c>
      <c r="M44" s="19" t="n">
        <v>90</v>
      </c>
      <c r="N44" s="29" t="inlineStr">
        <is>
          <t>UHC COMMUNITY</t>
        </is>
      </c>
      <c r="O44" s="30" t="inlineStr"/>
      <c r="P44" s="29" t="n"/>
      <c r="Q44" s="29" t="n"/>
      <c r="R44" s="29" t="n"/>
      <c r="S44" s="19" t="n">
        <v>1</v>
      </c>
      <c r="T44" s="33" t="n">
        <v>879.0599999999999</v>
      </c>
      <c r="U44" s="33" t="n">
        <v>0</v>
      </c>
      <c r="V44" s="33" t="n">
        <v>0</v>
      </c>
      <c r="W44" s="33" t="n">
        <v>879.0599999999999</v>
      </c>
      <c r="X44" s="19" t="n">
        <v>79</v>
      </c>
      <c r="Y44" s="29" t="inlineStr">
        <is>
          <t>TURLEY, TODD</t>
        </is>
      </c>
      <c r="Z44" s="29" t="inlineStr">
        <is>
          <t>ASAP - DEER VALLEY 240</t>
        </is>
      </c>
      <c r="AA44" s="19" t="n"/>
      <c r="AB44" s="21" t="n">
        <v>46171</v>
      </c>
      <c r="AC44" s="21" t="n">
        <v>46182</v>
      </c>
      <c r="AD44" s="29" t="inlineStr">
        <is>
          <t>I872</t>
        </is>
      </c>
      <c r="AE44" s="29" t="inlineStr">
        <is>
          <t>I739</t>
        </is>
      </c>
      <c r="AF44" s="29" t="n"/>
      <c r="AG44" s="29" t="n"/>
      <c r="AH44" s="36" t="inlineStr">
        <is>
          <t>US!A19 / US!B19</t>
        </is>
      </c>
    </row>
    <row r="45">
      <c r="A45" s="22">
        <f>IF('US'!A20="","",'US'!A20)</f>
        <v/>
      </c>
      <c r="B45" s="23">
        <f>IF('US'!B20="","",'US'!B20)</f>
        <v/>
      </c>
      <c r="C45" s="15" t="n">
        <v>566566596</v>
      </c>
      <c r="D45" s="24" t="inlineStr">
        <is>
          <t>HF452713382</t>
        </is>
      </c>
      <c r="E45" s="25" t="inlineStr">
        <is>
          <t>UnitedHealthcare Community Plan / Arizona Long Term Care</t>
        </is>
      </c>
      <c r="F45" s="25" t="inlineStr">
        <is>
          <t>UnitedHealthcare Community Plan / Arizona Long Term Care</t>
        </is>
      </c>
      <c r="G45" s="25" t="inlineStr">
        <is>
          <t>No Payer</t>
        </is>
      </c>
      <c r="H45" s="17" t="n">
        <v>46163</v>
      </c>
      <c r="I45" s="24" t="inlineStr">
        <is>
          <t>93925</t>
        </is>
      </c>
      <c r="J45" s="24" t="inlineStr">
        <is>
          <t>US</t>
        </is>
      </c>
      <c r="K45" s="26">
        <f>H45+M45</f>
        <v/>
      </c>
      <c r="L45" s="27">
        <f>K45-TODAY()</f>
        <v/>
      </c>
      <c r="M45" s="15" t="n">
        <v>90</v>
      </c>
      <c r="N45" s="24" t="inlineStr">
        <is>
          <t>UHC COMMUNITY</t>
        </is>
      </c>
      <c r="O45" s="25" t="inlineStr"/>
      <c r="P45" s="24" t="n"/>
      <c r="Q45" s="24" t="n"/>
      <c r="R45" s="24" t="n"/>
      <c r="S45" s="15" t="n">
        <v>1</v>
      </c>
      <c r="T45" s="28" t="n">
        <v>1649.2</v>
      </c>
      <c r="U45" s="28" t="n">
        <v>0</v>
      </c>
      <c r="V45" s="28" t="n">
        <v>0</v>
      </c>
      <c r="W45" s="28" t="n">
        <v>1649.2</v>
      </c>
      <c r="X45" s="15" t="n">
        <v>79</v>
      </c>
      <c r="Y45" s="24" t="inlineStr">
        <is>
          <t>TURLEY, TODD</t>
        </is>
      </c>
      <c r="Z45" s="24" t="inlineStr">
        <is>
          <t>ASAP - DEER VALLEY 240</t>
        </is>
      </c>
      <c r="AA45" s="15" t="n"/>
      <c r="AB45" s="17" t="n">
        <v>46171</v>
      </c>
      <c r="AC45" s="17" t="n">
        <v>46182</v>
      </c>
      <c r="AD45" s="24" t="inlineStr">
        <is>
          <t>I872</t>
        </is>
      </c>
      <c r="AE45" s="24" t="inlineStr">
        <is>
          <t>I739</t>
        </is>
      </c>
      <c r="AF45" s="24" t="n"/>
      <c r="AG45" s="24" t="n"/>
      <c r="AH45" s="35" t="inlineStr">
        <is>
          <t>US!A20 / US!B20</t>
        </is>
      </c>
    </row>
    <row r="46">
      <c r="A46" s="22">
        <f>IF('US'!A21="","",'US'!A21)</f>
        <v/>
      </c>
      <c r="B46" s="23">
        <f>IF('US'!B21="","",'US'!B21)</f>
        <v/>
      </c>
      <c r="C46" s="19" t="n">
        <v>566566596</v>
      </c>
      <c r="D46" s="29" t="inlineStr">
        <is>
          <t>HF452713382</t>
        </is>
      </c>
      <c r="E46" s="30" t="inlineStr">
        <is>
          <t>UnitedHealthcare Community Plan / Arizona Long Term Care</t>
        </is>
      </c>
      <c r="F46" s="30" t="inlineStr">
        <is>
          <t>UnitedHealthcare Community Plan / Arizona Long Term Care</t>
        </is>
      </c>
      <c r="G46" s="30" t="inlineStr">
        <is>
          <t>No Payer</t>
        </is>
      </c>
      <c r="H46" s="21" t="n">
        <v>46163</v>
      </c>
      <c r="I46" s="29" t="inlineStr">
        <is>
          <t>93970</t>
        </is>
      </c>
      <c r="J46" s="29" t="inlineStr">
        <is>
          <t>US</t>
        </is>
      </c>
      <c r="K46" s="31">
        <f>H46+M46</f>
        <v/>
      </c>
      <c r="L46" s="32">
        <f>K46-TODAY()</f>
        <v/>
      </c>
      <c r="M46" s="19" t="n">
        <v>90</v>
      </c>
      <c r="N46" s="29" t="inlineStr">
        <is>
          <t>UHC COMMUNITY</t>
        </is>
      </c>
      <c r="O46" s="30" t="inlineStr"/>
      <c r="P46" s="29" t="n"/>
      <c r="Q46" s="29" t="n"/>
      <c r="R46" s="29" t="n"/>
      <c r="S46" s="19" t="n">
        <v>1</v>
      </c>
      <c r="T46" s="33" t="n">
        <v>1294.23</v>
      </c>
      <c r="U46" s="33" t="n">
        <v>0</v>
      </c>
      <c r="V46" s="33" t="n">
        <v>0</v>
      </c>
      <c r="W46" s="33" t="n">
        <v>1294.23</v>
      </c>
      <c r="X46" s="19" t="n">
        <v>79</v>
      </c>
      <c r="Y46" s="29" t="inlineStr">
        <is>
          <t>TURLEY, TODD</t>
        </is>
      </c>
      <c r="Z46" s="29" t="inlineStr">
        <is>
          <t>ASAP - DEER VALLEY 240</t>
        </is>
      </c>
      <c r="AA46" s="19" t="n"/>
      <c r="AB46" s="21" t="n">
        <v>46171</v>
      </c>
      <c r="AC46" s="21" t="n">
        <v>46182</v>
      </c>
      <c r="AD46" s="29" t="inlineStr">
        <is>
          <t>I872</t>
        </is>
      </c>
      <c r="AE46" s="29" t="inlineStr">
        <is>
          <t>I739</t>
        </is>
      </c>
      <c r="AF46" s="29" t="n"/>
      <c r="AG46" s="29" t="n"/>
      <c r="AH46" s="36" t="inlineStr">
        <is>
          <t>US!A21 / US!B21</t>
        </is>
      </c>
    </row>
    <row r="47">
      <c r="A47" s="22">
        <f>IF('BH'!A15="","",'BH'!A15)</f>
        <v/>
      </c>
      <c r="B47" s="23">
        <f>IF('BH'!B15="","",'BH'!B15)</f>
        <v/>
      </c>
      <c r="C47" s="15" t="n">
        <v>560027331</v>
      </c>
      <c r="D47" s="24" t="inlineStr">
        <is>
          <t>HF495815066</t>
        </is>
      </c>
      <c r="E47" s="25" t="inlineStr">
        <is>
          <t>United Healthcare</t>
        </is>
      </c>
      <c r="F47" s="25" t="inlineStr">
        <is>
          <t>United Healthcare</t>
        </is>
      </c>
      <c r="G47" s="25" t="inlineStr">
        <is>
          <t>No Payer</t>
        </is>
      </c>
      <c r="H47" s="17" t="n">
        <v>46164</v>
      </c>
      <c r="I47" s="24" t="inlineStr">
        <is>
          <t>99492</t>
        </is>
      </c>
      <c r="J47" s="24" t="inlineStr">
        <is>
          <t>BH</t>
        </is>
      </c>
      <c r="K47" s="26">
        <f>H47+M47</f>
        <v/>
      </c>
      <c r="L47" s="27">
        <f>K47-TODAY()</f>
        <v/>
      </c>
      <c r="M47" s="15" t="n">
        <v>90</v>
      </c>
      <c r="N47" s="24" t="inlineStr">
        <is>
          <t>UHC COMMERCIAL</t>
        </is>
      </c>
      <c r="O47" s="25" t="inlineStr"/>
      <c r="P47" s="24" t="n"/>
      <c r="Q47" s="24" t="n"/>
      <c r="R47" s="24" t="n"/>
      <c r="S47" s="15" t="n">
        <v>1</v>
      </c>
      <c r="T47" s="28" t="n">
        <v>1029.98</v>
      </c>
      <c r="U47" s="28" t="n">
        <v>0</v>
      </c>
      <c r="V47" s="28" t="n">
        <v>0</v>
      </c>
      <c r="W47" s="28" t="n">
        <v>1029.98</v>
      </c>
      <c r="X47" s="15" t="n">
        <v>78</v>
      </c>
      <c r="Y47" s="24" t="inlineStr">
        <is>
          <t>MORALES, DAVID</t>
        </is>
      </c>
      <c r="Z47" s="24" t="inlineStr">
        <is>
          <t>ASAP - Gilbert</t>
        </is>
      </c>
      <c r="AA47" s="15" t="n"/>
      <c r="AB47" s="17" t="n">
        <v>46182</v>
      </c>
      <c r="AC47" s="24" t="n"/>
      <c r="AD47" s="24" t="inlineStr">
        <is>
          <t>F39</t>
        </is>
      </c>
      <c r="AE47" s="24" t="n"/>
      <c r="AF47" s="24" t="n"/>
      <c r="AG47" s="24" t="n"/>
      <c r="AH47" s="35" t="inlineStr">
        <is>
          <t>BH!A15 / BH!B15</t>
        </is>
      </c>
    </row>
    <row r="48">
      <c r="A48" s="22">
        <f>IF('BH'!A16="","",'BH'!A16)</f>
        <v/>
      </c>
      <c r="B48" s="23">
        <f>IF('BH'!B16="","",'BH'!B16)</f>
        <v/>
      </c>
      <c r="C48" s="19" t="n">
        <v>560027331</v>
      </c>
      <c r="D48" s="29" t="inlineStr">
        <is>
          <t>HF495815066</t>
        </is>
      </c>
      <c r="E48" s="30" t="inlineStr">
        <is>
          <t>United Healthcare</t>
        </is>
      </c>
      <c r="F48" s="30" t="inlineStr">
        <is>
          <t>United Healthcare</t>
        </is>
      </c>
      <c r="G48" s="30" t="inlineStr">
        <is>
          <t>No Payer</t>
        </is>
      </c>
      <c r="H48" s="21" t="n">
        <v>46164</v>
      </c>
      <c r="I48" s="29" t="inlineStr">
        <is>
          <t>99494</t>
        </is>
      </c>
      <c r="J48" s="29" t="inlineStr">
        <is>
          <t>BH</t>
        </is>
      </c>
      <c r="K48" s="31">
        <f>H48+M48</f>
        <v/>
      </c>
      <c r="L48" s="32">
        <f>K48-TODAY()</f>
        <v/>
      </c>
      <c r="M48" s="19" t="n">
        <v>90</v>
      </c>
      <c r="N48" s="29" t="inlineStr">
        <is>
          <t>UHC COMMERCIAL</t>
        </is>
      </c>
      <c r="O48" s="30" t="inlineStr"/>
      <c r="P48" s="29" t="n"/>
      <c r="Q48" s="29" t="n"/>
      <c r="R48" s="29" t="n"/>
      <c r="S48" s="19" t="n">
        <v>1</v>
      </c>
      <c r="T48" s="33" t="n">
        <v>396.27</v>
      </c>
      <c r="U48" s="33" t="n">
        <v>0</v>
      </c>
      <c r="V48" s="33" t="n">
        <v>0</v>
      </c>
      <c r="W48" s="33" t="n">
        <v>396.27</v>
      </c>
      <c r="X48" s="19" t="n">
        <v>78</v>
      </c>
      <c r="Y48" s="29" t="inlineStr">
        <is>
          <t>MORALES, DAVID</t>
        </is>
      </c>
      <c r="Z48" s="29" t="inlineStr">
        <is>
          <t>ASAP - Gilbert</t>
        </is>
      </c>
      <c r="AA48" s="19" t="n"/>
      <c r="AB48" s="21" t="n">
        <v>46182</v>
      </c>
      <c r="AC48" s="29" t="n"/>
      <c r="AD48" s="29" t="inlineStr">
        <is>
          <t>F39</t>
        </is>
      </c>
      <c r="AE48" s="29" t="n"/>
      <c r="AF48" s="29" t="n"/>
      <c r="AG48" s="29" t="n"/>
      <c r="AH48" s="36" t="inlineStr">
        <is>
          <t>BH!A16 / BH!B16</t>
        </is>
      </c>
    </row>
    <row r="49">
      <c r="A49" s="22">
        <f>IF('BH'!A17="","",'BH'!A17)</f>
        <v/>
      </c>
      <c r="B49" s="23">
        <f>IF('BH'!B17="","",'BH'!B17)</f>
        <v/>
      </c>
      <c r="C49" s="15" t="n">
        <v>560178463</v>
      </c>
      <c r="D49" s="24" t="inlineStr">
        <is>
          <t>HF528535429</t>
        </is>
      </c>
      <c r="E49" s="25" t="inlineStr">
        <is>
          <t>UnitedHealthcare Community Plan / Arizona Long Term Care</t>
        </is>
      </c>
      <c r="F49" s="25" t="inlineStr">
        <is>
          <t>UnitedHealthcare Community Plan / Arizona Long Term Care</t>
        </is>
      </c>
      <c r="G49" s="25" t="inlineStr">
        <is>
          <t>Mercy Care RBHA</t>
        </is>
      </c>
      <c r="H49" s="17" t="n">
        <v>46164</v>
      </c>
      <c r="I49" s="24" t="inlineStr">
        <is>
          <t>99493</t>
        </is>
      </c>
      <c r="J49" s="24" t="inlineStr">
        <is>
          <t>BH</t>
        </is>
      </c>
      <c r="K49" s="26">
        <f>H49+M49</f>
        <v/>
      </c>
      <c r="L49" s="27">
        <f>K49-TODAY()</f>
        <v/>
      </c>
      <c r="M49" s="15" t="n">
        <v>90</v>
      </c>
      <c r="N49" s="24" t="inlineStr">
        <is>
          <t>UHC COMMUNITY</t>
        </is>
      </c>
      <c r="O49" s="25" t="inlineStr"/>
      <c r="P49" s="24" t="n"/>
      <c r="Q49" s="24" t="n"/>
      <c r="R49" s="24" t="n"/>
      <c r="S49" s="15" t="n">
        <v>1</v>
      </c>
      <c r="T49" s="28" t="n">
        <v>976.64</v>
      </c>
      <c r="U49" s="28" t="n">
        <v>0</v>
      </c>
      <c r="V49" s="28" t="n">
        <v>0</v>
      </c>
      <c r="W49" s="28" t="n">
        <v>976.64</v>
      </c>
      <c r="X49" s="15" t="n">
        <v>78</v>
      </c>
      <c r="Y49" s="24" t="inlineStr">
        <is>
          <t>MEARS, CHAD</t>
        </is>
      </c>
      <c r="Z49" s="24" t="inlineStr">
        <is>
          <t>ASAP - DEER VALLEY</t>
        </is>
      </c>
      <c r="AA49" s="15" t="n"/>
      <c r="AB49" s="17" t="n">
        <v>46181</v>
      </c>
      <c r="AC49" s="17" t="n">
        <v>46189</v>
      </c>
      <c r="AD49" s="24" t="inlineStr">
        <is>
          <t>F331</t>
        </is>
      </c>
      <c r="AE49" s="24" t="inlineStr">
        <is>
          <t>F411</t>
        </is>
      </c>
      <c r="AF49" s="24" t="n"/>
      <c r="AG49" s="24" t="n"/>
      <c r="AH49" s="35" t="inlineStr">
        <is>
          <t>BH!A17 / BH!B17</t>
        </is>
      </c>
    </row>
    <row r="50">
      <c r="A50" s="22">
        <f>IF('BH'!A18="","",'BH'!A18)</f>
        <v/>
      </c>
      <c r="B50" s="23">
        <f>IF('BH'!B18="","",'BH'!B18)</f>
        <v/>
      </c>
      <c r="C50" s="19" t="n">
        <v>560178463</v>
      </c>
      <c r="D50" s="29" t="inlineStr">
        <is>
          <t>HF528535429</t>
        </is>
      </c>
      <c r="E50" s="30" t="inlineStr">
        <is>
          <t>UnitedHealthcare Community Plan / Arizona Long Term Care</t>
        </is>
      </c>
      <c r="F50" s="30" t="inlineStr">
        <is>
          <t>UnitedHealthcare Community Plan / Arizona Long Term Care</t>
        </is>
      </c>
      <c r="G50" s="30" t="inlineStr">
        <is>
          <t>Mercy Care RBHA</t>
        </is>
      </c>
      <c r="H50" s="21" t="n">
        <v>46164</v>
      </c>
      <c r="I50" s="29" t="inlineStr">
        <is>
          <t>99494</t>
        </is>
      </c>
      <c r="J50" s="29" t="inlineStr">
        <is>
          <t>BH</t>
        </is>
      </c>
      <c r="K50" s="31">
        <f>H50+M50</f>
        <v/>
      </c>
      <c r="L50" s="32">
        <f>K50-TODAY()</f>
        <v/>
      </c>
      <c r="M50" s="19" t="n">
        <v>90</v>
      </c>
      <c r="N50" s="29" t="inlineStr">
        <is>
          <t>UHC COMMUNITY</t>
        </is>
      </c>
      <c r="O50" s="30" t="inlineStr"/>
      <c r="P50" s="29" t="n"/>
      <c r="Q50" s="29" t="n"/>
      <c r="R50" s="29" t="n"/>
      <c r="S50" s="19" t="n">
        <v>1</v>
      </c>
      <c r="T50" s="33" t="n">
        <v>396.27</v>
      </c>
      <c r="U50" s="33" t="n">
        <v>0</v>
      </c>
      <c r="V50" s="33" t="n">
        <v>0</v>
      </c>
      <c r="W50" s="33" t="n">
        <v>396.27</v>
      </c>
      <c r="X50" s="19" t="n">
        <v>78</v>
      </c>
      <c r="Y50" s="29" t="inlineStr">
        <is>
          <t>MEARS, CHAD</t>
        </is>
      </c>
      <c r="Z50" s="29" t="inlineStr">
        <is>
          <t>ASAP - DEER VALLEY</t>
        </is>
      </c>
      <c r="AA50" s="19" t="n"/>
      <c r="AB50" s="21" t="n">
        <v>46181</v>
      </c>
      <c r="AC50" s="21" t="n">
        <v>46189</v>
      </c>
      <c r="AD50" s="29" t="inlineStr">
        <is>
          <t>F331</t>
        </is>
      </c>
      <c r="AE50" s="29" t="inlineStr">
        <is>
          <t>F411</t>
        </is>
      </c>
      <c r="AF50" s="29" t="n"/>
      <c r="AG50" s="29" t="n"/>
      <c r="AH50" s="36" t="inlineStr">
        <is>
          <t>BH!A18 / BH!B18</t>
        </is>
      </c>
    </row>
    <row r="51">
      <c r="A51" s="22">
        <f>IF('DME'!A9="","",'DME'!A9)</f>
        <v/>
      </c>
      <c r="B51" s="23">
        <f>IF('DME'!B9="","",'DME'!B9)</f>
        <v/>
      </c>
      <c r="C51" s="15" t="n">
        <v>561851402</v>
      </c>
      <c r="D51" s="24" t="inlineStr">
        <is>
          <t>HF508345961</t>
        </is>
      </c>
      <c r="E51" s="25" t="inlineStr">
        <is>
          <t>Optum Care Medical Network of Arizona, Utah, &amp; Washington (LifePrint)</t>
        </is>
      </c>
      <c r="F51" s="25" t="inlineStr">
        <is>
          <t>Optum Care Medical Network of Arizona, Utah, &amp; Washington (LifePrint)</t>
        </is>
      </c>
      <c r="G51" s="25" t="inlineStr">
        <is>
          <t>No Payer</t>
        </is>
      </c>
      <c r="H51" s="17" t="n">
        <v>46164</v>
      </c>
      <c r="I51" s="24" t="inlineStr">
        <is>
          <t>A6010</t>
        </is>
      </c>
      <c r="J51" s="24" t="inlineStr">
        <is>
          <t>DME</t>
        </is>
      </c>
      <c r="K51" s="26">
        <f>H51+M51</f>
        <v/>
      </c>
      <c r="L51" s="27">
        <f>K51-TODAY()</f>
        <v/>
      </c>
      <c r="M51" s="15" t="n">
        <v>90</v>
      </c>
      <c r="N51" s="24" t="inlineStr">
        <is>
          <t>OPTUM</t>
        </is>
      </c>
      <c r="O51" s="25" t="inlineStr"/>
      <c r="P51" s="24" t="inlineStr">
        <is>
          <t>A1</t>
        </is>
      </c>
      <c r="Q51" s="24" t="n"/>
      <c r="R51" s="24" t="n"/>
      <c r="S51" s="15" t="n">
        <v>20</v>
      </c>
      <c r="T51" s="28" t="n">
        <v>36353.8</v>
      </c>
      <c r="U51" s="28" t="n">
        <v>0</v>
      </c>
      <c r="V51" s="28" t="n">
        <v>0</v>
      </c>
      <c r="W51" s="28" t="n">
        <v>36353.8</v>
      </c>
      <c r="X51" s="15" t="n">
        <v>78</v>
      </c>
      <c r="Y51" s="24" t="inlineStr">
        <is>
          <t>CURRIE, DAVID</t>
        </is>
      </c>
      <c r="Z51" s="24" t="inlineStr">
        <is>
          <t>ASAP - Gilbert</t>
        </is>
      </c>
      <c r="AA51" s="15" t="n"/>
      <c r="AB51" s="17" t="n">
        <v>46183</v>
      </c>
      <c r="AC51" s="17" t="n">
        <v>46194</v>
      </c>
      <c r="AD51" s="24" t="inlineStr">
        <is>
          <t>G894</t>
        </is>
      </c>
      <c r="AE51" s="24" t="inlineStr">
        <is>
          <t>M461</t>
        </is>
      </c>
      <c r="AF51" s="24" t="n"/>
      <c r="AG51" s="24" t="n"/>
      <c r="AH51" s="35" t="inlineStr">
        <is>
          <t>DME!A9 / DME!B9</t>
        </is>
      </c>
    </row>
  </sheetData>
  <autoFilter ref="A4:AH51"/>
  <conditionalFormatting sqref="L5:L51">
    <cfRule type="cellIs" priority="1" operator="lessThanOrEqual" dxfId="0">
      <formula>3</formula>
    </cfRule>
    <cfRule type="cellIs" priority="2" operator="lessThanOrEqual" dxfId="1">
      <formula>7</formula>
    </cfRule>
    <cfRule type="cellIs" priority="3" operator="greaterThan" dxfId="2">
      <formula>7</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2026-08-10T20:51:47Z</dcterms:created>
  <dcterms:modified xsi:type="dcterms:W3CDTF">2026-08-10T20:51:47Z</dcterms:modified>
</cp:coreProperties>
</file>