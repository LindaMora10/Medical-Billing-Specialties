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imely Filing" sheetId="1" state="visible" r:id="rId1"/>
    <sheet name="Summary" sheetId="2" state="visible" r:id="rId2"/>
    <sheet name="Notes &amp; Sources" sheetId="3" state="visible" r:id="rId3"/>
  </sheets>
  <definedNames>
    <definedName name="_xlnm._FilterDatabase" localSheetId="0" hidden="1">'Timely Filing'!$A$4:$G$40</definedName>
    <definedName name="_xlnm.Print_Titles" localSheetId="0">'Timely Filing'!$4:$4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FF1F3864"/>
      <sz val="14"/>
    </font>
    <font>
      <name val="Arial"/>
      <color rgb="FF595959"/>
      <sz val="9"/>
    </font>
    <font>
      <name val="Arial"/>
      <b val="1"/>
      <color rgb="FFFFFFFF"/>
      <sz val="10"/>
    </font>
    <font>
      <name val="Arial"/>
      <b val="1"/>
      <sz val="10"/>
    </font>
    <font>
      <name val="Arial"/>
      <i val="1"/>
      <color rgb="FF595959"/>
      <sz val="10"/>
    </font>
    <font>
      <name val="Arial"/>
      <sz val="10"/>
    </font>
    <font>
      <name val="Arial"/>
      <b val="1"/>
      <color rgb="FF1F3864"/>
      <sz val="10"/>
    </font>
    <font>
      <name val="Arial"/>
      <b val="1"/>
      <color rgb="FF9C0006"/>
      <sz val="10"/>
    </font>
    <font>
      <name val="Arial"/>
      <b val="1"/>
      <color rgb="FF1F3864"/>
      <sz val="11"/>
    </font>
  </fonts>
  <fills count="7">
    <fill>
      <patternFill/>
    </fill>
    <fill>
      <patternFill patternType="gray125"/>
    </fill>
    <fill>
      <patternFill patternType="solid">
        <fgColor rgb="FF1F3864"/>
      </patternFill>
    </fill>
    <fill>
      <patternFill patternType="solid">
        <fgColor rgb="FFFFF2CC"/>
      </patternFill>
    </fill>
    <fill>
      <patternFill patternType="solid">
        <fgColor rgb="FFE2EFDA"/>
      </patternFill>
    </fill>
    <fill>
      <patternFill patternType="solid">
        <fgColor rgb="FFE4DFEC"/>
      </patternFill>
    </fill>
    <fill>
      <patternFill patternType="solid">
        <fgColor rgb="FFDDEBF7"/>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horizontal="center" vertical="top"/>
    </xf>
    <xf numFmtId="0" fontId="8" fillId="5" borderId="1" applyAlignment="1" pivotButton="0" quotePrefix="0" xfId="0">
      <alignment horizontal="center" vertical="top"/>
    </xf>
    <xf numFmtId="0" fontId="6" fillId="6" borderId="1" applyAlignment="1" pivotButton="0" quotePrefix="0" xfId="0">
      <alignment horizontal="center" vertical="top"/>
    </xf>
    <xf numFmtId="0" fontId="7" fillId="6" borderId="1" applyAlignment="1" pivotButton="0" quotePrefix="0" xfId="0">
      <alignment vertical="top" wrapText="1"/>
    </xf>
    <xf numFmtId="0" fontId="9" fillId="0" borderId="0" pivotButton="0" quotePrefix="0" xfId="0"/>
    <xf numFmtId="0" fontId="6" fillId="0" borderId="1" pivotButton="0" quotePrefix="0" xfId="0"/>
    <xf numFmtId="0" fontId="7" fillId="0" borderId="1"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4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46" customWidth="1" min="2" max="2"/>
    <col width="8" customWidth="1" min="3" max="3"/>
    <col width="16" customWidth="1" min="4" max="4"/>
    <col width="20" customWidth="1" min="5" max="5"/>
    <col width="56" customWidth="1" min="6" max="6"/>
    <col width="66" customWidth="1" min="7" max="7"/>
  </cols>
  <sheetData>
    <row r="1" ht="17.35" customHeight="1">
      <c r="A1" s="1" t="inlineStr">
        <is>
          <t>Carrier timely filing limits</t>
        </is>
      </c>
    </row>
    <row r="2" ht="15" customHeight="1">
      <c r="A2" s="2" t="inlineStr">
        <is>
          <t>Days allowed to submit a clean claim, by carrier. Rows shaded amber have no limit on file and need research; rows shaded blue carry more than one limit. See the 'Notes &amp; Sources' tab.</t>
        </is>
      </c>
    </row>
    <row r="4" ht="27.75" customHeight="1">
      <c r="A4" s="3" t="inlineStr">
        <is>
          <t>Carrier</t>
        </is>
      </c>
      <c r="B4" s="3" t="inlineStr">
        <is>
          <t>Timely Filing Limit</t>
        </is>
      </c>
      <c r="C4" s="3" t="inlineStr">
        <is>
          <t>Days</t>
        </is>
      </c>
      <c r="D4" s="3" t="inlineStr">
        <is>
          <t>Basis</t>
        </is>
      </c>
      <c r="E4" s="3" t="inlineStr">
        <is>
          <t>Status</t>
        </is>
      </c>
      <c r="F4" s="3" t="inlineStr">
        <is>
          <t>Likely Payer Name(s) in AR Data</t>
        </is>
      </c>
      <c r="G4" s="3" t="inlineStr">
        <is>
          <t>Notes</t>
        </is>
      </c>
    </row>
    <row r="5">
      <c r="A5" s="4" t="inlineStr">
        <is>
          <t>AARP MA CHOICE / MEDICARE COMPLETE</t>
        </is>
      </c>
      <c r="B5" s="5" t="inlineStr">
        <is>
          <t>Not documented</t>
        </is>
      </c>
      <c r="C5" s="6" t="n"/>
      <c r="D5" s="6" t="inlineStr">
        <is>
          <t>-</t>
        </is>
      </c>
      <c r="E5" s="7" t="inlineStr">
        <is>
          <t>Needs research</t>
        </is>
      </c>
      <c r="F5" s="8" t="inlineStr">
        <is>
          <t>AARP MedicareComplete (SecureHorizons &amp; Oxford Network); AARP United Healthcare</t>
        </is>
      </c>
      <c r="G5" s="8" t="inlineStr">
        <is>
          <t>No limit supplied. Administered by UnitedHealthcare - confirm whether the UHC Medicare Advantage limit (90 days) applies or whether the plan carries its own.</t>
        </is>
      </c>
    </row>
    <row r="6">
      <c r="A6" s="4" t="inlineStr">
        <is>
          <t>AETNA</t>
        </is>
      </c>
      <c r="B6" s="9" t="inlineStr">
        <is>
          <t>120 days per contract</t>
        </is>
      </c>
      <c r="C6" s="6" t="n">
        <v>120</v>
      </c>
      <c r="D6" s="6" t="inlineStr">
        <is>
          <t>Contract</t>
        </is>
      </c>
      <c r="E6" s="10" t="inlineStr">
        <is>
          <t>Confirmed</t>
        </is>
      </c>
      <c r="F6" s="8" t="inlineStr">
        <is>
          <t>Aetna; Aetna Legacy; Aetna Medicare HMO; Aetna Medicare PPO; Aetna Senior Supplemental (AESSI)</t>
        </is>
      </c>
      <c r="G6" s="8" t="inlineStr">
        <is>
          <t>Per contract rather than provider manual, so the limit is specific to our agreement.</t>
        </is>
      </c>
    </row>
    <row r="7">
      <c r="A7" s="4" t="inlineStr">
        <is>
          <t>AHCCCS</t>
        </is>
      </c>
      <c r="B7" s="5" t="inlineStr">
        <is>
          <t>Not documented</t>
        </is>
      </c>
      <c r="C7" s="6" t="n"/>
      <c r="D7" s="6" t="inlineStr">
        <is>
          <t>-</t>
        </is>
      </c>
      <c r="E7" s="7" t="inlineStr">
        <is>
          <t>Needs research</t>
        </is>
      </c>
      <c r="F7" s="8" t="inlineStr">
        <is>
          <t>-</t>
        </is>
      </c>
      <c r="G7" s="8" t="inlineStr">
        <is>
          <t>No limit supplied. Arizona Medicaid fee-for-service. AHCCCS-contracted plans (Mercy Care, Health Choice, Banner University, UHC Community, AZ Complete) are listed separately.</t>
        </is>
      </c>
    </row>
    <row r="8">
      <c r="A8" s="4" t="inlineStr">
        <is>
          <t>AMBETTER</t>
        </is>
      </c>
      <c r="B8" s="9" t="inlineStr">
        <is>
          <t>120 days</t>
        </is>
      </c>
      <c r="C8" s="6" t="n">
        <v>120</v>
      </c>
      <c r="D8" s="6" t="inlineStr">
        <is>
          <t>-</t>
        </is>
      </c>
      <c r="E8" s="10" t="inlineStr">
        <is>
          <t>Confirmed</t>
        </is>
      </c>
      <c r="F8" s="8" t="inlineStr">
        <is>
          <t>AMBETTER</t>
        </is>
      </c>
      <c r="G8" s="8" t="inlineStr">
        <is>
          <t>Centene marketplace product.</t>
        </is>
      </c>
    </row>
    <row r="9">
      <c r="A9" s="4" t="inlineStr">
        <is>
          <t>AMERIGROUP</t>
        </is>
      </c>
      <c r="B9" s="9" t="inlineStr">
        <is>
          <t>365 days</t>
        </is>
      </c>
      <c r="C9" s="6" t="n">
        <v>365</v>
      </c>
      <c r="D9" s="6" t="inlineStr">
        <is>
          <t>-</t>
        </is>
      </c>
      <c r="E9" s="10" t="inlineStr">
        <is>
          <t>Confirmed</t>
        </is>
      </c>
      <c r="F9" s="8" t="inlineStr">
        <is>
          <t>-</t>
        </is>
      </c>
      <c r="G9" s="8" t="inlineStr">
        <is>
          <t>No matching payer name in the 2026-S1 pending file.</t>
        </is>
      </c>
    </row>
    <row r="10">
      <c r="A10" s="4" t="inlineStr">
        <is>
          <t>AZ COMPLETE</t>
        </is>
      </c>
      <c r="B10" s="9" t="inlineStr">
        <is>
          <t>120 days</t>
        </is>
      </c>
      <c r="C10" s="6" t="n">
        <v>120</v>
      </c>
      <c r="D10" s="6" t="inlineStr">
        <is>
          <t>-</t>
        </is>
      </c>
      <c r="E10" s="10" t="inlineStr">
        <is>
          <t>Confirmed</t>
        </is>
      </c>
      <c r="F10" s="8" t="inlineStr">
        <is>
          <t>Arizona Complete Health (Centene)</t>
        </is>
      </c>
      <c r="G10" s="8" t="inlineStr"/>
    </row>
    <row r="11">
      <c r="A11" s="4" t="inlineStr">
        <is>
          <t>AZ PRIORITY CARE</t>
        </is>
      </c>
      <c r="B11" s="9" t="inlineStr">
        <is>
          <t>60 days</t>
        </is>
      </c>
      <c r="C11" s="11" t="n">
        <v>60</v>
      </c>
      <c r="D11" s="6" t="inlineStr">
        <is>
          <t>-</t>
        </is>
      </c>
      <c r="E11" s="10" t="inlineStr">
        <is>
          <t>Confirmed</t>
        </is>
      </c>
      <c r="F11" s="8" t="inlineStr">
        <is>
          <t>Arizona Priority Care Plus</t>
        </is>
      </c>
      <c r="G11" s="8" t="inlineStr">
        <is>
          <t>Shortest limit on this list together with BHN and Devoted - work these denials first.</t>
        </is>
      </c>
    </row>
    <row r="12">
      <c r="A12" s="4" t="inlineStr">
        <is>
          <t>BANNER HEALTH &amp; AETNA</t>
        </is>
      </c>
      <c r="B12" s="9" t="inlineStr">
        <is>
          <t>120 days</t>
        </is>
      </c>
      <c r="C12" s="6" t="n">
        <v>120</v>
      </c>
      <c r="D12" s="6" t="inlineStr">
        <is>
          <t>-</t>
        </is>
      </c>
      <c r="E12" s="10" t="inlineStr">
        <is>
          <t>Confirmed</t>
        </is>
      </c>
      <c r="F12" s="8" t="inlineStr">
        <is>
          <t>Banner Health &amp; Aetna Health Insurance Company; Banner Aetna</t>
        </is>
      </c>
      <c r="G12" s="8" t="inlineStr">
        <is>
          <t>Joint venture product; separate from the Aetna and BHN rows.</t>
        </is>
      </c>
    </row>
    <row r="13">
      <c r="A13" s="4" t="inlineStr">
        <is>
          <t>BANNER HEALTH NETWORK (BHN)</t>
        </is>
      </c>
      <c r="B13" s="9" t="inlineStr">
        <is>
          <t>60 days</t>
        </is>
      </c>
      <c r="C13" s="11" t="n">
        <v>60</v>
      </c>
      <c r="D13" s="6" t="inlineStr">
        <is>
          <t>Provider manual</t>
        </is>
      </c>
      <c r="E13" s="10" t="inlineStr">
        <is>
          <t>Confirmed</t>
        </is>
      </c>
      <c r="F13" s="8" t="inlineStr">
        <is>
          <t>Banner Health Physician Hospital Organization Plan Administration</t>
        </is>
      </c>
      <c r="G13" s="8" t="inlineStr">
        <is>
          <t>Shortest limit on this list together with AZ Priority Care and Devoted.</t>
        </is>
      </c>
    </row>
    <row r="14">
      <c r="A14" s="4" t="inlineStr">
        <is>
          <t>BANNER MEDICARE ADVANTAGE</t>
        </is>
      </c>
      <c r="B14" s="9" t="inlineStr">
        <is>
          <t>120 days</t>
        </is>
      </c>
      <c r="C14" s="6" t="n">
        <v>120</v>
      </c>
      <c r="D14" s="6" t="inlineStr">
        <is>
          <t>Provider manual</t>
        </is>
      </c>
      <c r="E14" s="10" t="inlineStr">
        <is>
          <t>Confirmed</t>
        </is>
      </c>
      <c r="F14" s="8" t="inlineStr">
        <is>
          <t>Banner Medicare Advantage Prime HMO (BMAH)</t>
        </is>
      </c>
      <c r="G14" s="8" t="inlineStr"/>
    </row>
    <row r="15">
      <c r="A15" s="4" t="inlineStr">
        <is>
          <t>BANNER UNIVERSITY MA</t>
        </is>
      </c>
      <c r="B15" s="9" t="inlineStr">
        <is>
          <t>120 days</t>
        </is>
      </c>
      <c r="C15" s="6" t="n">
        <v>120</v>
      </c>
      <c r="D15" s="6" t="inlineStr">
        <is>
          <t>-</t>
        </is>
      </c>
      <c r="E15" s="12" t="inlineStr">
        <is>
          <t>Verify vs contract</t>
        </is>
      </c>
      <c r="F15" s="8" t="inlineStr">
        <is>
          <t>-</t>
        </is>
      </c>
      <c r="G15" s="8" t="inlineStr">
        <is>
          <t>Needs to be verified against the contract.</t>
        </is>
      </c>
    </row>
    <row r="16">
      <c r="A16" s="4" t="inlineStr">
        <is>
          <t>BANNER UNIVERSITY MEDICAID</t>
        </is>
      </c>
      <c r="B16" s="9" t="inlineStr">
        <is>
          <t>120 days</t>
        </is>
      </c>
      <c r="C16" s="6" t="n">
        <v>120</v>
      </c>
      <c r="D16" s="6" t="inlineStr">
        <is>
          <t>-</t>
        </is>
      </c>
      <c r="E16" s="12" t="inlineStr">
        <is>
          <t>Verify vs contract</t>
        </is>
      </c>
      <c r="F16" s="8" t="inlineStr">
        <is>
          <t>Banner University Family Care - Arizona Long Term Care System</t>
        </is>
      </c>
      <c r="G16" s="8" t="inlineStr">
        <is>
          <t>Needs to be verified against the contract.</t>
        </is>
      </c>
    </row>
    <row r="17">
      <c r="A17" s="4" t="inlineStr">
        <is>
          <t>BCBS</t>
        </is>
      </c>
      <c r="B17" s="13" t="inlineStr">
        <is>
          <t>365 days from DOS; 90 days as of 1/1/2026</t>
        </is>
      </c>
      <c r="C17" s="6" t="n">
        <v>90</v>
      </c>
      <c r="D17" s="6" t="inlineStr">
        <is>
          <t>-</t>
        </is>
      </c>
      <c r="E17" s="10" t="inlineStr">
        <is>
          <t>Confirmed</t>
        </is>
      </c>
      <c r="F17" s="8" t="inlineStr">
        <is>
          <t>Blue Cross Blue Shield of Arizona (BCBS AZ); Blue Cross Blue Shield of Arizona</t>
        </is>
      </c>
      <c r="G17" s="8" t="inlineStr">
        <is>
          <t>Limit changed on 1 January 2026. Use 90 days for dates of service on or after 01/01/2026 and 365 days for earlier dates - see the 'Notes &amp; Sources' tab.</t>
        </is>
      </c>
    </row>
    <row r="18">
      <c r="A18" s="4" t="inlineStr">
        <is>
          <t>BCBS REGENCE</t>
        </is>
      </c>
      <c r="B18" s="9" t="inlineStr">
        <is>
          <t>365 days from DOS (90 days as of 2026)</t>
        </is>
      </c>
      <c r="C18" s="6" t="n">
        <v>90</v>
      </c>
      <c r="D18" s="6" t="inlineStr">
        <is>
          <t>-</t>
        </is>
      </c>
      <c r="E18" s="10" t="inlineStr">
        <is>
          <t>Confirmed</t>
        </is>
      </c>
      <c r="F18" s="8" t="inlineStr">
        <is>
          <t>-</t>
        </is>
      </c>
      <c r="G18" s="8" t="inlineStr">
        <is>
          <t>Same 2026 reduction as BCBS. Use 90 days for 2026 dates of service and 365 days for earlier dates.</t>
        </is>
      </c>
    </row>
    <row r="19">
      <c r="A19" s="4" t="inlineStr">
        <is>
          <t>CIGNA / CIGNA MEDICARE</t>
        </is>
      </c>
      <c r="B19" s="9" t="inlineStr">
        <is>
          <t>90 days from DOS</t>
        </is>
      </c>
      <c r="C19" s="6" t="n">
        <v>90</v>
      </c>
      <c r="D19" s="6" t="inlineStr">
        <is>
          <t>-</t>
        </is>
      </c>
      <c r="E19" s="10" t="inlineStr">
        <is>
          <t>Confirmed</t>
        </is>
      </c>
      <c r="F19" s="8" t="inlineStr">
        <is>
          <t>HealthSpring Medicare Advantage; CIGNA HealthSprings; Cigna Medicare Advantage</t>
        </is>
      </c>
      <c r="G19" s="8" t="inlineStr">
        <is>
          <t>Same limit for the commercial and Medicare Advantage products.</t>
        </is>
      </c>
    </row>
    <row r="20">
      <c r="A20" s="4" t="inlineStr">
        <is>
          <t>DEVOTED</t>
        </is>
      </c>
      <c r="B20" s="9" t="inlineStr">
        <is>
          <t>60 days</t>
        </is>
      </c>
      <c r="C20" s="11" t="n">
        <v>60</v>
      </c>
      <c r="D20" s="6" t="inlineStr">
        <is>
          <t>-</t>
        </is>
      </c>
      <c r="E20" s="10" t="inlineStr">
        <is>
          <t>Confirmed</t>
        </is>
      </c>
      <c r="F20" s="8" t="inlineStr">
        <is>
          <t>Devoted Health Plan</t>
        </is>
      </c>
      <c r="G20" s="8" t="inlineStr">
        <is>
          <t>Shortest limit on this list together with AZ Priority Care and BHN.</t>
        </is>
      </c>
    </row>
    <row r="21">
      <c r="A21" s="4" t="inlineStr">
        <is>
          <t>HEALTH CHOICE MEDICAID</t>
        </is>
      </c>
      <c r="B21" s="9" t="inlineStr">
        <is>
          <t>6 months (not primary) or 7 months (primary)</t>
        </is>
      </c>
      <c r="C21" s="6" t="n"/>
      <c r="D21" s="6" t="inlineStr">
        <is>
          <t>Provider manual</t>
        </is>
      </c>
      <c r="E21" s="10" t="inlineStr">
        <is>
          <t>Confirmed</t>
        </is>
      </c>
      <c r="F21" s="8" t="inlineStr">
        <is>
          <t>Health Choice Arizona</t>
        </is>
      </c>
      <c r="G21" s="8" t="inlineStr">
        <is>
          <t>Two limits - 6 months when Health Choice is not the primary payer, 7 months when it is. Stated in months, not days, so count calendar months from the date of service.</t>
        </is>
      </c>
    </row>
    <row r="22">
      <c r="A22" s="4" t="inlineStr">
        <is>
          <t>HEALTH CHOICE PATHWAY (HEALTH CHOICE GENERATIONS)</t>
        </is>
      </c>
      <c r="B22" s="9" t="inlineStr">
        <is>
          <t>6 months</t>
        </is>
      </c>
      <c r="C22" s="6" t="n"/>
      <c r="D22" s="6" t="inlineStr">
        <is>
          <t>Provider manual</t>
        </is>
      </c>
      <c r="E22" s="10" t="inlineStr">
        <is>
          <t>Confirmed</t>
        </is>
      </c>
      <c r="F22" s="8" t="inlineStr">
        <is>
          <t>Health Choice Pathway (Health Choice Generations)</t>
        </is>
      </c>
      <c r="G22" s="8" t="inlineStr">
        <is>
          <t>Stated in months, not days - count 6 calendar months from the date of service (roughly 180-184 days).</t>
        </is>
      </c>
    </row>
    <row r="23">
      <c r="A23" s="4" t="inlineStr">
        <is>
          <t>HUMANA COMMERCIAL</t>
        </is>
      </c>
      <c r="B23" s="13" t="inlineStr">
        <is>
          <t>180 days from DOS (physicians); 90 days from DOS (ancillary providers)</t>
        </is>
      </c>
      <c r="C23" s="6" t="n"/>
      <c r="D23" s="6" t="inlineStr">
        <is>
          <t>-</t>
        </is>
      </c>
      <c r="E23" s="10" t="inlineStr">
        <is>
          <t>Confirmed</t>
        </is>
      </c>
      <c r="F23" s="8" t="inlineStr">
        <is>
          <t>Humana</t>
        </is>
      </c>
      <c r="G23" s="8" t="inlineStr">
        <is>
          <t>Two limits depending on provider type. Confirm which category each rendering provider falls into before relying on 180 days.</t>
        </is>
      </c>
    </row>
    <row r="24">
      <c r="A24" s="4" t="inlineStr">
        <is>
          <t>HUMANA MA</t>
        </is>
      </c>
      <c r="B24" s="13" t="inlineStr">
        <is>
          <t>180 days from DOS (physicians); 90 days from DOS (ancillary providers)</t>
        </is>
      </c>
      <c r="C24" s="6" t="n"/>
      <c r="D24" s="6" t="inlineStr">
        <is>
          <t>-</t>
        </is>
      </c>
      <c r="E24" s="10" t="inlineStr">
        <is>
          <t>Confirmed</t>
        </is>
      </c>
      <c r="F24" s="8" t="inlineStr">
        <is>
          <t>Humana Gold Plus HMO</t>
        </is>
      </c>
      <c r="G24" s="8" t="inlineStr">
        <is>
          <t>Same split as Humana commercial.</t>
        </is>
      </c>
    </row>
    <row r="25">
      <c r="A25" s="4" t="inlineStr">
        <is>
          <t>MEDICA</t>
        </is>
      </c>
      <c r="B25" s="5" t="inlineStr">
        <is>
          <t>Not documented</t>
        </is>
      </c>
      <c r="C25" s="6" t="n"/>
      <c r="D25" s="6" t="inlineStr">
        <is>
          <t>-</t>
        </is>
      </c>
      <c r="E25" s="7" t="inlineStr">
        <is>
          <t>Needs research</t>
        </is>
      </c>
      <c r="F25" s="8" t="inlineStr">
        <is>
          <t>Medica Health Plan Solutions (Mayo Plan - CHI Health)</t>
        </is>
      </c>
      <c r="G25" s="8" t="inlineStr">
        <is>
          <t>No limit supplied.</t>
        </is>
      </c>
    </row>
    <row r="26">
      <c r="A26" s="4" t="inlineStr">
        <is>
          <t>MEDICARE</t>
        </is>
      </c>
      <c r="B26" s="9" t="inlineStr">
        <is>
          <t>1 year</t>
        </is>
      </c>
      <c r="C26" s="6" t="n">
        <v>365</v>
      </c>
      <c r="D26" s="6" t="inlineStr">
        <is>
          <t>Statute</t>
        </is>
      </c>
      <c r="E26" s="10" t="inlineStr">
        <is>
          <t>Confirmed</t>
        </is>
      </c>
      <c r="F26" s="8" t="inlineStr">
        <is>
          <t>Medicare Part B Arizona *; DME Region D</t>
        </is>
      </c>
      <c r="G26" s="8" t="inlineStr">
        <is>
          <t>One calendar year from the date of service, set by statute rather than by contract. Largest payer in the 2026-S1 pending file.</t>
        </is>
      </c>
    </row>
    <row r="27">
      <c r="A27" s="4" t="inlineStr">
        <is>
          <t>MERCY CARE ADVANTAGE</t>
        </is>
      </c>
      <c r="B27" s="5" t="inlineStr">
        <is>
          <t>Not documented</t>
        </is>
      </c>
      <c r="C27" s="6" t="n"/>
      <c r="D27" s="6" t="inlineStr">
        <is>
          <t>-</t>
        </is>
      </c>
      <c r="E27" s="7" t="inlineStr">
        <is>
          <t>Needs research</t>
        </is>
      </c>
      <c r="F27" s="8" t="inlineStr">
        <is>
          <t>Mercy Care Health Plan Advantage (AHCCCS)</t>
        </is>
      </c>
      <c r="G27" s="8" t="inlineStr">
        <is>
          <t>No limit supplied. The Mercy Care Medicaid limit (180 days) is not assumed to carry over to the Advantage product.</t>
        </is>
      </c>
    </row>
    <row r="28">
      <c r="A28" s="4" t="inlineStr">
        <is>
          <t>MERCY CARE MEDICAID</t>
        </is>
      </c>
      <c r="B28" s="9" t="inlineStr">
        <is>
          <t>180 days</t>
        </is>
      </c>
      <c r="C28" s="6" t="n">
        <v>180</v>
      </c>
      <c r="D28" s="6" t="inlineStr">
        <is>
          <t>-</t>
        </is>
      </c>
      <c r="E28" s="10" t="inlineStr">
        <is>
          <t>Confirmed</t>
        </is>
      </c>
      <c r="F28" s="8" t="inlineStr">
        <is>
          <t>Mercy Care Plan (AHCCCS) - Complete Care &amp; Long Term Care (LTC); Mercy Care RBHA</t>
        </is>
      </c>
      <c r="G28" s="8" t="inlineStr"/>
    </row>
    <row r="29">
      <c r="A29" s="4" t="inlineStr">
        <is>
          <t>OPTUM</t>
        </is>
      </c>
      <c r="B29" s="9" t="inlineStr">
        <is>
          <t>90 days</t>
        </is>
      </c>
      <c r="C29" s="6" t="n">
        <v>90</v>
      </c>
      <c r="D29" s="6" t="inlineStr">
        <is>
          <t>-</t>
        </is>
      </c>
      <c r="E29" s="10" t="inlineStr">
        <is>
          <t>Confirmed</t>
        </is>
      </c>
      <c r="F29" s="8" t="inlineStr">
        <is>
          <t>Optum Care Medical Network of Arizona, Utah, &amp; Washington (LifePrint)</t>
        </is>
      </c>
      <c r="G29" s="8" t="inlineStr"/>
    </row>
    <row r="30">
      <c r="A30" s="4" t="inlineStr">
        <is>
          <t>OSCAR HEALTH</t>
        </is>
      </c>
      <c r="B30" s="9" t="inlineStr">
        <is>
          <t>180 days</t>
        </is>
      </c>
      <c r="C30" s="6" t="n">
        <v>180</v>
      </c>
      <c r="D30" s="6" t="inlineStr">
        <is>
          <t>Provider manual</t>
        </is>
      </c>
      <c r="E30" s="10" t="inlineStr">
        <is>
          <t>Confirmed</t>
        </is>
      </c>
      <c r="F30" s="8" t="inlineStr">
        <is>
          <t>Oscar Health</t>
        </is>
      </c>
      <c r="G30" s="8" t="inlineStr"/>
    </row>
    <row r="31">
      <c r="A31" s="4" t="inlineStr">
        <is>
          <t>REDIRECT HEALTH</t>
        </is>
      </c>
      <c r="B31" s="5" t="inlineStr">
        <is>
          <t>Not documented</t>
        </is>
      </c>
      <c r="C31" s="6" t="n"/>
      <c r="D31" s="6" t="inlineStr">
        <is>
          <t>-</t>
        </is>
      </c>
      <c r="E31" s="7" t="inlineStr">
        <is>
          <t>Needs research</t>
        </is>
      </c>
      <c r="F31" s="8" t="inlineStr">
        <is>
          <t>-</t>
        </is>
      </c>
      <c r="G31" s="8" t="inlineStr">
        <is>
          <t>No limit supplied.</t>
        </is>
      </c>
    </row>
    <row r="32">
      <c r="A32" s="4" t="inlineStr">
        <is>
          <t>TRICARE EAST</t>
        </is>
      </c>
      <c r="B32" s="5" t="inlineStr">
        <is>
          <t>Not documented</t>
        </is>
      </c>
      <c r="C32" s="6" t="n"/>
      <c r="D32" s="6" t="inlineStr">
        <is>
          <t>-</t>
        </is>
      </c>
      <c r="E32" s="7" t="inlineStr">
        <is>
          <t>Needs research</t>
        </is>
      </c>
      <c r="F32" s="8" t="inlineStr">
        <is>
          <t>-</t>
        </is>
      </c>
      <c r="G32" s="8" t="inlineStr">
        <is>
          <t>No limit supplied. Note the pending file shows Tricare West and Tricare for Life, not Tricare East - confirm which region we actually bill.</t>
        </is>
      </c>
    </row>
    <row r="33">
      <c r="A33" s="4" t="inlineStr">
        <is>
          <t>TRIWEST</t>
        </is>
      </c>
      <c r="B33" s="9" t="inlineStr">
        <is>
          <t>120 days</t>
        </is>
      </c>
      <c r="C33" s="6" t="n">
        <v>120</v>
      </c>
      <c r="D33" s="6" t="inlineStr">
        <is>
          <t>-</t>
        </is>
      </c>
      <c r="E33" s="10" t="inlineStr">
        <is>
          <t>Confirmed</t>
        </is>
      </c>
      <c r="F33" s="8" t="inlineStr">
        <is>
          <t>TRIWEST VA CCN CLAIMS</t>
        </is>
      </c>
      <c r="G33" s="8" t="inlineStr">
        <is>
          <t>TriWest administers VA Community Care Network Region 4; claims post under the same payer name as the VA CCN row below, so check which limit the claim was billed under.</t>
        </is>
      </c>
    </row>
    <row r="34">
      <c r="A34" s="4" t="inlineStr">
        <is>
          <t>UHC COMMERCIAL</t>
        </is>
      </c>
      <c r="B34" s="9" t="inlineStr">
        <is>
          <t>90 days</t>
        </is>
      </c>
      <c r="C34" s="6" t="n">
        <v>90</v>
      </c>
      <c r="D34" s="6" t="inlineStr">
        <is>
          <t>-</t>
        </is>
      </c>
      <c r="E34" s="10" t="inlineStr">
        <is>
          <t>Confirmed</t>
        </is>
      </c>
      <c r="F34" s="8" t="inlineStr">
        <is>
          <t>United Healthcare; Surest (A United Healthcare Company - Formerly BIND)</t>
        </is>
      </c>
      <c r="G34" s="8" t="inlineStr"/>
    </row>
    <row r="35">
      <c r="A35" s="4" t="inlineStr">
        <is>
          <t>UHC COMMUNITY</t>
        </is>
      </c>
      <c r="B35" s="9" t="inlineStr">
        <is>
          <t>90 days</t>
        </is>
      </c>
      <c r="C35" s="6" t="n">
        <v>90</v>
      </c>
      <c r="D35" s="6" t="inlineStr">
        <is>
          <t>Provider manual</t>
        </is>
      </c>
      <c r="E35" s="10" t="inlineStr">
        <is>
          <t>Confirmed</t>
        </is>
      </c>
      <c r="F35" s="8" t="inlineStr">
        <is>
          <t>UnitedHealthcare Community Plan / Arizona Long Term Care</t>
        </is>
      </c>
      <c r="G35" s="8" t="inlineStr">
        <is>
          <t>AHCCCS product. Third largest payer in the 2026-S1 pending file with one of the shorter limits.</t>
        </is>
      </c>
    </row>
    <row r="36">
      <c r="A36" s="4" t="inlineStr">
        <is>
          <t>UHC DUAL COMPLETE</t>
        </is>
      </c>
      <c r="B36" s="9" t="inlineStr">
        <is>
          <t>365 days</t>
        </is>
      </c>
      <c r="C36" s="6" t="n">
        <v>365</v>
      </c>
      <c r="D36" s="6" t="inlineStr">
        <is>
          <t>-</t>
        </is>
      </c>
      <c r="E36" s="10" t="inlineStr">
        <is>
          <t>Confirmed</t>
        </is>
      </c>
      <c r="F36" s="8" t="inlineStr">
        <is>
          <t>United HealthCare Dual Complete</t>
        </is>
      </c>
      <c r="G36" s="8" t="inlineStr">
        <is>
          <t>Much longer than the other UnitedHealthcare products - do not apply the 90 day limit here.</t>
        </is>
      </c>
    </row>
    <row r="37">
      <c r="A37" s="4" t="inlineStr">
        <is>
          <t>UHC MA</t>
        </is>
      </c>
      <c r="B37" s="9" t="inlineStr">
        <is>
          <t>90 days</t>
        </is>
      </c>
      <c r="C37" s="6" t="n">
        <v>90</v>
      </c>
      <c r="D37" s="6" t="inlineStr">
        <is>
          <t>-</t>
        </is>
      </c>
      <c r="E37" s="10" t="inlineStr">
        <is>
          <t>Confirmed</t>
        </is>
      </c>
      <c r="F37" s="8" t="inlineStr">
        <is>
          <t>UHC Group Medicare Advantage</t>
        </is>
      </c>
      <c r="G37" s="8" t="inlineStr"/>
    </row>
    <row r="38">
      <c r="A38" s="4" t="inlineStr">
        <is>
          <t>UMR / WAUSAU</t>
        </is>
      </c>
      <c r="B38" s="5" t="inlineStr">
        <is>
          <t>Not documented</t>
        </is>
      </c>
      <c r="C38" s="6" t="n"/>
      <c r="D38" s="6" t="inlineStr">
        <is>
          <t>-</t>
        </is>
      </c>
      <c r="E38" s="7" t="inlineStr">
        <is>
          <t>Needs research</t>
        </is>
      </c>
      <c r="F38" s="8" t="inlineStr">
        <is>
          <t>UMR Wausau / UHIS</t>
        </is>
      </c>
      <c r="G38" s="8" t="inlineStr">
        <is>
          <t>No limit supplied. Third party administrator, so the limit is usually set by the underlying plan document rather than a single UMR policy.</t>
        </is>
      </c>
    </row>
    <row r="39">
      <c r="A39" s="4" t="inlineStr">
        <is>
          <t>VETERANS ADMIN (VA CCN)</t>
        </is>
      </c>
      <c r="B39" s="9" t="inlineStr">
        <is>
          <t>180 days</t>
        </is>
      </c>
      <c r="C39" s="6" t="n">
        <v>180</v>
      </c>
      <c r="D39" s="6" t="inlineStr">
        <is>
          <t>-</t>
        </is>
      </c>
      <c r="E39" s="10" t="inlineStr">
        <is>
          <t>Confirmed</t>
        </is>
      </c>
      <c r="F39" s="8" t="inlineStr">
        <is>
          <t>TRIWEST VA CCN CLAIMS</t>
        </is>
      </c>
      <c r="G39" s="8" t="inlineStr">
        <is>
          <t>Community Care Network claims. Shares a payer name with the TriWest row, which carries a shorter 120 day limit - identify the correct programme before relying on 180 days.</t>
        </is>
      </c>
    </row>
    <row r="40">
      <c r="A40" s="4" t="inlineStr">
        <is>
          <t>WELLCARE BY ALLWELL</t>
        </is>
      </c>
      <c r="B40" s="9" t="inlineStr">
        <is>
          <t>95 days</t>
        </is>
      </c>
      <c r="C40" s="6" t="n">
        <v>95</v>
      </c>
      <c r="D40" s="6" t="inlineStr">
        <is>
          <t>-</t>
        </is>
      </c>
      <c r="E40" s="10" t="inlineStr">
        <is>
          <t>Confirmed</t>
        </is>
      </c>
      <c r="F40" s="8" t="inlineStr">
        <is>
          <t>Allwell - All States (Centene)</t>
        </is>
      </c>
      <c r="G40" s="8" t="inlineStr"/>
    </row>
  </sheetData>
  <autoFilter ref="A4:G40"/>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44" customWidth="1" min="1" max="1"/>
    <col width="14" customWidth="1" min="2" max="2"/>
  </cols>
  <sheetData>
    <row r="1" ht="17.35" customHeight="1">
      <c r="A1" s="1" t="inlineStr">
        <is>
          <t>Summary</t>
        </is>
      </c>
    </row>
    <row r="2">
      <c r="A2" s="2" t="inlineStr">
        <is>
          <t>Counts are live formulas over the 'Timely Filing' tab, so they update as rows are added or limits are filled in.</t>
        </is>
      </c>
    </row>
    <row r="4">
      <c r="A4" s="14" t="inlineStr">
        <is>
          <t>Carriers by status</t>
        </is>
      </c>
    </row>
    <row r="5">
      <c r="A5" s="15" t="inlineStr">
        <is>
          <t>Carriers on file</t>
        </is>
      </c>
      <c r="B5" s="16">
        <f>COUNTA('Timely Filing'!$A$5:$A$40)</f>
        <v/>
      </c>
    </row>
    <row r="6">
      <c r="A6" s="15" t="inlineStr">
        <is>
          <t>Limit confirmed</t>
        </is>
      </c>
      <c r="B6" s="16">
        <f>COUNTIF('Timely Filing'!$E$5:$E$40,"Confirmed")</f>
        <v/>
      </c>
    </row>
    <row r="7">
      <c r="A7" s="15" t="inlineStr">
        <is>
          <t>Limit to verify against contract</t>
        </is>
      </c>
      <c r="B7" s="16">
        <f>COUNTIF('Timely Filing'!$E$5:$E$40,"Verify vs contract")</f>
        <v/>
      </c>
    </row>
    <row r="8">
      <c r="A8" s="15" t="inlineStr">
        <is>
          <t>No limit on file - needs research</t>
        </is>
      </c>
      <c r="B8" s="16">
        <f>COUNTIF('Timely Filing'!$E$5:$E$40,"Needs research")</f>
        <v/>
      </c>
    </row>
    <row r="10">
      <c r="A10" s="14" t="inlineStr">
        <is>
          <t>Carriers by limit</t>
        </is>
      </c>
    </row>
    <row r="11">
      <c r="A11" s="15" t="inlineStr">
        <is>
          <t>60 days</t>
        </is>
      </c>
      <c r="B11" s="16">
        <f>COUNTIF('Timely Filing'!$C$5:$C$40,60)</f>
        <v/>
      </c>
    </row>
    <row r="12">
      <c r="A12" s="15" t="inlineStr">
        <is>
          <t>90 days</t>
        </is>
      </c>
      <c r="B12" s="16">
        <f>COUNTIF('Timely Filing'!$C$5:$C$40,90)</f>
        <v/>
      </c>
    </row>
    <row r="13">
      <c r="A13" s="15" t="inlineStr">
        <is>
          <t>95 days</t>
        </is>
      </c>
      <c r="B13" s="16">
        <f>COUNTIF('Timely Filing'!$C$5:$C$40,95)</f>
        <v/>
      </c>
    </row>
    <row r="14">
      <c r="A14" s="15" t="inlineStr">
        <is>
          <t>120 days</t>
        </is>
      </c>
      <c r="B14" s="16">
        <f>COUNTIF('Timely Filing'!$C$5:$C$40,120)</f>
        <v/>
      </c>
    </row>
    <row r="15">
      <c r="A15" s="15" t="inlineStr">
        <is>
          <t>180 days</t>
        </is>
      </c>
      <c r="B15" s="16">
        <f>COUNTIF('Timely Filing'!$C$5:$C$40,180)</f>
        <v/>
      </c>
    </row>
    <row r="16">
      <c r="A16" s="15" t="inlineStr">
        <is>
          <t>365 days / 1 year</t>
        </is>
      </c>
      <c r="B16" s="16">
        <f>COUNTIF('Timely Filing'!$C$5:$C$40,365)</f>
        <v/>
      </c>
    </row>
    <row r="17">
      <c r="A17" s="15" t="inlineStr">
        <is>
          <t>Stated in months or split by provider type</t>
        </is>
      </c>
      <c r="B17" s="16">
        <f>COUNTBLANK('Timely Filing'!$C$5:$C$40)-COUNTIF('Timely Filing'!$E$5:$E$40,"Needs research")</f>
        <v/>
      </c>
    </row>
    <row r="19">
      <c r="A19" s="14" t="inlineStr">
        <is>
          <t>Risk view</t>
        </is>
      </c>
    </row>
    <row r="20">
      <c r="A20" s="15" t="inlineStr">
        <is>
          <t>Carriers at 90 days or less</t>
        </is>
      </c>
      <c r="B20" s="16">
        <f>COUNTIFS('Timely Filing'!$C$5:$C$40,"&lt;=90",'Timely Filing'!$C$5:$C$40,"&gt;0")</f>
        <v/>
      </c>
    </row>
    <row r="21">
      <c r="A21" s="15" t="inlineStr">
        <is>
          <t>Shortest limit on file (days)</t>
        </is>
      </c>
      <c r="B21" s="16">
        <f>MIN('Timely Filing'!$C$5:$C$40)</f>
        <v/>
      </c>
    </row>
    <row r="22">
      <c r="A22" s="15" t="inlineStr">
        <is>
          <t>Longest limit on file (days)</t>
        </is>
      </c>
      <c r="B22" s="16">
        <f>MAX('Timely Filing'!$C$5:$C$40)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28" customWidth="1" min="1" max="1"/>
  </cols>
  <sheetData>
    <row r="1">
      <c r="A1" s="1" t="inlineStr">
        <is>
          <t>Notes, assumptions and sources</t>
        </is>
      </c>
    </row>
    <row r="2">
      <c r="A2" s="17" t="n"/>
    </row>
    <row r="3">
      <c r="A3" s="14" t="inlineStr">
        <is>
          <t>How to use this workbook</t>
        </is>
      </c>
    </row>
    <row r="4">
      <c r="A4" s="17" t="inlineStr">
        <is>
          <t>'Timely Filing' holds one row per carrier. The header row has an AutoFilter - filter column E on 'Needs research' to see the carriers with no limit on file, or sort column C ascending to work the shortest windows first.</t>
        </is>
      </c>
    </row>
    <row r="5">
      <c r="A5" s="17" t="inlineStr">
        <is>
          <t>Column B is the limit exactly as supplied by the practice. Column C restates it as a single number of days so it can be sorted and used in deadline formulas. Column C is deliberately left blank where a single number would be misleading - carriers whose limit is stated in months, carriers with a different limit by provider type, and carriers with nothing on file.</t>
        </is>
      </c>
    </row>
    <row r="6">
      <c r="A6" s="17" t="inlineStr">
        <is>
          <t>To work out a deadline, add column C to the date of service. For example a 90 day carrier with a 01/19/2026 date of service must have a clean claim in by 04/19/2026.</t>
        </is>
      </c>
    </row>
    <row r="7">
      <c r="A7" s="17" t="inlineStr">
        <is>
          <t>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is>
      </c>
    </row>
    <row r="8">
      <c r="A8" s="17" t="inlineStr">
        <is>
          <t>To add a carrier: insert a row on 'Timely Filing' and fill columns A-G. The counts on 'Summary' pick it up automatically as long as the row sits inside the existing range.</t>
        </is>
      </c>
    </row>
    <row r="9">
      <c r="A9" s="17" t="n"/>
    </row>
    <row r="10">
      <c r="A10" s="14" t="inlineStr">
        <is>
          <t>Carriers with no limit on file</t>
        </is>
      </c>
    </row>
    <row r="11">
      <c r="A11" s="17" t="inlineStr">
        <is>
          <t>Seven carriers were supplied without a limit and are shaded amber: AARP MA Choice / Medicare Complete, AHCCCS, Medica, Mercy Care Advantage, Redirect Health, Tricare East and UMR / Wausau. Nothing has been assumed for these - the limit needs to come from the contract or the current provider manual before claims are worked against it.</t>
        </is>
      </c>
    </row>
    <row r="12">
      <c r="A12" s="17" t="inlineStr">
        <is>
          <t>Related products are not treated as interchangeable. Mercy Care Medicaid is on file at 180 days but Mercy Care Advantage is a separate product and is left blank. Likewise AARP Medicare Complete is administered by UnitedHealthcare, but the UHC Medicare Advantage limit of 90 days has not been copied across.</t>
        </is>
      </c>
    </row>
    <row r="13">
      <c r="A13" s="17" t="n"/>
    </row>
    <row r="14">
      <c r="A14" s="14" t="inlineStr">
        <is>
          <t>Carriers with more than one limit</t>
        </is>
      </c>
    </row>
    <row r="15">
      <c r="A15" s="17" t="inlineStr">
        <is>
          <t>Health Choice Medicaid - 6 months when Health Choice is not the primary payer, 7 months when it is (provider manual).</t>
        </is>
      </c>
    </row>
    <row r="16">
      <c r="A16" s="17" t="inlineStr">
        <is>
          <t>Humana Commercial and Humana MA - 180 days from date of service for physicians, 90 days for ancillary providers. The provider category drives the deadline, so check it before assuming the longer window.</t>
        </is>
      </c>
    </row>
    <row r="17">
      <c r="A17" s="17" t="inlineStr">
        <is>
          <t>Health Choice Medicaid and Health Choice Pathway are stated in months rather than days. Count calendar months from the date of service rather than converting to a fixed number of days.</t>
        </is>
      </c>
    </row>
    <row r="18">
      <c r="A18" s="17" t="n"/>
    </row>
    <row r="19">
      <c r="A19" s="14" t="inlineStr">
        <is>
          <t>2026 changes</t>
        </is>
      </c>
    </row>
    <row r="20">
      <c r="A20" s="17" t="inlineStr">
        <is>
          <t>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is>
      </c>
    </row>
    <row r="21">
      <c r="A21" s="17" t="inlineStr">
        <is>
          <t>This is the single largest risk on the list. BCBS of Arizona is the second largest payer by volume in the 2026-S1 pending file and the window has shrunk to a quarter of what it was.</t>
        </is>
      </c>
    </row>
    <row r="22">
      <c r="A22" s="17" t="n"/>
    </row>
    <row r="23">
      <c r="A23" s="14" t="inlineStr">
        <is>
          <t>Limits to verify</t>
        </is>
      </c>
    </row>
    <row r="24">
      <c r="A24" s="17" t="inlineStr">
        <is>
          <t>Banner University MA and Banner University Medicaid are both recorded at 120 days but were flagged by the practice as needing verification against the contract. They are marked 'Verify vs contract' in column E.</t>
        </is>
      </c>
    </row>
    <row r="25">
      <c r="A25" s="17" t="inlineStr">
        <is>
          <t>Aetna is recorded as 120 days per contract, so the figure is specific to our agreement rather than a published policy and will not necessarily match another practice's Aetna limit.</t>
        </is>
      </c>
    </row>
    <row r="26">
      <c r="A26" s="17" t="inlineStr">
        <is>
          <t>TriWest (120 days) and Veterans Admin / VA CCN (180 days) both post under the payer name 'TRIWEST VA CCN CLAIMS' in the AR data. TriWest administers VA Community Care Network Region 4, so identify which programme a claim belongs to before relying on the longer window.</t>
        </is>
      </c>
    </row>
    <row r="27">
      <c r="A27" s="17" t="n"/>
    </row>
    <row r="28">
      <c r="A28" s="14" t="inlineStr">
        <is>
          <t>Sources and caveats</t>
        </is>
      </c>
    </row>
    <row r="29">
      <c r="A29" s="17" t="inlineStr">
        <is>
          <t>Limits marked 'Provider manual' in column D come from the carrier's published provider manual. Limits marked 'Contract' come from our executed agreement. 'Statute' applies to Medicare, whose one year limit is set in law rather than by contract.</t>
        </is>
      </c>
    </row>
    <row r="30">
      <c r="A30" s="17" t="inlineStr">
        <is>
          <t>Timely filing limits change, and a contracted limit can differ from the carrier's published default. Where a contract and a provider manual disagree, the contract governs. Re-confirm the limit before writing off a claim as untimely.</t>
        </is>
      </c>
    </row>
    <row r="31">
      <c r="A31" s="17" t="inlineStr">
        <is>
          <t>Limits are counted from the date of service unless the carrier states otherwise. Secondary claims are commonly counted from the primary carrier's remittance date instead - that is not captured here and should be checked per carrier.</t>
        </is>
      </c>
    </row>
    <row r="32">
      <c r="A32" s="17" t="n"/>
    </row>
    <row r="33">
      <c r="A33" s="17" t="inlineStr">
        <is>
          <t>Compiled 8 August 2026 from the carrier list supplied by the practice. No claim, patient or payment data is included in this workbook.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2026-08-09T03:22:25Z</dcterms:created>
  <dcterms:modified xsi:type="dcterms:W3CDTF">2026-08-09T03:22:25Z</dcterms:modified>
</cp:coreProperties>
</file>