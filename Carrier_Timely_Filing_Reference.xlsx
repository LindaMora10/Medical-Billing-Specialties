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<sst xmlns="http://schemas.openxmlformats.org/spreadsheetml/2006/main" count="572" uniqueCount="318">
  <si>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</si>
  <si>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</si>
  <si>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</si>
  <si>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</si>
  <si>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</si>
  <si>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</si>
  <si>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</si>
  <si>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</si>
  <si>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</si>
  <si>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</si>
  <si>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</si>
  <si>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</si>
  <si>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</si>
  <si>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</si>
  <si>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</si>
  <si>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</si>
  <si>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</si>
  <si>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</si>
  <si>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</si>
  <si>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Not documented</t>
  </si>
  <si>
    <t xml:space="preserve">-</t>
  </si>
  <si>
    <t xml:space="preserve">Needs research</t>
  </si>
  <si>
    <t xml:space="preserve">180 calendar days from the original remittance date. The corrected claim must also fall inside the filing window in the agreement counted from the date of service, so whichever window closes first governs. Include every originally billed line, not just the line being corrected</t>
  </si>
  <si>
    <t xml:space="preserve">Processed date</t>
  </si>
  <si>
    <t xml:space="preserve">Confirmed</t>
  </si>
  <si>
    <t xml:space="preserve">12 months from the EOB / PRA to complete reconsideration then appeal (contracted). Non-contracted Medicare Advantage: 120 days from the original claim determination</t>
  </si>
  <si>
    <t xml:space="preserve">Verify vs contract</t>
  </si>
  <si>
    <t xml:space="preserve">UnitedHealthcare - Pre- and post-service appeals and reconsiderations (uhcprovider.com/en/claims-payments-billing/appeals.html); Medicare Advantage non-contracted care provider dispute and appeal rights (uhcprovider.com)</t>
  </si>
  <si>
    <t xml:space="preserve">AARP MedicareComplete (SecureHorizons &amp; Oxford Network); AARP United Healthcare</t>
  </si>
  <si>
    <t xml:space="preserve">No limit supplied. Administered by UnitedHealthcare - confirm whether the UHC Medicare Advantage limit (90 days) applies or whether the plan carries its own.</t>
  </si>
  <si>
    <t xml:space="preserve">AETNA</t>
  </si>
  <si>
    <t xml:space="preserve">120 days per contract</t>
  </si>
  <si>
    <t xml:space="preserve">Contract</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</si>
  <si>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</si>
  <si>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</si>
  <si>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</si>
  <si>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</si>
  <si>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</si>
  <si>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</si>
  <si>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6 months from the date of service</t>
  </si>
  <si>
    <t xml:space="preserve">Provider manual</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</si>
  <si>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</si>
  <si>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</si>
  <si>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</si>
  <si>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</si>
  <si>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Arizona Medicaid fee for service. An initial claim must be received within 6 months of the date of service, except where retro-eligibility applies; claims received later are denied. Secondary claims must meet the same 6 month test. The limit is stated in months - column C carries 180 days so the row sorts and calculates, but count 6 calendar months from the date of service for the real deadline.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</si>
  <si>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</si>
  <si>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</si>
  <si>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</si>
  <si>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</si>
  <si>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</si>
  <si>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</si>
  <si>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</si>
  <si>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</si>
  <si>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</si>
  <si>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</si>
  <si>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</si>
  <si>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</si>
  <si>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</si>
  <si>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</si>
  <si>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</si>
  <si>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</si>
  <si>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</si>
  <si>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</si>
  <si>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</si>
  <si>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</si>
  <si>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No separate corrected claim window published. A claim decision you disagree with goes through the dispute route below, which allows 365 days</t>
  </si>
  <si>
    <t xml:space="preserve">365 calendar days of the initial claim decision. File on the Provider Dispute Resolution Request (PDR) form through the AZ Connect portal, with the original claim, EOB, authorisation and records</t>
  </si>
  <si>
    <t xml:space="preserve">Arizona Priority Care - Claims Submission and Appeals, rev. 8 August 2025, and Claims and Payments toolkit (azprioritycare.com)</t>
  </si>
  <si>
    <t xml:space="preserve">Arizona Priority Care Plus</t>
  </si>
  <si>
    <t xml:space="preserve">Shortest limit on this list together with BHN and Devoted - work these denials first.</t>
  </si>
  <si>
    <t xml:space="preserve">BANNER HEALTH &amp; AETNA</t>
  </si>
  <si>
    <t xml:space="preserve">180 days from the date of the initial decision, unless state regulation or the organisational provider contract allows longer</t>
  </si>
  <si>
    <t xml:space="preserve">180 days from the date of the initial decision, unless state regulation or the organisational provider contract allows longer. Decision issued within 60 calendar days</t>
  </si>
  <si>
    <t xml:space="preserve">Banner Aetna - Dispute &amp; Appeals Process Quick Reference Guide (banneraetna.com/en/health-care-professionals/dispute-and-appeals-overview); Aetna - Disputes and appeals overview (aetna.com)</t>
  </si>
  <si>
    <t xml:space="preserve">Banner Health &amp; Aetna Health Insurance Company; Banner Aetna</t>
  </si>
  <si>
    <t xml:space="preserve">Joint venture product; separate from the Aetna and BHN rows.</t>
  </si>
  <si>
    <t xml:space="preserve">BANNER HEALTH NETWORK (BHN)</t>
  </si>
  <si>
    <t xml:space="preserve">Not documented as a separate window. Mark the claim "Resubmission" or set the resubmission box on an electronic claim</t>
  </si>
  <si>
    <t xml:space="preserve">Not documented as a separate provider claim dispute window on the open site</t>
  </si>
  <si>
    <t xml:space="preserve">Banner Health Network 2026 Provider Resource Manual v8.0, 10 December 2025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</si>
  <si>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</si>
  <si>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</si>
  <si>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</si>
  <si>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</si>
  <si>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</si>
  <si>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</si>
  <si>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</si>
  <si>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12 months from the date of service, under the AHCCCS resubmission rule. Mark the claim "Resubmission" or set the resubmission box on an electronic claim</t>
  </si>
  <si>
    <t xml:space="preserve">12 months from the date of service. If the denial lands within 60 days of that deadline, 60 days from the adverse action date on the remittance advice</t>
  </si>
  <si>
    <t xml:space="preserve">Banner Health Plans - Claims and Payments (bannerhealth.com/bhpprovider/resources/claims); AHCCCS agreement YH23-0010 identifying Banner - University Care Advantage as the D-SNP; AHCCCS Claim Resubmission and Reconsideration Process</t>
  </si>
  <si>
    <t xml:space="preserve">Needs to be verified against the contract.</t>
  </si>
  <si>
    <t xml:space="preserve">BANNER UNIVERSITY MEDICAID</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</si>
  <si>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</si>
  <si>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</si>
  <si>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</si>
  <si>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</si>
  <si>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</si>
  <si>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1 year from the date the claim was originally processed - most claim adjustments and reconsiderations run from the processing date, not the date of service</t>
  </si>
  <si>
    <t xml:space="preserve">1 year from the original processing date for a reconsideration. Self-funded groups that customise their appeal procedure may use a 180 day window</t>
  </si>
  <si>
    <t xml:space="preserve">AZ Blue - Claims and Remits and Appeals and Grievances (azblue.com/provider/resources)</t>
  </si>
  <si>
    <t xml:space="preserve">Blue Cross Blue Shield of Arizona (BCBS AZ); Blue Cross Blue Shield of Arizona</t>
  </si>
  <si>
    <t xml:space="preserve">Limit changed on 1 January 2026. Use 90 days for dates of service on or after 01/01/2026 and 365 days for earlier dates - see the 'Notes &amp; Sources' tab.</t>
  </si>
  <si>
    <t xml:space="preserve">BCBS REGENCE</t>
  </si>
  <si>
    <t xml:space="preserve">365 days from DOS (90 days as of 2026)</t>
  </si>
  <si>
    <t xml:space="preserve">Not documented as a separate window on the open provider site</t>
  </si>
  <si>
    <t xml:space="preserve">180 days from the date of the initial adverse determination</t>
  </si>
  <si>
    <t xml:space="preserve">Regence - Pricing disputes and appeals and Claims submission (regence.com/provider/claims-payment). The 180 day figure is not stated on the open provider pages; confirm against the provider administrative manual</t>
  </si>
  <si>
    <t xml:space="preserve">Same 2026 reduction as BCBS. Use 90 days for 2026 dates of service and 365 days for earlier dates.</t>
  </si>
  <si>
    <t xml:space="preserve">CIGNA / CIGNA MEDICARE</t>
  </si>
  <si>
    <t xml:space="preserve">90 days from DOS</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</si>
  <si>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</si>
  <si>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</si>
  <si>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</si>
  <si>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</si>
  <si>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</si>
  <si>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</si>
  <si>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1 year from the claim processed date</t>
  </si>
  <si>
    <t xml:space="preserve">90 days from the latest processed date, filed as a dispute on the provider portal</t>
  </si>
  <si>
    <t xml:space="preserve">Supplied by the practice. The Devoted provider manual names its timely filing and payment dispute sections but does not publish the day counts openly, so this is the practice figure rather than a published one</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</si>
  <si>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</si>
  <si>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</si>
  <si>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</si>
  <si>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</si>
  <si>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</si>
  <si>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</si>
  <si>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</si>
  <si>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</si>
  <si>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 Column C carries 180 days, the shorter of the two, so the row never calculates a deadline later than the rule allows; add a month where Health Choice is primary.</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</si>
  <si>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</si>
  <si>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</si>
  <si>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</si>
  <si>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</si>
  <si>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</si>
  <si>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</si>
  <si>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 Column C carries 180 days, the conservative end of that range.</t>
  </si>
  <si>
    <t xml:space="preserve">HUMANA COMMERCIAL</t>
  </si>
  <si>
    <t xml:space="preserve">180 days from DOS (physicians); 90 days from DOS (ancillary providers)</t>
  </si>
  <si>
    <t xml:space="preserve">No separate window published - the corrected claim rides the initial filing limit from the date of service, so the shorter 90 day ancillary figure governs unless the rendering provider is confirmed as a physician, which allows 180</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</si>
  <si>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</si>
  <si>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</si>
  <si>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</si>
  <si>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Column C carries 90 days, the ancillary figure, so the row never calculates a deadline later than the rule allows. Confirm the rendering provider is a physician before relying on the longer 180 days.</t>
  </si>
  <si>
    <t xml:space="preserve">HUMANA MA</t>
  </si>
  <si>
    <t xml:space="preserve">Level 2 appeal 60 days from the level 1 denial; level 3 four months from the level 2 denial. The level 1 window is set by the plan or the provider agreement</t>
  </si>
  <si>
    <t xml:space="preserve">Humana Gold Plus HMO</t>
  </si>
  <si>
    <t xml:space="preserve">Same split as Humana commercial. Column C carries the 90 day ancillary figure; confirm the rendering provider is a physician before relying on 180 days.</t>
  </si>
  <si>
    <t xml:space="preserve">MEDICA</t>
  </si>
  <si>
    <t xml:space="preserve">180 days from DOS; 180 days from the Medicare payment date for Select Solution and Prime Solution</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</si>
  <si>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</si>
  <si>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</si>
  <si>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</si>
  <si>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</si>
  <si>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In network original claims must reach the designated claims address within 180 days of the date of service, or the discharge date for inpatient. On Medica Select Solution and Prime Solution with Medicare primary, the 180 days runs from the payment date on the explanation of Medicare benefits instead. The provider agreement can set a different limit and governs where it does.</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</si>
  <si>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</si>
  <si>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</si>
  <si>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</si>
  <si>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</si>
  <si>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</si>
  <si>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</si>
  <si>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</si>
  <si>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</si>
  <si>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</si>
  <si>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150 days from DOS or eligibility posting, whichever is later</t>
  </si>
  <si>
    <t xml:space="preserve">Resubmission is the only route - contracted providers have no claim dispute rights on this product. Mark the claim "Attention: Resubmissions" so it is not denied as a duplicate. The Advantage manual publishes no separate window, so the AHCCCS resubmission parameter of 12 months from the date of service is applied here</t>
  </si>
  <si>
    <t xml:space="preserve">None - contracted providers have no claim dispute rights on this product. Federal regulation bars Mercy Care from handling contracted provider complaints through the Medicare Advantage appeals process, so a disputed claim goes back through resubmission</t>
  </si>
  <si>
    <t xml:space="preserve">Mercy Care Advantage Provider Manual, January 2026 (mercycareaz.org/providers/provider-manual.html)</t>
  </si>
  <si>
    <t xml:space="preserve">Mercy Care Health Plan Advantage (AHCCCS)</t>
  </si>
  <si>
    <t xml:space="preserve">New claims must be filed within 150 days of the date of service or the eligibility posting date, whichever is later - a shorter window than the 365 days Mercy Care Medicaid allows. Contracted providers have no claim dispute rights on this product: federal regulation bars Mercy Care from handling contracted provider complaints through the Medicare Advantage appeals process, so a disputed claim goes back through resubmission instead. The corrected claim window follows the AHCCCS parameter of 12 months from the date of service, the same as Mercy Care Medicaid.</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</si>
  <si>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</si>
  <si>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</si>
  <si>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</si>
  <si>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</si>
  <si>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</si>
  <si>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</si>
  <si>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</si>
  <si>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</si>
  <si>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 separate window published. Resubmit with claim frequency code 7 and the payer claim control number; a disputed decision goes through the PDR route below</t>
  </si>
  <si>
    <t xml:space="preserve">365 calendar days of the payment or denial, on the Provider Dispute Resolution Request (PDR) form or through the Optum Pro portal. Outcome issued within 45 working days</t>
  </si>
  <si>
    <t xml:space="preserve">Optum Care - Claims Provider Manual and Arizona Provider Dispute Resolution Request form (optum.com; business.optum.com). The 365 day PDR window is Optum's standard across markets; it is published explicitly in the California AB 1455 dispute notices, not in an Arizona specific document</t>
  </si>
  <si>
    <t xml:space="preserve">Optum Care Medical Network of Arizona, Utah, &amp; Washington (LifePrint)</t>
  </si>
  <si>
    <t xml:space="preserve">OSCAR HEALTH</t>
  </si>
  <si>
    <t xml:space="preserve">No separate window - the corrected claim must land inside the 180 day filing limit from the date of service. Submit the entire claim as a replacement with frequency code 7 (CMS 1500 box 22) or type of bill xx7 (UB-04), carrying the original payer claim ID</t>
  </si>
  <si>
    <t xml:space="preserve">180 calendar days after notice of the adverse decision</t>
  </si>
  <si>
    <t xml:space="preserve">Oscar Health - 2026 Provider Manual effective 01/01/26 and Claims Disputes Provider Form (hioscar.com/providers)</t>
  </si>
  <si>
    <t xml:space="preserve">Oscar Health</t>
  </si>
  <si>
    <t xml:space="preserve">REDIRECT HEALTH</t>
  </si>
  <si>
    <t xml:space="preserve">Not documented - third party administrator, the plan document sets the limit</t>
  </si>
  <si>
    <t xml:space="preserve">Not documented - third party administrator, the window comes from the underlying plan document</t>
  </si>
  <si>
    <t xml:space="preserve">Not documented - a formal claim appeal is filed on their online appeal form, but no window is published</t>
  </si>
  <si>
    <t xml:space="preserve">Redirect Health - Provider Portal and claims information (redirecthealth.com). No filing windows published; claims questions to Claims@RedirectAdmin.com</t>
  </si>
  <si>
    <t xml:space="preserve">Redirect Health Administration LLC administers self-funded plans, so the filing limit comes from the underlying plan document rather than from a single Redirect policy. A clean claim is paid within 45 business days. Claim questions go to Claims@RedirectAdmin.com; appeals are filed on their online appeal form. No filing windows are published - request them from the plan administrator.</t>
  </si>
  <si>
    <t xml:space="preserve">TRICARE EAST</t>
  </si>
  <si>
    <t xml:space="preserve">1 year from the date of service</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</si>
  <si>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</si>
  <si>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</si>
  <si>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</si>
  <si>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Administered by Humana Military. All claims for benefits must be filed no later than one year after the date services were provided. Note the pending file shows Tricare West and Tricare for Life, not Tricare East - confirm which region we actually bill, as the West region contractor changed on 1 January 2025.</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</si>
  <si>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</si>
  <si>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</si>
  <si>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</si>
  <si>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</si>
  <si>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</si>
  <si>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</si>
  <si>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</si>
  <si>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</si>
  <si>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</si>
  <si>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</si>
  <si>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</si>
  <si>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</si>
  <si>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</si>
  <si>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</si>
  <si>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</si>
  <si>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</si>
  <si>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</si>
  <si>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</si>
  <si>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</si>
  <si>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</si>
  <si>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</si>
  <si>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</si>
  <si>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</si>
  <si>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 carries resubmission code 7 in box 22, but the window comes from the underlying plan document</t>
  </si>
  <si>
    <t xml:space="preserve">At least 180 days from the adverse benefit determination - the ERISA floor for a self-funded group health plan at 29 CFR 2560.503-1. The plan document sets the actual window and the denial letter or EOB carries it</t>
  </si>
  <si>
    <t xml:space="preserve">UMR - How to request claim appeals online and Post-Service Provider Request Form (umr.com). UMR is a third party administrator; the plan document sets claim filing, and ERISA sets the 180 day appeal floor at 29 CFR 2560.503-1</t>
  </si>
  <si>
    <t xml:space="preserve">UMR Wausau / UHIS</t>
  </si>
  <si>
    <t xml:space="preserve">Third party administrator for self-funded employer plans, so the filing limit is set by the underlying plan document rather than by a single UMR policy - the deadline is in the denial letter or EOB for the specific plan. For appeals there is a federal floor: ERISA requires a self-funded group health plan to allow at least 180 days to file an internal appeal after an adverse benefit determination.</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</si>
  <si>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</si>
  <si>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</si>
  <si>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</si>
  <si>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</si>
  <si>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</si>
  <si>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</si>
  <si>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</si>
  <si>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</si>
  <si>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</si>
  <si>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</si>
  <si>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</si>
  <si>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</si>
  <si>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</si>
  <si>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</si>
  <si>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</si>
  <si>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</si>
  <si>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150 days</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</si>
  <si>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</si>
  <si>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</si>
  <si>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</si>
  <si>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</si>
  <si>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</si>
  <si>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</si>
  <si>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</si>
  <si>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</si>
  <si>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</si>
  <si>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</si>
  <si>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</si>
  <si>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</si>
  <si>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</si>
  <si>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</si>
  <si>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</si>
  <si>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</si>
  <si>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</si>
  <si>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</si>
  <si>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</si>
  <si>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</si>
  <si>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the carrier states it. Column C restates it as a single number of days so it can be sorted and used in deadline formulas. Where a carrier states the limit in months, or sets a different limit by provider type, column C carries the conservative figure - months converted at 30 days, and the shorter of two split limits - so a deadline calculated from column C never falls later than the carrier's own rule. Column B always holds the real wording, so check it before relying on the longer half of a split.</t>
  </si>
  <si>
    <t xml:space="preserve">To work out a deadline, add column C to the date of service. For example a 90 day carrier with a 01/19/2026 date of service must have a clean claim in by 04/19/2026. On the month-based carriers - AHCCCS, Health Choice Medicaid and Health Choice Pathway - that gives a date a few days early, because 6 calendar months runs 180 to 184 days; count calendar months where the extra days matter. Column C is blank only for the three carriers with no limit on file.</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</si>
  <si>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</si>
  <si>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</si>
  <si>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</si>
  <si>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Three carriers are still without an initial filing limit and are shaded amber: AARP MA Choice / Medicare Complete, Redirect Health and UMR / Wausau. Redirect Health and UMR / Wausau are third party administrators, so their limits come from the underlying plan document rather than from a single carrier policy - the denial letter or EOB carries the deadline. AARP Medicare Complete is administered by UnitedHealthcare but no published limit was found for the product.</t>
  </si>
  <si>
    <t xml:space="preserve">Related products are not treated as interchangeable. Mercy Care Medicaid allows 365 days to file but Mercy Care Advantage allows only 150, and the Advantage product gives contracted providers no dispute rights at all. Likewise the UHC Medicare Advantage limit of 90 days has not been copied across to AARP Medicare Complete, even though UnitedHealthcare administers it.</t>
  </si>
  <si>
    <t xml:space="preserve">Carriers with more than one limit</t>
  </si>
  <si>
    <t xml:space="preserve">Health Choice Medicaid - 6 months when Health Choice is not the primary payer, 7 months when it is (provider manual). Column C carries 180 days, the shorter figure.</t>
  </si>
  <si>
    <t xml:space="preserve">Humana Commercial and Humana MA - 180 days from date of service for physicians, 90 days for ancillary providers. The provider category drives the deadline, so check it before assuming the longer window. Column C carries the 90 day ancillary figure, and the corrected claim window follows it because Humana publishes no separate one.</t>
  </si>
  <si>
    <t xml:space="preserve">Health Choice Medicaid, Health Choice Pathway and AHCCCS are stated in months rather than days. Count calendar months from the date of service for the real deadline; the day figures in column C are the conservative conversion at 30 days to the month.</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</si>
  <si>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</si>
  <si>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</si>
  <si>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</si>
  <si>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</si>
  <si>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</si>
  <si>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</si>
  <si>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</si>
  <si>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</si>
  <si>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</si>
  <si>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</si>
  <si>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</si>
  <si>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</si>
  <si>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</si>
  <si>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</si>
  <si>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</si>
  <si>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</si>
  <si>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</si>
  <si>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</si>
  <si>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AARP MA Choice / Medicare Complete, Aetna, AZ Priority Care, Banner Health &amp; Aetna, BCBS, Devoted, Medica, Medicare, Optum, TriWest, UHC Commercial, UHC Community, UHC Dual Complete, UHC MA, Veterans Admin (VA CCN) and Wellcare by Allwell. A denial late in the initial filing window still leaves a full corrected claim window on these carriers.</t>
  </si>
  <si>
    <t xml:space="preserve">Corrected claims counted from the date of service: AHCCCS, Ambetter, Amerigroup, AZ Complete, Banner University MA, Banner University Medicaid, Cigna, Health Choice Medicaid, Health Choice Pathway, Humana Commercial, Humana MA, Mercy Care Advantage, Mercy Care Medicaid, Oscar Health and Tricare East. On these the original filing clock never restarts, so a slow first pass eats the correction window. Amerigroup, Humana and Mercy Care Advantage fall here by way of the contract or resubmission route rather than a published corrected claim rule.</t>
  </si>
  <si>
    <t xml:space="preserve">Appeals counted from the date of service: AHCCCS, AZ Complete, Banner University MA, Banner University Medicaid, Health Choice Medicaid and Mercy Care Medicaid - the AHCCCS plans, which allow 12 months from the date of service with a 60 day fallback from the adverse action date on the remittance advice when the denial lands late in that window. Every other appeal window on this list runs from the processed date.</t>
  </si>
  <si>
    <t xml:space="preserve">Traps worth knowing</t>
  </si>
  <si>
    <t xml:space="preserve">Cigna does not restart the clock for a corrected claim. The corrected claim stays subject to the 90 day timely filing provision in the agreement, counted from the date of service, even though the appeal window is 180 days from the remittance. An appeal that is resolved by filing a corrected claim does not extend that 90 days.</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</si>
  <si>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</si>
  <si>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 Devoted matches it on disputes at 90 days but allows a full year to correct and resubmit.</t>
  </si>
  <si>
    <t xml:space="preserve">Devoted, TriWest and Veterans Admin (VA CCN) all allow far longer to correct and refile than to dispute - 365 days from the processed date against 90. On these three, correcting and resubmitting buys four times the window that a dispute does, so reach for the corrected claim first where the denial is fixable on the claim.</t>
  </si>
  <si>
    <t xml:space="preserve">Devoted is the sharpest contrast on the sheet between the initial and the corrected claim window: 60 days from the date of service to get the claim in, but a full year from the processed date to correct it once the payer has it. The first pass is what has to be fast.</t>
  </si>
  <si>
    <t xml:space="preserve">UnitedHealthcare gives 12 months from the EOB or PRA to complete both steps - reconsideration first, then appeal. That is one 12 month budget covering the pair, not 12 months each. Non-contracted Medicare Advantage claims get 120 calendar days from the original claim determination instead.</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</si>
  <si>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</si>
  <si>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allows 1 year from the original processing date for most claim adjustments and reconsiderations. That is a far longer window than the 90 day initial filing limit that took effect on 1 January 2026, so a 2026 timely filing denial is worth reviewing rather than writing off.</t>
  </si>
  <si>
    <t xml:space="preserve">UnitedHealthcare allows 180 calendar days from the original remittance date to correct a claim, but that window is capped by the filing limit in the agreement counted from the date of service - whichever closes first governs. On the 90 day UHC products that cap usually bites well before the 180 days does. Include every originally billed line on the correction, not just the line being fixed, or the omitted services are recovered as an overpayment.</t>
  </si>
  <si>
    <t xml:space="preserve">Mercy Care Advantage gives contracted providers no claim dispute rights at all. Federal regulation bars Mercy Care from running contracted provider complaints through the Medicare Advantage appeals process, so the only route is to resubmit, marked "Attention: Resubmissions". Its 150 day initial limit is also far shorter than the 365 days Mercy Care Medicaid allows - the two products should never be worked the same way.</t>
  </si>
  <si>
    <t xml:space="preserve">AHCCCS runs two clocks. The initial claim has to be received within 6 months of the date of service or it is denied outright, but once it has landed inside that window there are 12 months from the date of service to correct it to clean claim status. Missing the first clock cannot be repaired by the second.</t>
  </si>
  <si>
    <t xml:space="preserve">Carriers with nothing on file for corrected claims or appeals</t>
  </si>
  <si>
    <t xml:space="preserve">Corrected claim window not documented: Banner Health Network (BHN), Banner Medicare Advantage, BCBS Regence, Redirect Health and UMR / Wausau.</t>
  </si>
  <si>
    <t xml:space="preserve">Appeal window not documented: Banner Health Network (BHN) and Redirect Health.</t>
  </si>
  <si>
    <t xml:space="preserve">Nothing has been assumed for these. Redirect Health and UMR / Wausau are third party administrators, so both windows come from the underlying plan document - though for appeals ERISA sets a floor, requiring a self-funded group health plan to allow at least 180 days from an adverse benefit determination (29 CFR 2560.503-1). The Banner Health Network and Banner Medicare Advantage manuals could not be retrieved; both publish resubmission instructions without a window, so pull the claims chapter directly. BCBS Regence publishes no filing windows on its open provider pages.</t>
  </si>
  <si>
    <t xml:space="preserve">Banner University MA was identified during this pass as Banner - University Care Advantage, the D-SNP Banner runs under an AHCCCS agreement, so the AHCCCS resubmission and dispute windows have been applied to it and marked to verify against the contract. Banner Health &amp; Aetna is now filled from the joint venture's own published dispute process rather than being left blank.</t>
  </si>
  <si>
    <t xml:space="preserve">Sources and method</t>
  </si>
  <si>
    <t xml:space="preserve">Every figure in columns B-M was taken from the carrier's own provider manual, provider portal page or, for Medicare, the CMS Claims Processing Manual, with one exception: the Devoted windows were supplied by the practice. Column N names the source for the corrected claim and appeal figures row by row; the initial limits came from the carrier list supplied by the practice and, where that list was blank, from the carrier document named in the notes column.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</si>
  <si>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varied by state, or came from a document written for another market, and the Arizona specific figure should be pulled from the manual before a claim is worked against it.</t>
  </si>
  <si>
    <t xml:space="preserve">Two rows to watch on that count. Ambetter: the Arizona manual gives 365 days from the date of service for a corrected claim, but the reconsideration window is stated as 180 days from the EOP in some Ambetter states and 24 months in others. Optum: the 365 day dispute window is Optum's standard across markets and appears explicitly in its California AB 1455 dispute notices, but no Arizona specific publication states it.</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</si>
  <si>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</si>
  <si>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and the remaining initial, corrected claim and appeal gaps filled on the same date. The Devoted figures were supplied by the practice; every other figure came from the carrier document named in column N or the notes column.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</si>
</sst>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
      <patternFill patternType="solid">
        <fgColor rgb="FFE4DFEC"/>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54"/>
    <col collapsed="false" customWidth="true" hidden="false" outlineLevel="0" max="7" min="7" style="1" width="10"/>
    <col collapsed="false" customWidth="true" hidden="false" outlineLevel="0" max="8" min="8" style="1" width="22"/>
    <col collapsed="false" customWidth="true" hidden="false" outlineLevel="0" max="9" min="9" style="1" width="20"/>
    <col collapsed="false" customWidth="true" hidden="false" outlineLevel="0" max="10" min="10" style="1" width="62"/>
    <col collapsed="false" customWidth="true" hidden="false" outlineLevel="0" max="11" min="11" style="1" width="10"/>
    <col collapsed="false" customWidth="true" hidden="false" outlineLevel="0" max="12" min="12" style="1" width="22"/>
    <col collapsed="false" customWidth="true" hidden="false" outlineLevel="0" max="13" min="13" style="1" width="20"/>
    <col collapsed="false" customWidth="true" hidden="false" outlineLevel="0" max="14" min="14" style="1" width="62"/>
    <col collapsed="false" customWidth="true" hidden="false" outlineLevel="0" max="15" min="15" style="1" width="56"/>
    <col collapsed="false" customWidth="true" hidden="false" outlineLevel="0" max="16" min="16" style="1" width="66"/>
  </cols>
  <sheetData>
    <row r="1" customFormat="false" ht="17.25" hidden="false" customHeight="true" outlineLevel="0" collapsed="false">
      <c r="A1" s="2" t="s">
        <v>0</v>
      </c>
    </row>
    <row r="2" customFormat="false" ht="15" hidden="false" customHeight="true" outlineLevel="0" collapsed="false">
      <c r="A2" s="3" t="s">
        <v>1</v>
      </c>
    </row>
    <row r="4" customFormat="false" ht="27.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c r="P4" s="4" t="s">
        <v>17</v>
      </c>
    </row>
    <row r="5" customFormat="false" ht="34.5" hidden="false" customHeight="true" outlineLevel="0" collapsed="false">
      <c r="A5" s="5" t="s">
        <v>18</v>
      </c>
      <c r="B5" s="6" t="s">
        <v>19</v>
      </c>
      <c r="C5" s="7"/>
      <c r="D5" s="7" t="s">
        <v>20</v>
      </c>
      <c r="E5" s="8" t="s">
        <v>21</v>
      </c>
      <c r="F5" s="9" t="s">
        <v>22</v>
      </c>
      <c r="G5" s="7" t="n">
        <v>180</v>
      </c>
      <c r="H5" s="9" t="s">
        <v>23</v>
      </c>
      <c r="I5" s="10" t="s">
        <v>24</v>
      </c>
      <c r="J5" s="11" t="s">
        <v>25</v>
      </c>
      <c r="K5" s="7" t="n">
        <v>365</v>
      </c>
      <c r="L5" s="9" t="s">
        <v>23</v>
      </c>
      <c r="M5" s="11" t="s">
        <v>26</v>
      </c>
      <c r="N5" s="9" t="s">
        <v>27</v>
      </c>
      <c r="O5" s="9" t="s">
        <v>28</v>
      </c>
      <c r="P5" s="9" t="s">
        <v>29</v>
      </c>
    </row>
    <row r="6" customFormat="false" ht="23.25" hidden="false" customHeight="true" outlineLevel="0" collapsed="false">
      <c r="A6" s="5" t="s">
        <v>30</v>
      </c>
      <c r="B6" s="12" t="s">
        <v>31</v>
      </c>
      <c r="C6" s="7" t="n">
        <v>120</v>
      </c>
      <c r="D6" s="7" t="s">
        <v>32</v>
      </c>
      <c r="E6" s="13" t="s">
        <v>24</v>
      </c>
      <c r="F6" s="9" t="s">
        <v>33</v>
      </c>
      <c r="G6" s="7" t="n">
        <v>180</v>
      </c>
      <c r="H6" s="9" t="s">
        <v>23</v>
      </c>
      <c r="I6" s="10" t="s">
        <v>24</v>
      </c>
      <c r="J6" s="9" t="s">
        <v>34</v>
      </c>
      <c r="K6" s="7" t="n">
        <v>180</v>
      </c>
      <c r="L6" s="9" t="s">
        <v>23</v>
      </c>
      <c r="M6" s="10" t="s">
        <v>24</v>
      </c>
      <c r="N6" s="9" t="s">
        <v>35</v>
      </c>
      <c r="O6" s="9" t="s">
        <v>36</v>
      </c>
      <c r="P6" s="9" t="s">
        <v>37</v>
      </c>
    </row>
    <row r="7" customFormat="false" ht="23.25" hidden="false" customHeight="true" outlineLevel="0" collapsed="false">
      <c r="A7" s="5" t="s">
        <v>38</v>
      </c>
      <c r="B7" s="14" t="s">
        <v>39</v>
      </c>
      <c r="C7" s="7" t="n">
        <v>180</v>
      </c>
      <c r="D7" s="7" t="s">
        <v>40</v>
      </c>
      <c r="E7" s="13" t="s">
        <v>24</v>
      </c>
      <c r="F7" s="9" t="s">
        <v>41</v>
      </c>
      <c r="G7" s="7" t="n">
        <v>365</v>
      </c>
      <c r="H7" s="9" t="s">
        <v>42</v>
      </c>
      <c r="I7" s="10" t="s">
        <v>24</v>
      </c>
      <c r="J7" s="9" t="s">
        <v>43</v>
      </c>
      <c r="K7" s="7" t="n">
        <v>365</v>
      </c>
      <c r="L7" s="9" t="s">
        <v>42</v>
      </c>
      <c r="M7" s="10" t="s">
        <v>24</v>
      </c>
      <c r="N7" s="9" t="s">
        <v>44</v>
      </c>
      <c r="O7" s="9" t="s">
        <v>20</v>
      </c>
      <c r="P7" s="9" t="s">
        <v>45</v>
      </c>
    </row>
    <row r="8" customFormat="false" ht="23.25" hidden="false" customHeight="true" outlineLevel="0" collapsed="false">
      <c r="A8" s="5" t="s">
        <v>46</v>
      </c>
      <c r="B8" s="12" t="s">
        <v>47</v>
      </c>
      <c r="C8" s="7" t="n">
        <v>120</v>
      </c>
      <c r="D8" s="7" t="s">
        <v>20</v>
      </c>
      <c r="E8" s="13" t="s">
        <v>24</v>
      </c>
      <c r="F8" s="9" t="s">
        <v>48</v>
      </c>
      <c r="G8" s="7" t="n">
        <v>365</v>
      </c>
      <c r="H8" s="9" t="s">
        <v>42</v>
      </c>
      <c r="I8" s="10" t="s">
        <v>24</v>
      </c>
      <c r="J8" s="11" t="s">
        <v>49</v>
      </c>
      <c r="K8" s="7" t="n">
        <v>180</v>
      </c>
      <c r="L8" s="9" t="s">
        <v>23</v>
      </c>
      <c r="M8" s="11" t="s">
        <v>50</v>
      </c>
      <c r="N8" s="9" t="s">
        <v>51</v>
      </c>
      <c r="O8" s="9" t="s">
        <v>46</v>
      </c>
      <c r="P8" s="9" t="s">
        <v>52</v>
      </c>
    </row>
    <row r="9" customFormat="false" ht="34.5" hidden="false" customHeight="true" outlineLevel="0" collapsed="false">
      <c r="A9" s="5" t="s">
        <v>53</v>
      </c>
      <c r="B9" s="12" t="s">
        <v>54</v>
      </c>
      <c r="C9" s="7" t="n">
        <v>365</v>
      </c>
      <c r="D9" s="7" t="s">
        <v>20</v>
      </c>
      <c r="E9" s="13" t="s">
        <v>24</v>
      </c>
      <c r="F9" s="9" t="s">
        <v>55</v>
      </c>
      <c r="G9" s="7"/>
      <c r="H9" s="9" t="s">
        <v>42</v>
      </c>
      <c r="I9" s="11" t="s">
        <v>26</v>
      </c>
      <c r="J9" s="11" t="s">
        <v>56</v>
      </c>
      <c r="K9" s="7" t="n">
        <v>60</v>
      </c>
      <c r="L9" s="9" t="s">
        <v>23</v>
      </c>
      <c r="M9" s="11" t="s">
        <v>26</v>
      </c>
      <c r="N9" s="9" t="s">
        <v>57</v>
      </c>
      <c r="O9" s="9" t="s">
        <v>20</v>
      </c>
      <c r="P9" s="9" t="s">
        <v>58</v>
      </c>
    </row>
    <row r="10" customFormat="false" ht="23.25" hidden="false" customHeight="true" outlineLevel="0" collapsed="false">
      <c r="A10" s="5" t="s">
        <v>59</v>
      </c>
      <c r="B10" s="12" t="s">
        <v>47</v>
      </c>
      <c r="C10" s="7" t="n">
        <v>120</v>
      </c>
      <c r="D10" s="7" t="s">
        <v>20</v>
      </c>
      <c r="E10" s="13" t="s">
        <v>24</v>
      </c>
      <c r="F10" s="9" t="s">
        <v>60</v>
      </c>
      <c r="G10" s="7" t="n">
        <v>365</v>
      </c>
      <c r="H10" s="9" t="s">
        <v>42</v>
      </c>
      <c r="I10" s="10" t="s">
        <v>24</v>
      </c>
      <c r="J10" s="9" t="s">
        <v>61</v>
      </c>
      <c r="K10" s="7" t="n">
        <v>365</v>
      </c>
      <c r="L10" s="9" t="s">
        <v>42</v>
      </c>
      <c r="M10" s="10" t="s">
        <v>24</v>
      </c>
      <c r="N10" s="9" t="s">
        <v>62</v>
      </c>
      <c r="O10" s="9" t="s">
        <v>63</v>
      </c>
      <c r="P10" s="9"/>
    </row>
    <row r="11" customFormat="false" ht="23.25" hidden="false" customHeight="true" outlineLevel="0" collapsed="false">
      <c r="A11" s="5" t="s">
        <v>64</v>
      </c>
      <c r="B11" s="12" t="s">
        <v>65</v>
      </c>
      <c r="C11" s="15" t="n">
        <v>60</v>
      </c>
      <c r="D11" s="7" t="s">
        <v>20</v>
      </c>
      <c r="E11" s="13" t="s">
        <v>24</v>
      </c>
      <c r="F11" s="9" t="s">
        <v>66</v>
      </c>
      <c r="G11" s="7" t="n">
        <v>365</v>
      </c>
      <c r="H11" s="9" t="s">
        <v>23</v>
      </c>
      <c r="I11" s="11" t="s">
        <v>50</v>
      </c>
      <c r="J11" s="9" t="s">
        <v>67</v>
      </c>
      <c r="K11" s="7" t="n">
        <v>365</v>
      </c>
      <c r="L11" s="9" t="s">
        <v>23</v>
      </c>
      <c r="M11" s="10" t="s">
        <v>24</v>
      </c>
      <c r="N11" s="9" t="s">
        <v>68</v>
      </c>
      <c r="O11" s="9" t="s">
        <v>69</v>
      </c>
      <c r="P11" s="9" t="s">
        <v>70</v>
      </c>
    </row>
    <row r="12" customFormat="false" ht="23.25" hidden="false" customHeight="true" outlineLevel="0" collapsed="false">
      <c r="A12" s="5" t="s">
        <v>71</v>
      </c>
      <c r="B12" s="12" t="s">
        <v>47</v>
      </c>
      <c r="C12" s="7" t="n">
        <v>120</v>
      </c>
      <c r="D12" s="7" t="s">
        <v>20</v>
      </c>
      <c r="E12" s="13" t="s">
        <v>24</v>
      </c>
      <c r="F12" s="9" t="s">
        <v>72</v>
      </c>
      <c r="G12" s="7" t="n">
        <v>180</v>
      </c>
      <c r="H12" s="9" t="s">
        <v>23</v>
      </c>
      <c r="I12" s="10" t="s">
        <v>24</v>
      </c>
      <c r="J12" s="9" t="s">
        <v>73</v>
      </c>
      <c r="K12" s="7" t="n">
        <v>180</v>
      </c>
      <c r="L12" s="9" t="s">
        <v>23</v>
      </c>
      <c r="M12" s="10" t="s">
        <v>24</v>
      </c>
      <c r="N12" s="9" t="s">
        <v>74</v>
      </c>
      <c r="O12" s="9" t="s">
        <v>75</v>
      </c>
      <c r="P12" s="9" t="s">
        <v>76</v>
      </c>
    </row>
    <row r="13" customFormat="false" ht="34.5" hidden="false" customHeight="true" outlineLevel="0" collapsed="false">
      <c r="A13" s="5" t="s">
        <v>77</v>
      </c>
      <c r="B13" s="12" t="s">
        <v>65</v>
      </c>
      <c r="C13" s="15" t="n">
        <v>60</v>
      </c>
      <c r="D13" s="7" t="s">
        <v>40</v>
      </c>
      <c r="E13" s="13" t="s">
        <v>24</v>
      </c>
      <c r="F13" s="16" t="s">
        <v>78</v>
      </c>
      <c r="G13" s="7"/>
      <c r="H13" s="9" t="s">
        <v>20</v>
      </c>
      <c r="I13" s="16" t="s">
        <v>21</v>
      </c>
      <c r="J13" s="16" t="s">
        <v>79</v>
      </c>
      <c r="K13" s="7"/>
      <c r="L13" s="9" t="s">
        <v>20</v>
      </c>
      <c r="M13" s="16" t="s">
        <v>21</v>
      </c>
      <c r="N13" s="9" t="s">
        <v>80</v>
      </c>
      <c r="O13" s="9" t="s">
        <v>81</v>
      </c>
      <c r="P13" s="9" t="s">
        <v>82</v>
      </c>
    </row>
    <row r="14" customFormat="false" ht="34.5" hidden="false" customHeight="true" outlineLevel="0" collapsed="false">
      <c r="A14" s="5" t="s">
        <v>83</v>
      </c>
      <c r="B14" s="12" t="s">
        <v>47</v>
      </c>
      <c r="C14" s="7" t="n">
        <v>120</v>
      </c>
      <c r="D14" s="7" t="s">
        <v>40</v>
      </c>
      <c r="E14" s="13" t="s">
        <v>24</v>
      </c>
      <c r="F14" s="16" t="s">
        <v>78</v>
      </c>
      <c r="G14" s="7"/>
      <c r="H14" s="9" t="s">
        <v>20</v>
      </c>
      <c r="I14" s="16" t="s">
        <v>21</v>
      </c>
      <c r="J14" s="9" t="s">
        <v>84</v>
      </c>
      <c r="K14" s="7" t="n">
        <v>65</v>
      </c>
      <c r="L14" s="9" t="s">
        <v>23</v>
      </c>
      <c r="M14" s="11" t="s">
        <v>50</v>
      </c>
      <c r="N14" s="9" t="s">
        <v>85</v>
      </c>
      <c r="O14" s="9" t="s">
        <v>86</v>
      </c>
      <c r="P14" s="9"/>
    </row>
    <row r="15" customFormat="false" ht="23.25" hidden="false" customHeight="true" outlineLevel="0" collapsed="false">
      <c r="A15" s="5" t="s">
        <v>87</v>
      </c>
      <c r="B15" s="12" t="s">
        <v>47</v>
      </c>
      <c r="C15" s="7" t="n">
        <v>120</v>
      </c>
      <c r="D15" s="7" t="s">
        <v>20</v>
      </c>
      <c r="E15" s="17" t="s">
        <v>26</v>
      </c>
      <c r="F15" s="9" t="s">
        <v>88</v>
      </c>
      <c r="G15" s="7" t="n">
        <v>365</v>
      </c>
      <c r="H15" s="9" t="s">
        <v>42</v>
      </c>
      <c r="I15" s="11" t="s">
        <v>26</v>
      </c>
      <c r="J15" s="9" t="s">
        <v>89</v>
      </c>
      <c r="K15" s="7" t="n">
        <v>365</v>
      </c>
      <c r="L15" s="9" t="s">
        <v>42</v>
      </c>
      <c r="M15" s="11" t="s">
        <v>26</v>
      </c>
      <c r="N15" s="9" t="s">
        <v>90</v>
      </c>
      <c r="O15" s="9" t="s">
        <v>20</v>
      </c>
      <c r="P15" s="9" t="s">
        <v>91</v>
      </c>
    </row>
    <row r="16" customFormat="false" ht="34.5" hidden="false" customHeight="true" outlineLevel="0" collapsed="false">
      <c r="A16" s="5" t="s">
        <v>92</v>
      </c>
      <c r="B16" s="12" t="s">
        <v>47</v>
      </c>
      <c r="C16" s="7" t="n">
        <v>120</v>
      </c>
      <c r="D16" s="7" t="s">
        <v>20</v>
      </c>
      <c r="E16" s="17" t="s">
        <v>26</v>
      </c>
      <c r="F16" s="9" t="s">
        <v>88</v>
      </c>
      <c r="G16" s="7" t="n">
        <v>365</v>
      </c>
      <c r="H16" s="9" t="s">
        <v>42</v>
      </c>
      <c r="I16" s="11" t="s">
        <v>26</v>
      </c>
      <c r="J16" s="9" t="s">
        <v>93</v>
      </c>
      <c r="K16" s="7" t="n">
        <v>365</v>
      </c>
      <c r="L16" s="9" t="s">
        <v>42</v>
      </c>
      <c r="M16" s="11" t="s">
        <v>26</v>
      </c>
      <c r="N16" s="9" t="s">
        <v>94</v>
      </c>
      <c r="O16" s="9" t="s">
        <v>95</v>
      </c>
      <c r="P16" s="9" t="s">
        <v>91</v>
      </c>
    </row>
    <row r="17" customFormat="false" ht="23.25" hidden="false" customHeight="true" outlineLevel="0" collapsed="false">
      <c r="A17" s="5" t="s">
        <v>96</v>
      </c>
      <c r="B17" s="18" t="s">
        <v>97</v>
      </c>
      <c r="C17" s="7" t="n">
        <v>90</v>
      </c>
      <c r="D17" s="7" t="s">
        <v>20</v>
      </c>
      <c r="E17" s="13" t="s">
        <v>24</v>
      </c>
      <c r="F17" s="9" t="s">
        <v>98</v>
      </c>
      <c r="G17" s="7" t="n">
        <v>365</v>
      </c>
      <c r="H17" s="9" t="s">
        <v>23</v>
      </c>
      <c r="I17" s="10" t="s">
        <v>24</v>
      </c>
      <c r="J17" s="9" t="s">
        <v>99</v>
      </c>
      <c r="K17" s="7" t="n">
        <v>365</v>
      </c>
      <c r="L17" s="9" t="s">
        <v>23</v>
      </c>
      <c r="M17" s="10" t="s">
        <v>24</v>
      </c>
      <c r="N17" s="9" t="s">
        <v>100</v>
      </c>
      <c r="O17" s="9" t="s">
        <v>101</v>
      </c>
      <c r="P17" s="9" t="s">
        <v>102</v>
      </c>
    </row>
    <row r="18" customFormat="false" ht="23.25" hidden="false" customHeight="true" outlineLevel="0" collapsed="false">
      <c r="A18" s="5" t="s">
        <v>103</v>
      </c>
      <c r="B18" s="12" t="s">
        <v>104</v>
      </c>
      <c r="C18" s="7" t="n">
        <v>90</v>
      </c>
      <c r="D18" s="7" t="s">
        <v>20</v>
      </c>
      <c r="E18" s="13" t="s">
        <v>24</v>
      </c>
      <c r="F18" s="16" t="s">
        <v>105</v>
      </c>
      <c r="G18" s="7"/>
      <c r="H18" s="9" t="s">
        <v>20</v>
      </c>
      <c r="I18" s="16" t="s">
        <v>21</v>
      </c>
      <c r="J18" s="9" t="s">
        <v>106</v>
      </c>
      <c r="K18" s="7" t="n">
        <v>180</v>
      </c>
      <c r="L18" s="9" t="s">
        <v>23</v>
      </c>
      <c r="M18" s="11" t="s">
        <v>50</v>
      </c>
      <c r="N18" s="9" t="s">
        <v>107</v>
      </c>
      <c r="O18" s="9" t="s">
        <v>20</v>
      </c>
      <c r="P18" s="9" t="s">
        <v>108</v>
      </c>
    </row>
    <row r="19" customFormat="false" ht="23.25" hidden="false" customHeight="true" outlineLevel="0" collapsed="false">
      <c r="A19" s="5" t="s">
        <v>109</v>
      </c>
      <c r="B19" s="12" t="s">
        <v>110</v>
      </c>
      <c r="C19" s="7" t="n">
        <v>90</v>
      </c>
      <c r="D19" s="7" t="s">
        <v>20</v>
      </c>
      <c r="E19" s="13" t="s">
        <v>24</v>
      </c>
      <c r="F19" s="9" t="s">
        <v>111</v>
      </c>
      <c r="G19" s="7" t="n">
        <v>90</v>
      </c>
      <c r="H19" s="9" t="s">
        <v>42</v>
      </c>
      <c r="I19" s="10" t="s">
        <v>24</v>
      </c>
      <c r="J19" s="9" t="s">
        <v>112</v>
      </c>
      <c r="K19" s="7" t="n">
        <v>180</v>
      </c>
      <c r="L19" s="9" t="s">
        <v>23</v>
      </c>
      <c r="M19" s="10" t="s">
        <v>24</v>
      </c>
      <c r="N19" s="9" t="s">
        <v>113</v>
      </c>
      <c r="O19" s="9" t="s">
        <v>114</v>
      </c>
      <c r="P19" s="9" t="s">
        <v>115</v>
      </c>
    </row>
    <row r="20" customFormat="false" ht="34.5" hidden="false" customHeight="true" outlineLevel="0" collapsed="false">
      <c r="A20" s="5" t="s">
        <v>116</v>
      </c>
      <c r="B20" s="12" t="s">
        <v>65</v>
      </c>
      <c r="C20" s="15" t="n">
        <v>60</v>
      </c>
      <c r="D20" s="7" t="s">
        <v>20</v>
      </c>
      <c r="E20" s="13" t="s">
        <v>24</v>
      </c>
      <c r="F20" s="9" t="s">
        <v>117</v>
      </c>
      <c r="G20" s="7" t="n">
        <v>365</v>
      </c>
      <c r="H20" s="9" t="s">
        <v>23</v>
      </c>
      <c r="I20" s="10" t="s">
        <v>24</v>
      </c>
      <c r="J20" s="9" t="s">
        <v>118</v>
      </c>
      <c r="K20" s="7" t="n">
        <v>90</v>
      </c>
      <c r="L20" s="9" t="s">
        <v>23</v>
      </c>
      <c r="M20" s="10" t="s">
        <v>24</v>
      </c>
      <c r="N20" s="9" t="s">
        <v>119</v>
      </c>
      <c r="O20" s="9" t="s">
        <v>120</v>
      </c>
      <c r="P20" s="9" t="s">
        <v>121</v>
      </c>
    </row>
    <row r="21" customFormat="false" ht="23.25" hidden="false" customHeight="true" outlineLevel="0" collapsed="false">
      <c r="A21" s="5" t="s">
        <v>122</v>
      </c>
      <c r="B21" s="12" t="s">
        <v>123</v>
      </c>
      <c r="C21" s="7" t="n">
        <v>180</v>
      </c>
      <c r="D21" s="7" t="s">
        <v>40</v>
      </c>
      <c r="E21" s="13" t="s">
        <v>24</v>
      </c>
      <c r="F21" s="9" t="s">
        <v>124</v>
      </c>
      <c r="G21" s="7" t="n">
        <v>365</v>
      </c>
      <c r="H21" s="9" t="s">
        <v>42</v>
      </c>
      <c r="I21" s="10" t="s">
        <v>24</v>
      </c>
      <c r="J21" s="9" t="s">
        <v>125</v>
      </c>
      <c r="K21" s="7" t="n">
        <v>365</v>
      </c>
      <c r="L21" s="9" t="s">
        <v>42</v>
      </c>
      <c r="M21" s="10" t="s">
        <v>24</v>
      </c>
      <c r="N21" s="9" t="s">
        <v>126</v>
      </c>
      <c r="O21" s="9" t="s">
        <v>127</v>
      </c>
      <c r="P21" s="9" t="s">
        <v>128</v>
      </c>
    </row>
    <row r="22" customFormat="false" ht="34.5" hidden="false" customHeight="true" outlineLevel="0" collapsed="false">
      <c r="A22" s="5" t="s">
        <v>129</v>
      </c>
      <c r="B22" s="12" t="s">
        <v>130</v>
      </c>
      <c r="C22" s="7" t="n">
        <v>180</v>
      </c>
      <c r="D22" s="7" t="s">
        <v>40</v>
      </c>
      <c r="E22" s="13" t="s">
        <v>24</v>
      </c>
      <c r="F22" s="9" t="s">
        <v>131</v>
      </c>
      <c r="G22" s="7" t="n">
        <v>365</v>
      </c>
      <c r="H22" s="9" t="s">
        <v>42</v>
      </c>
      <c r="I22" s="10" t="s">
        <v>24</v>
      </c>
      <c r="J22" s="11" t="s">
        <v>132</v>
      </c>
      <c r="K22" s="7" t="n">
        <v>60</v>
      </c>
      <c r="L22" s="9" t="s">
        <v>23</v>
      </c>
      <c r="M22" s="10" t="s">
        <v>24</v>
      </c>
      <c r="N22" s="9" t="s">
        <v>133</v>
      </c>
      <c r="O22" s="9" t="s">
        <v>134</v>
      </c>
      <c r="P22" s="9" t="s">
        <v>135</v>
      </c>
    </row>
    <row r="23" customFormat="false" ht="23.25" hidden="false" customHeight="true" outlineLevel="0" collapsed="false">
      <c r="A23" s="5" t="s">
        <v>136</v>
      </c>
      <c r="B23" s="18" t="s">
        <v>137</v>
      </c>
      <c r="C23" s="7" t="n">
        <v>90</v>
      </c>
      <c r="D23" s="7" t="s">
        <v>20</v>
      </c>
      <c r="E23" s="13" t="s">
        <v>24</v>
      </c>
      <c r="F23" s="16" t="s">
        <v>138</v>
      </c>
      <c r="G23" s="7" t="n">
        <v>90</v>
      </c>
      <c r="H23" s="9" t="s">
        <v>42</v>
      </c>
      <c r="I23" s="11" t="s">
        <v>26</v>
      </c>
      <c r="J23" s="11" t="s">
        <v>139</v>
      </c>
      <c r="K23" s="7" t="n">
        <v>60</v>
      </c>
      <c r="L23" s="9" t="s">
        <v>23</v>
      </c>
      <c r="M23" s="11" t="s">
        <v>26</v>
      </c>
      <c r="N23" s="9" t="s">
        <v>140</v>
      </c>
      <c r="O23" s="9" t="s">
        <v>141</v>
      </c>
      <c r="P23" s="9" t="s">
        <v>142</v>
      </c>
    </row>
    <row r="24" customFormat="false" ht="23.25" hidden="false" customHeight="true" outlineLevel="0" collapsed="false">
      <c r="A24" s="5" t="s">
        <v>143</v>
      </c>
      <c r="B24" s="18" t="s">
        <v>137</v>
      </c>
      <c r="C24" s="7" t="n">
        <v>90</v>
      </c>
      <c r="D24" s="7" t="s">
        <v>20</v>
      </c>
      <c r="E24" s="13" t="s">
        <v>24</v>
      </c>
      <c r="F24" s="16" t="s">
        <v>138</v>
      </c>
      <c r="G24" s="7" t="n">
        <v>90</v>
      </c>
      <c r="H24" s="9" t="s">
        <v>42</v>
      </c>
      <c r="I24" s="11" t="s">
        <v>26</v>
      </c>
      <c r="J24" s="11" t="s">
        <v>144</v>
      </c>
      <c r="K24" s="7" t="n">
        <v>60</v>
      </c>
      <c r="L24" s="9" t="s">
        <v>23</v>
      </c>
      <c r="M24" s="11" t="s">
        <v>26</v>
      </c>
      <c r="N24" s="9" t="s">
        <v>140</v>
      </c>
      <c r="O24" s="9" t="s">
        <v>145</v>
      </c>
      <c r="P24" s="9" t="s">
        <v>146</v>
      </c>
    </row>
    <row r="25" customFormat="false" ht="34.5" hidden="false" customHeight="true" outlineLevel="0" collapsed="false">
      <c r="A25" s="5" t="s">
        <v>147</v>
      </c>
      <c r="B25" s="19" t="s">
        <v>148</v>
      </c>
      <c r="C25" s="7" t="n">
        <v>180</v>
      </c>
      <c r="D25" s="7" t="s">
        <v>40</v>
      </c>
      <c r="E25" s="13" t="s">
        <v>24</v>
      </c>
      <c r="F25" s="9" t="s">
        <v>149</v>
      </c>
      <c r="G25" s="7" t="n">
        <v>365</v>
      </c>
      <c r="H25" s="9" t="s">
        <v>23</v>
      </c>
      <c r="I25" s="10" t="s">
        <v>24</v>
      </c>
      <c r="J25" s="9" t="s">
        <v>150</v>
      </c>
      <c r="K25" s="7" t="n">
        <v>365</v>
      </c>
      <c r="L25" s="9" t="s">
        <v>23</v>
      </c>
      <c r="M25" s="10" t="s">
        <v>24</v>
      </c>
      <c r="N25" s="9" t="s">
        <v>151</v>
      </c>
      <c r="O25" s="9" t="s">
        <v>152</v>
      </c>
      <c r="P25" s="9" t="s">
        <v>153</v>
      </c>
    </row>
    <row r="26" customFormat="false" ht="34.5" hidden="false" customHeight="true" outlineLevel="0" collapsed="false">
      <c r="A26" s="5" t="s">
        <v>154</v>
      </c>
      <c r="B26" s="12" t="s">
        <v>155</v>
      </c>
      <c r="C26" s="7" t="n">
        <v>365</v>
      </c>
      <c r="D26" s="7" t="s">
        <v>156</v>
      </c>
      <c r="E26" s="13" t="s">
        <v>24</v>
      </c>
      <c r="F26" s="9" t="s">
        <v>157</v>
      </c>
      <c r="G26" s="7" t="n">
        <v>365</v>
      </c>
      <c r="H26" s="9" t="s">
        <v>23</v>
      </c>
      <c r="I26" s="10" t="s">
        <v>24</v>
      </c>
      <c r="J26" s="9" t="s">
        <v>158</v>
      </c>
      <c r="K26" s="7" t="n">
        <v>120</v>
      </c>
      <c r="L26" s="9" t="s">
        <v>23</v>
      </c>
      <c r="M26" s="10" t="s">
        <v>24</v>
      </c>
      <c r="N26" s="9" t="s">
        <v>159</v>
      </c>
      <c r="O26" s="9" t="s">
        <v>160</v>
      </c>
      <c r="P26" s="9" t="s">
        <v>161</v>
      </c>
    </row>
    <row r="27" customFormat="false" ht="23.25" hidden="false" customHeight="true" outlineLevel="0" collapsed="false">
      <c r="A27" s="5" t="s">
        <v>162</v>
      </c>
      <c r="B27" s="14" t="s">
        <v>163</v>
      </c>
      <c r="C27" s="7" t="n">
        <v>150</v>
      </c>
      <c r="D27" s="7" t="s">
        <v>40</v>
      </c>
      <c r="E27" s="13" t="s">
        <v>24</v>
      </c>
      <c r="F27" s="9" t="s">
        <v>164</v>
      </c>
      <c r="G27" s="7" t="n">
        <v>365</v>
      </c>
      <c r="H27" s="9" t="s">
        <v>42</v>
      </c>
      <c r="I27" s="11" t="s">
        <v>50</v>
      </c>
      <c r="J27" s="9" t="s">
        <v>165</v>
      </c>
      <c r="K27" s="7"/>
      <c r="L27" s="9" t="s">
        <v>20</v>
      </c>
      <c r="M27" s="10" t="s">
        <v>24</v>
      </c>
      <c r="N27" s="9" t="s">
        <v>166</v>
      </c>
      <c r="O27" s="9" t="s">
        <v>167</v>
      </c>
      <c r="P27" s="9" t="s">
        <v>168</v>
      </c>
    </row>
    <row r="28" customFormat="false" ht="23.25" hidden="false" customHeight="true" outlineLevel="0" collapsed="false">
      <c r="A28" s="5" t="s">
        <v>169</v>
      </c>
      <c r="B28" s="12" t="s">
        <v>170</v>
      </c>
      <c r="C28" s="7" t="n">
        <v>180</v>
      </c>
      <c r="D28" s="7" t="s">
        <v>20</v>
      </c>
      <c r="E28" s="13" t="s">
        <v>24</v>
      </c>
      <c r="F28" s="9" t="s">
        <v>171</v>
      </c>
      <c r="G28" s="7" t="n">
        <v>365</v>
      </c>
      <c r="H28" s="9" t="s">
        <v>42</v>
      </c>
      <c r="I28" s="10" t="s">
        <v>24</v>
      </c>
      <c r="J28" s="11" t="s">
        <v>172</v>
      </c>
      <c r="K28" s="7" t="n">
        <v>365</v>
      </c>
      <c r="L28" s="9" t="s">
        <v>42</v>
      </c>
      <c r="M28" s="10" t="s">
        <v>24</v>
      </c>
      <c r="N28" s="9" t="s">
        <v>173</v>
      </c>
      <c r="O28" s="9" t="s">
        <v>174</v>
      </c>
      <c r="P28" s="9"/>
    </row>
    <row r="29" customFormat="false" ht="23.25" hidden="false" customHeight="true" outlineLevel="0" collapsed="false">
      <c r="A29" s="5" t="s">
        <v>175</v>
      </c>
      <c r="B29" s="12" t="s">
        <v>176</v>
      </c>
      <c r="C29" s="7" t="n">
        <v>90</v>
      </c>
      <c r="D29" s="7" t="s">
        <v>20</v>
      </c>
      <c r="E29" s="13" t="s">
        <v>24</v>
      </c>
      <c r="F29" s="9" t="s">
        <v>177</v>
      </c>
      <c r="G29" s="7" t="n">
        <v>365</v>
      </c>
      <c r="H29" s="9" t="s">
        <v>23</v>
      </c>
      <c r="I29" s="11" t="s">
        <v>50</v>
      </c>
      <c r="J29" s="9" t="s">
        <v>178</v>
      </c>
      <c r="K29" s="7" t="n">
        <v>365</v>
      </c>
      <c r="L29" s="9" t="s">
        <v>23</v>
      </c>
      <c r="M29" s="11" t="s">
        <v>50</v>
      </c>
      <c r="N29" s="9" t="s">
        <v>179</v>
      </c>
      <c r="O29" s="9" t="s">
        <v>180</v>
      </c>
      <c r="P29" s="9"/>
    </row>
    <row r="30" customFormat="false" ht="15" hidden="false" customHeight="true" outlineLevel="0" collapsed="false">
      <c r="A30" s="5" t="s">
        <v>181</v>
      </c>
      <c r="B30" s="12" t="s">
        <v>170</v>
      </c>
      <c r="C30" s="7" t="n">
        <v>180</v>
      </c>
      <c r="D30" s="7" t="s">
        <v>40</v>
      </c>
      <c r="E30" s="13" t="s">
        <v>24</v>
      </c>
      <c r="F30" s="9" t="s">
        <v>182</v>
      </c>
      <c r="G30" s="7" t="n">
        <v>180</v>
      </c>
      <c r="H30" s="9" t="s">
        <v>42</v>
      </c>
      <c r="I30" s="10" t="s">
        <v>24</v>
      </c>
      <c r="J30" s="9" t="s">
        <v>183</v>
      </c>
      <c r="K30" s="7" t="n">
        <v>180</v>
      </c>
      <c r="L30" s="9" t="s">
        <v>23</v>
      </c>
      <c r="M30" s="11" t="s">
        <v>50</v>
      </c>
      <c r="N30" s="9" t="s">
        <v>184</v>
      </c>
      <c r="O30" s="9" t="s">
        <v>185</v>
      </c>
      <c r="P30" s="9"/>
    </row>
    <row r="31" customFormat="false" ht="15" hidden="false" customHeight="true" outlineLevel="0" collapsed="false">
      <c r="A31" s="5" t="s">
        <v>186</v>
      </c>
      <c r="B31" s="6" t="s">
        <v>187</v>
      </c>
      <c r="C31" s="7"/>
      <c r="D31" s="7" t="s">
        <v>20</v>
      </c>
      <c r="E31" s="8" t="s">
        <v>21</v>
      </c>
      <c r="F31" s="16" t="s">
        <v>188</v>
      </c>
      <c r="G31" s="7"/>
      <c r="H31" s="9" t="s">
        <v>20</v>
      </c>
      <c r="I31" s="16" t="s">
        <v>21</v>
      </c>
      <c r="J31" s="16" t="s">
        <v>189</v>
      </c>
      <c r="K31" s="7"/>
      <c r="L31" s="9" t="s">
        <v>20</v>
      </c>
      <c r="M31" s="16" t="s">
        <v>21</v>
      </c>
      <c r="N31" s="9" t="s">
        <v>190</v>
      </c>
      <c r="O31" s="9" t="s">
        <v>20</v>
      </c>
      <c r="P31" s="9" t="s">
        <v>191</v>
      </c>
    </row>
    <row r="32" customFormat="false" ht="23.25" hidden="false" customHeight="true" outlineLevel="0" collapsed="false">
      <c r="A32" s="5" t="s">
        <v>192</v>
      </c>
      <c r="B32" s="14" t="s">
        <v>193</v>
      </c>
      <c r="C32" s="7" t="n">
        <v>365</v>
      </c>
      <c r="D32" s="7" t="s">
        <v>40</v>
      </c>
      <c r="E32" s="13" t="s">
        <v>24</v>
      </c>
      <c r="F32" s="9" t="s">
        <v>194</v>
      </c>
      <c r="G32" s="7" t="n">
        <v>365</v>
      </c>
      <c r="H32" s="9" t="s">
        <v>42</v>
      </c>
      <c r="I32" s="11" t="s">
        <v>50</v>
      </c>
      <c r="J32" s="9" t="s">
        <v>195</v>
      </c>
      <c r="K32" s="7" t="n">
        <v>90</v>
      </c>
      <c r="L32" s="9" t="s">
        <v>23</v>
      </c>
      <c r="M32" s="10" t="s">
        <v>24</v>
      </c>
      <c r="N32" s="9" t="s">
        <v>196</v>
      </c>
      <c r="O32" s="9" t="s">
        <v>20</v>
      </c>
      <c r="P32" s="9" t="s">
        <v>197</v>
      </c>
    </row>
    <row r="33" customFormat="false" ht="23.25" hidden="false" customHeight="true" outlineLevel="0" collapsed="false">
      <c r="A33" s="5" t="s">
        <v>198</v>
      </c>
      <c r="B33" s="12" t="s">
        <v>47</v>
      </c>
      <c r="C33" s="7" t="n">
        <v>120</v>
      </c>
      <c r="D33" s="7" t="s">
        <v>20</v>
      </c>
      <c r="E33" s="13" t="s">
        <v>24</v>
      </c>
      <c r="F33" s="9" t="s">
        <v>199</v>
      </c>
      <c r="G33" s="7" t="n">
        <v>365</v>
      </c>
      <c r="H33" s="9" t="s">
        <v>23</v>
      </c>
      <c r="I33" s="10" t="s">
        <v>24</v>
      </c>
      <c r="J33" s="9" t="s">
        <v>200</v>
      </c>
      <c r="K33" s="7" t="n">
        <v>90</v>
      </c>
      <c r="L33" s="9" t="s">
        <v>23</v>
      </c>
      <c r="M33" s="10" t="s">
        <v>24</v>
      </c>
      <c r="N33" s="9" t="s">
        <v>201</v>
      </c>
      <c r="O33" s="9" t="s">
        <v>202</v>
      </c>
      <c r="P33" s="9" t="s">
        <v>203</v>
      </c>
    </row>
    <row r="34" customFormat="false" ht="23.25" hidden="false" customHeight="true" outlineLevel="0" collapsed="false">
      <c r="A34" s="5" t="s">
        <v>204</v>
      </c>
      <c r="B34" s="12" t="s">
        <v>176</v>
      </c>
      <c r="C34" s="7" t="n">
        <v>90</v>
      </c>
      <c r="D34" s="7" t="s">
        <v>20</v>
      </c>
      <c r="E34" s="13" t="s">
        <v>24</v>
      </c>
      <c r="F34" s="9" t="s">
        <v>22</v>
      </c>
      <c r="G34" s="7" t="n">
        <v>180</v>
      </c>
      <c r="H34" s="9" t="s">
        <v>23</v>
      </c>
      <c r="I34" s="10" t="s">
        <v>24</v>
      </c>
      <c r="J34" s="9" t="s">
        <v>205</v>
      </c>
      <c r="K34" s="7" t="n">
        <v>365</v>
      </c>
      <c r="L34" s="9" t="s">
        <v>23</v>
      </c>
      <c r="M34" s="10" t="s">
        <v>24</v>
      </c>
      <c r="N34" s="9" t="s">
        <v>206</v>
      </c>
      <c r="O34" s="9" t="s">
        <v>207</v>
      </c>
      <c r="P34" s="9"/>
    </row>
    <row r="35" customFormat="false" ht="23.25" hidden="false" customHeight="true" outlineLevel="0" collapsed="false">
      <c r="A35" s="5" t="s">
        <v>208</v>
      </c>
      <c r="B35" s="12" t="s">
        <v>176</v>
      </c>
      <c r="C35" s="7" t="n">
        <v>90</v>
      </c>
      <c r="D35" s="7" t="s">
        <v>40</v>
      </c>
      <c r="E35" s="13" t="s">
        <v>24</v>
      </c>
      <c r="F35" s="9" t="s">
        <v>22</v>
      </c>
      <c r="G35" s="7" t="n">
        <v>180</v>
      </c>
      <c r="H35" s="9" t="s">
        <v>23</v>
      </c>
      <c r="I35" s="10" t="s">
        <v>24</v>
      </c>
      <c r="J35" s="9" t="s">
        <v>209</v>
      </c>
      <c r="K35" s="7" t="n">
        <v>365</v>
      </c>
      <c r="L35" s="9" t="s">
        <v>23</v>
      </c>
      <c r="M35" s="10" t="s">
        <v>24</v>
      </c>
      <c r="N35" s="9" t="s">
        <v>210</v>
      </c>
      <c r="O35" s="9" t="s">
        <v>211</v>
      </c>
      <c r="P35" s="9" t="s">
        <v>212</v>
      </c>
    </row>
    <row r="36" customFormat="false" ht="23.25" hidden="false" customHeight="true" outlineLevel="0" collapsed="false">
      <c r="A36" s="5" t="s">
        <v>213</v>
      </c>
      <c r="B36" s="12" t="s">
        <v>54</v>
      </c>
      <c r="C36" s="7" t="n">
        <v>365</v>
      </c>
      <c r="D36" s="7" t="s">
        <v>20</v>
      </c>
      <c r="E36" s="13" t="s">
        <v>24</v>
      </c>
      <c r="F36" s="9" t="s">
        <v>22</v>
      </c>
      <c r="G36" s="7" t="n">
        <v>180</v>
      </c>
      <c r="H36" s="9" t="s">
        <v>23</v>
      </c>
      <c r="I36" s="10" t="s">
        <v>24</v>
      </c>
      <c r="J36" s="9" t="s">
        <v>205</v>
      </c>
      <c r="K36" s="7" t="n">
        <v>365</v>
      </c>
      <c r="L36" s="9" t="s">
        <v>23</v>
      </c>
      <c r="M36" s="10" t="s">
        <v>24</v>
      </c>
      <c r="N36" s="9" t="s">
        <v>206</v>
      </c>
      <c r="O36" s="9" t="s">
        <v>214</v>
      </c>
      <c r="P36" s="9" t="s">
        <v>215</v>
      </c>
    </row>
    <row r="37" customFormat="false" ht="23.25" hidden="false" customHeight="true" outlineLevel="0" collapsed="false">
      <c r="A37" s="5" t="s">
        <v>216</v>
      </c>
      <c r="B37" s="12" t="s">
        <v>176</v>
      </c>
      <c r="C37" s="7" t="n">
        <v>90</v>
      </c>
      <c r="D37" s="7" t="s">
        <v>20</v>
      </c>
      <c r="E37" s="13" t="s">
        <v>24</v>
      </c>
      <c r="F37" s="9" t="s">
        <v>22</v>
      </c>
      <c r="G37" s="7" t="n">
        <v>180</v>
      </c>
      <c r="H37" s="9" t="s">
        <v>23</v>
      </c>
      <c r="I37" s="10" t="s">
        <v>24</v>
      </c>
      <c r="J37" s="11" t="s">
        <v>217</v>
      </c>
      <c r="K37" s="7" t="n">
        <v>365</v>
      </c>
      <c r="L37" s="9" t="s">
        <v>23</v>
      </c>
      <c r="M37" s="10" t="s">
        <v>24</v>
      </c>
      <c r="N37" s="9" t="s">
        <v>218</v>
      </c>
      <c r="O37" s="9" t="s">
        <v>219</v>
      </c>
      <c r="P37" s="9"/>
    </row>
    <row r="38" customFormat="false" ht="23.25" hidden="false" customHeight="true" outlineLevel="0" collapsed="false">
      <c r="A38" s="5" t="s">
        <v>220</v>
      </c>
      <c r="B38" s="6" t="s">
        <v>187</v>
      </c>
      <c r="C38" s="7"/>
      <c r="D38" s="7" t="s">
        <v>20</v>
      </c>
      <c r="E38" s="8" t="s">
        <v>21</v>
      </c>
      <c r="F38" s="16" t="s">
        <v>221</v>
      </c>
      <c r="G38" s="7"/>
      <c r="H38" s="9" t="s">
        <v>20</v>
      </c>
      <c r="I38" s="16" t="s">
        <v>21</v>
      </c>
      <c r="J38" s="9" t="s">
        <v>222</v>
      </c>
      <c r="K38" s="7" t="n">
        <v>180</v>
      </c>
      <c r="L38" s="9" t="s">
        <v>23</v>
      </c>
      <c r="M38" s="11" t="s">
        <v>50</v>
      </c>
      <c r="N38" s="9" t="s">
        <v>223</v>
      </c>
      <c r="O38" s="9" t="s">
        <v>224</v>
      </c>
      <c r="P38" s="9" t="s">
        <v>225</v>
      </c>
    </row>
    <row r="39" customFormat="false" ht="23.25" hidden="false" customHeight="true" outlineLevel="0" collapsed="false">
      <c r="A39" s="5" t="s">
        <v>226</v>
      </c>
      <c r="B39" s="12" t="s">
        <v>170</v>
      </c>
      <c r="C39" s="7" t="n">
        <v>180</v>
      </c>
      <c r="D39" s="7" t="s">
        <v>20</v>
      </c>
      <c r="E39" s="13" t="s">
        <v>24</v>
      </c>
      <c r="F39" s="9" t="s">
        <v>199</v>
      </c>
      <c r="G39" s="7" t="n">
        <v>365</v>
      </c>
      <c r="H39" s="9" t="s">
        <v>23</v>
      </c>
      <c r="I39" s="10" t="s">
        <v>24</v>
      </c>
      <c r="J39" s="9" t="s">
        <v>200</v>
      </c>
      <c r="K39" s="7" t="n">
        <v>90</v>
      </c>
      <c r="L39" s="9" t="s">
        <v>23</v>
      </c>
      <c r="M39" s="10" t="s">
        <v>24</v>
      </c>
      <c r="N39" s="9" t="s">
        <v>201</v>
      </c>
      <c r="O39" s="9" t="s">
        <v>202</v>
      </c>
      <c r="P39" s="9" t="s">
        <v>227</v>
      </c>
    </row>
    <row r="40" customFormat="false" ht="34.5" hidden="false" customHeight="true" outlineLevel="0" collapsed="false">
      <c r="A40" s="5" t="s">
        <v>228</v>
      </c>
      <c r="B40" s="12" t="s">
        <v>229</v>
      </c>
      <c r="C40" s="7" t="n">
        <v>95</v>
      </c>
      <c r="D40" s="7" t="s">
        <v>20</v>
      </c>
      <c r="E40" s="13" t="s">
        <v>24</v>
      </c>
      <c r="F40" s="9" t="s">
        <v>230</v>
      </c>
      <c r="G40" s="7" t="n">
        <v>90</v>
      </c>
      <c r="H40" s="9" t="s">
        <v>23</v>
      </c>
      <c r="I40" s="10" t="s">
        <v>24</v>
      </c>
      <c r="J40" s="9" t="s">
        <v>231</v>
      </c>
      <c r="K40" s="7" t="n">
        <v>90</v>
      </c>
      <c r="L40" s="9" t="s">
        <v>23</v>
      </c>
      <c r="M40" s="10" t="s">
        <v>24</v>
      </c>
      <c r="N40" s="9" t="s">
        <v>232</v>
      </c>
      <c r="O40" s="9" t="s">
        <v>233</v>
      </c>
      <c r="P40" s="9"/>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14"/>
  </cols>
  <sheetData>
    <row r="1" customFormat="false" ht="17.25" hidden="false" customHeight="true" outlineLevel="0" collapsed="false">
      <c r="A1" s="2" t="s">
        <v>234</v>
      </c>
    </row>
    <row r="2" customFormat="false" ht="15" hidden="false" customHeight="true" outlineLevel="0" collapsed="false">
      <c r="A2" s="3" t="s">
        <v>235</v>
      </c>
    </row>
    <row r="4" customFormat="false" ht="15" hidden="false" customHeight="true" outlineLevel="0" collapsed="false">
      <c r="A4" s="20" t="s">
        <v>236</v>
      </c>
    </row>
    <row r="5" customFormat="false" ht="15" hidden="false" customHeight="true" outlineLevel="0" collapsed="false">
      <c r="A5" s="21" t="s">
        <v>237</v>
      </c>
      <c r="B5" s="22" t="n">
        <f aca="false">COUNTA('Timely Filing'!$A$5:$A$40)</f>
        <v>36</v>
      </c>
    </row>
    <row r="6" customFormat="false" ht="15" hidden="false" customHeight="true" outlineLevel="0" collapsed="false">
      <c r="A6" s="21" t="s">
        <v>238</v>
      </c>
      <c r="B6" s="22" t="n">
        <f aca="false">COUNTIF('Timely Filing'!$E$5:$E$40,"Confirmed")</f>
        <v>31</v>
      </c>
    </row>
    <row r="7" customFormat="false" ht="15" hidden="false" customHeight="true" outlineLevel="0" collapsed="false">
      <c r="A7" s="21" t="s">
        <v>239</v>
      </c>
      <c r="B7" s="22" t="n">
        <f aca="false">COUNTIF('Timely Filing'!$E$5:$E$40,"Verify vs contract")</f>
        <v>2</v>
      </c>
    </row>
    <row r="8" customFormat="false" ht="15" hidden="false" customHeight="true" outlineLevel="0" collapsed="false">
      <c r="A8" s="21" t="s">
        <v>240</v>
      </c>
      <c r="B8" s="22" t="n">
        <f aca="false">COUNTIF('Timely Filing'!$E$5:$E$40,"Needs research")</f>
        <v>3</v>
      </c>
    </row>
    <row r="10" customFormat="false" ht="15" hidden="false" customHeight="true" outlineLevel="0" collapsed="false">
      <c r="A10" s="20" t="s">
        <v>241</v>
      </c>
    </row>
    <row r="11" customFormat="false" ht="15" hidden="false" customHeight="true" outlineLevel="0" collapsed="false">
      <c r="A11" s="21" t="s">
        <v>65</v>
      </c>
      <c r="B11" s="22" t="n">
        <f aca="false">COUNTIF('Timely Filing'!$C$5:$C$40,60)</f>
        <v>3</v>
      </c>
    </row>
    <row r="12" customFormat="false" ht="15" hidden="false" customHeight="true" outlineLevel="0" collapsed="false">
      <c r="A12" s="21" t="s">
        <v>176</v>
      </c>
      <c r="B12" s="22" t="n">
        <f aca="false">COUNTIF('Timely Filing'!$C$5:$C$40,90)</f>
        <v>9</v>
      </c>
    </row>
    <row r="13" customFormat="false" ht="15" hidden="false" customHeight="true" outlineLevel="0" collapsed="false">
      <c r="A13" s="21" t="s">
        <v>229</v>
      </c>
      <c r="B13" s="22" t="n">
        <f aca="false">COUNTIF('Timely Filing'!$C$5:$C$40,95)</f>
        <v>1</v>
      </c>
    </row>
    <row r="14" customFormat="false" ht="15" hidden="false" customHeight="true" outlineLevel="0" collapsed="false">
      <c r="A14" s="21" t="s">
        <v>47</v>
      </c>
      <c r="B14" s="22" t="n">
        <f aca="false">COUNTIF('Timely Filing'!$C$5:$C$40,120)</f>
        <v>8</v>
      </c>
    </row>
    <row r="15" customFormat="false" ht="15" hidden="false" customHeight="true" outlineLevel="0" collapsed="false">
      <c r="A15" s="23" t="s">
        <v>242</v>
      </c>
      <c r="B15" s="24" t="n">
        <f aca="false">COUNTIF('Timely Filing'!$C$5:$C$40,150)</f>
        <v>1</v>
      </c>
    </row>
    <row r="16" customFormat="false" ht="15" hidden="false" customHeight="true" outlineLevel="0" collapsed="false">
      <c r="A16" s="21" t="s">
        <v>170</v>
      </c>
      <c r="B16" s="22" t="n">
        <f aca="false">COUNTIF('Timely Filing'!$C$5:$C$40,180)</f>
        <v>7</v>
      </c>
    </row>
    <row r="17" customFormat="false" ht="15" hidden="false" customHeight="true" outlineLevel="0" collapsed="false">
      <c r="A17" s="21" t="s">
        <v>243</v>
      </c>
      <c r="B17" s="22" t="n">
        <f aca="false">COUNTIF('Timely Filing'!$C$5:$C$40,365)</f>
        <v>4</v>
      </c>
    </row>
    <row r="18" customFormat="false" ht="15" hidden="false" customHeight="true" outlineLevel="0" collapsed="false">
      <c r="A18" s="21" t="s">
        <v>244</v>
      </c>
      <c r="B18" s="22" t="n">
        <f aca="false">COUNTIF('Timely Filing'!$B$5:$B$40,"*month*")+COUNTIF('Timely Filing'!$B$5:$B$40,"*physicians*")</f>
        <v>5</v>
      </c>
    </row>
    <row r="19" customFormat="false" ht="15" hidden="false" customHeight="true" outlineLevel="0" collapsed="false"/>
    <row r="20" customFormat="false" ht="15" hidden="false" customHeight="true" outlineLevel="0" collapsed="false">
      <c r="A20" s="20" t="s">
        <v>245</v>
      </c>
    </row>
    <row r="21" customFormat="false" ht="15" hidden="false" customHeight="true" outlineLevel="0" collapsed="false">
      <c r="A21" s="21" t="s">
        <v>246</v>
      </c>
      <c r="B21" s="22" t="n">
        <f aca="false">COUNTIFS('Timely Filing'!$C$5:$C$40,"&lt;=90",'Timely Filing'!$C$5:$C$40,"&gt;0")</f>
        <v>12</v>
      </c>
    </row>
    <row r="22" customFormat="false" ht="15" hidden="false" customHeight="true" outlineLevel="0" collapsed="false">
      <c r="A22" s="21" t="s">
        <v>247</v>
      </c>
      <c r="B22" s="22" t="n">
        <f aca="false">MIN('Timely Filing'!$C$5:$C$40)</f>
        <v>60</v>
      </c>
    </row>
    <row r="23" customFormat="false" ht="15" hidden="false" customHeight="true" outlineLevel="0" collapsed="false">
      <c r="A23" s="21" t="s">
        <v>248</v>
      </c>
      <c r="B23" s="22" t="n">
        <f aca="false">MAX('Timely Filing'!$C$5:$C$40)</f>
        <v>365</v>
      </c>
    </row>
    <row r="24" customFormat="false" ht="15" hidden="false" customHeight="true" outlineLevel="0" collapsed="false"/>
    <row r="25" customFormat="false" ht="15" hidden="false" customHeight="true" outlineLevel="0" collapsed="false">
      <c r="A25" s="20" t="s">
        <v>249</v>
      </c>
    </row>
    <row r="26" customFormat="false" ht="15" hidden="false" customHeight="true" outlineLevel="0" collapsed="false">
      <c r="A26" s="23" t="s">
        <v>250</v>
      </c>
      <c r="B26" s="24" t="n">
        <f aca="false">COUNTIF('Timely Filing'!$I$5:$I$40,"Confirmed")</f>
        <v>22</v>
      </c>
    </row>
    <row r="27" customFormat="false" ht="15" hidden="false" customHeight="true" outlineLevel="0" collapsed="false">
      <c r="A27" s="23" t="s">
        <v>251</v>
      </c>
      <c r="B27" s="24" t="n">
        <f aca="false">COUNTIF('Timely Filing'!$I$5:$I$40,"Verify vs contract")+COUNTIF('Timely Filing'!$I$5:$I$40,"Verify vs manual")</f>
        <v>9</v>
      </c>
    </row>
    <row r="28" customFormat="false" ht="15" hidden="false" customHeight="true" outlineLevel="0" collapsed="false">
      <c r="A28" s="23" t="s">
        <v>252</v>
      </c>
      <c r="B28" s="24" t="n">
        <f aca="false">COUNTIF('Timely Filing'!$I$5:$I$40,"Needs research")</f>
        <v>5</v>
      </c>
    </row>
    <row r="29" customFormat="false" ht="15" hidden="false" customHeight="true" outlineLevel="0" collapsed="false">
      <c r="A29" s="23" t="s">
        <v>253</v>
      </c>
      <c r="B29" s="24" t="n">
        <f aca="false">COUNTIF('Timely Filing'!$H$5:$H$40,"Date of service")</f>
        <v>15</v>
      </c>
    </row>
    <row r="30" customFormat="false" ht="15" hidden="false" customHeight="true" outlineLevel="0" collapsed="false">
      <c r="A30" s="23" t="s">
        <v>254</v>
      </c>
      <c r="B30" s="24" t="n">
        <f aca="false">COUNTIF('Timely Filing'!$H$5:$H$40,"Processed date")</f>
        <v>16</v>
      </c>
    </row>
    <row r="31" customFormat="false" ht="15" hidden="false" customHeight="true" outlineLevel="0" collapsed="false"/>
    <row r="32" customFormat="false" ht="15" hidden="false" customHeight="true" outlineLevel="0" collapsed="false">
      <c r="A32" s="20" t="s">
        <v>255</v>
      </c>
    </row>
    <row r="33" customFormat="false" ht="15" hidden="false" customHeight="true" outlineLevel="0" collapsed="false">
      <c r="A33" s="23" t="s">
        <v>250</v>
      </c>
      <c r="B33" s="24" t="n">
        <f aca="false">COUNTIF('Timely Filing'!$M$5:$M$40,"Confirmed")</f>
        <v>22</v>
      </c>
    </row>
    <row r="34" customFormat="false" ht="15" hidden="false" customHeight="true" outlineLevel="0" collapsed="false">
      <c r="A34" s="23" t="s">
        <v>251</v>
      </c>
      <c r="B34" s="24" t="n">
        <f aca="false">COUNTIF('Timely Filing'!$M$5:$M$40,"Verify vs contract")+COUNTIF('Timely Filing'!$M$5:$M$40,"Verify vs manual")</f>
        <v>12</v>
      </c>
    </row>
    <row r="35" customFormat="false" ht="15" hidden="false" customHeight="true" outlineLevel="0" collapsed="false">
      <c r="A35" s="23" t="s">
        <v>252</v>
      </c>
      <c r="B35" s="24" t="n">
        <f aca="false">COUNTIF('Timely Filing'!$M$5:$M$40,"Needs research")</f>
        <v>2</v>
      </c>
    </row>
    <row r="36" customFormat="false" ht="15" hidden="false" customHeight="true" outlineLevel="0" collapsed="false">
      <c r="A36" s="23" t="s">
        <v>253</v>
      </c>
      <c r="B36" s="24" t="n">
        <f aca="false">COUNTIF('Timely Filing'!$L$5:$L$40,"Date of service")</f>
        <v>6</v>
      </c>
    </row>
    <row r="37" customFormat="false" ht="15" hidden="false" customHeight="true" outlineLevel="0" collapsed="false">
      <c r="A37" s="23" t="s">
        <v>254</v>
      </c>
      <c r="B37" s="24" t="n">
        <f aca="false">COUNTIF('Timely Filing'!$L$5:$L$40,"Processed date")</f>
        <v>27</v>
      </c>
    </row>
    <row r="38" customFormat="false" ht="15" hidden="false" customHeight="true" outlineLevel="0" collapsed="false"/>
    <row r="39" customFormat="false" ht="15" hidden="false" customHeight="true" outlineLevel="0" collapsed="false">
      <c r="A39" s="20" t="s">
        <v>256</v>
      </c>
    </row>
    <row r="40" customFormat="false" ht="15" hidden="false" customHeight="true" outlineLevel="0" collapsed="false">
      <c r="A40" s="23" t="s">
        <v>257</v>
      </c>
      <c r="B40" s="24" t="n">
        <f aca="false">MIN('Timely Filing'!$G$5:$G$40)</f>
        <v>90</v>
      </c>
    </row>
    <row r="41" customFormat="false" ht="15" hidden="false" customHeight="true" outlineLevel="0" collapsed="false">
      <c r="A41" s="23" t="s">
        <v>258</v>
      </c>
      <c r="B41" s="24" t="n">
        <f aca="false">MIN('Timely Filing'!$K$5:$K$40)</f>
        <v>60</v>
      </c>
    </row>
    <row r="42" customFormat="false" ht="15" hidden="false" customHeight="true" outlineLevel="0" collapsed="false">
      <c r="A42" s="23" t="s">
        <v>259</v>
      </c>
      <c r="B42" s="24" t="n">
        <f aca="false">COUNTIFS('Timely Filing'!$K$5:$K$40,"&lt;=90",'Timely Filing'!$K$5:$K$40,"&gt;0")</f>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260</v>
      </c>
    </row>
    <row r="2" customFormat="false" ht="15" hidden="false" customHeight="true" outlineLevel="0" collapsed="false">
      <c r="A2" s="23"/>
    </row>
    <row r="3" customFormat="false" ht="15" hidden="false" customHeight="true" outlineLevel="0" collapsed="false">
      <c r="A3" s="20" t="s">
        <v>261</v>
      </c>
    </row>
    <row r="4" customFormat="false" ht="15" hidden="false" customHeight="true" outlineLevel="0" collapsed="false">
      <c r="A4" s="23" t="s">
        <v>262</v>
      </c>
    </row>
    <row r="5" customFormat="false" ht="15" hidden="false" customHeight="true" outlineLevel="0" collapsed="false">
      <c r="A5" s="23" t="s">
        <v>263</v>
      </c>
    </row>
    <row r="6" customFormat="false" ht="15" hidden="false" customHeight="true" outlineLevel="0" collapsed="false">
      <c r="A6" s="23" t="s">
        <v>264</v>
      </c>
    </row>
    <row r="7" customFormat="false" ht="15" hidden="false" customHeight="true" outlineLevel="0" collapsed="false">
      <c r="A7" s="23" t="s">
        <v>265</v>
      </c>
    </row>
    <row r="8" customFormat="false" ht="15" hidden="false" customHeight="true" outlineLevel="0" collapsed="false">
      <c r="A8" s="23" t="s">
        <v>266</v>
      </c>
    </row>
    <row r="9" customFormat="false" ht="15" hidden="false" customHeight="true" outlineLevel="0" collapsed="false">
      <c r="A9" s="23"/>
    </row>
    <row r="10" customFormat="false" ht="15" hidden="false" customHeight="true" outlineLevel="0" collapsed="false">
      <c r="A10" s="20" t="s">
        <v>267</v>
      </c>
    </row>
    <row r="11" customFormat="false" ht="15" hidden="false" customHeight="true" outlineLevel="0" collapsed="false">
      <c r="A11" s="23" t="s">
        <v>268</v>
      </c>
    </row>
    <row r="12" customFormat="false" ht="15" hidden="false" customHeight="true" outlineLevel="0" collapsed="false">
      <c r="A12" s="23" t="s">
        <v>269</v>
      </c>
    </row>
    <row r="13" customFormat="false" ht="15" hidden="false" customHeight="true" outlineLevel="0" collapsed="false">
      <c r="A13" s="23"/>
    </row>
    <row r="14" customFormat="false" ht="15" hidden="false" customHeight="true" outlineLevel="0" collapsed="false">
      <c r="A14" s="20" t="s">
        <v>270</v>
      </c>
    </row>
    <row r="15" customFormat="false" ht="15" hidden="false" customHeight="true" outlineLevel="0" collapsed="false">
      <c r="A15" s="23" t="s">
        <v>271</v>
      </c>
    </row>
    <row r="16" customFormat="false" ht="15" hidden="false" customHeight="true" outlineLevel="0" collapsed="false">
      <c r="A16" s="23" t="s">
        <v>272</v>
      </c>
    </row>
    <row r="17" customFormat="false" ht="15" hidden="false" customHeight="true" outlineLevel="0" collapsed="false">
      <c r="A17" s="23" t="s">
        <v>273</v>
      </c>
    </row>
    <row r="18" customFormat="false" ht="15" hidden="false" customHeight="true" outlineLevel="0" collapsed="false">
      <c r="A18" s="23"/>
    </row>
    <row r="19" customFormat="false" ht="15" hidden="false" customHeight="true" outlineLevel="0" collapsed="false">
      <c r="A19" s="20" t="s">
        <v>274</v>
      </c>
    </row>
    <row r="20" customFormat="false" ht="15" hidden="false" customHeight="true" outlineLevel="0" collapsed="false">
      <c r="A20" s="23" t="s">
        <v>275</v>
      </c>
    </row>
    <row r="21" customFormat="false" ht="15" hidden="false" customHeight="true" outlineLevel="0" collapsed="false">
      <c r="A21" s="23" t="s">
        <v>276</v>
      </c>
    </row>
    <row r="22" customFormat="false" ht="15" hidden="false" customHeight="true" outlineLevel="0" collapsed="false">
      <c r="A22" s="23"/>
    </row>
    <row r="23" customFormat="false" ht="15" hidden="false" customHeight="true" outlineLevel="0" collapsed="false">
      <c r="A23" s="20" t="s">
        <v>277</v>
      </c>
    </row>
    <row r="24" customFormat="false" ht="15" hidden="false" customHeight="true" outlineLevel="0" collapsed="false">
      <c r="A24" s="23" t="s">
        <v>278</v>
      </c>
    </row>
    <row r="25" customFormat="false" ht="15" hidden="false" customHeight="true" outlineLevel="0" collapsed="false">
      <c r="A25" s="23" t="s">
        <v>279</v>
      </c>
    </row>
    <row r="26" customFormat="false" ht="15" hidden="false" customHeight="true" outlineLevel="0" collapsed="false">
      <c r="A26" s="23" t="s">
        <v>280</v>
      </c>
    </row>
    <row r="27" customFormat="false" ht="15" hidden="false" customHeight="true" outlineLevel="0" collapsed="false">
      <c r="A27" s="23"/>
    </row>
    <row r="28" customFormat="false" ht="15" hidden="false" customHeight="true" outlineLevel="0" collapsed="false">
      <c r="A28" s="20" t="s">
        <v>281</v>
      </c>
    </row>
    <row r="29" customFormat="false" ht="15" hidden="false" customHeight="true" outlineLevel="0" collapsed="false">
      <c r="A29" s="23" t="s">
        <v>282</v>
      </c>
    </row>
    <row r="30" customFormat="false" ht="15" hidden="false" customHeight="true" outlineLevel="0" collapsed="false">
      <c r="A30" s="23" t="s">
        <v>283</v>
      </c>
    </row>
    <row r="31" customFormat="false" ht="15" hidden="false" customHeight="true" outlineLevel="0" collapsed="false">
      <c r="A31" s="23" t="s">
        <v>284</v>
      </c>
    </row>
    <row r="32" customFormat="false" ht="15" hidden="false" customHeight="true" outlineLevel="0" collapsed="false">
      <c r="A32" s="23"/>
    </row>
    <row r="33" customFormat="false" ht="15" hidden="false" customHeight="true" outlineLevel="0" collapsed="false">
      <c r="A33" s="23" t="s">
        <v>285</v>
      </c>
    </row>
    <row r="35" customFormat="false" ht="15" hidden="false" customHeight="true" outlineLevel="0" collapsed="false">
      <c r="A35" s="20" t="s">
        <v>286</v>
      </c>
    </row>
    <row r="36" customFormat="false" ht="15" hidden="false" customHeight="true" outlineLevel="0" collapsed="false">
      <c r="A36" s="23" t="s">
        <v>287</v>
      </c>
    </row>
    <row r="37" customFormat="false" ht="15" hidden="false" customHeight="true" outlineLevel="0" collapsed="false">
      <c r="A37" s="23" t="s">
        <v>288</v>
      </c>
    </row>
    <row r="38" customFormat="false" ht="15" hidden="false" customHeight="true" outlineLevel="0" collapsed="false">
      <c r="A38" s="23" t="s">
        <v>289</v>
      </c>
    </row>
    <row r="39" customFormat="false" ht="15" hidden="false" customHeight="true" outlineLevel="0" collapsed="false">
      <c r="A39" s="23" t="s">
        <v>290</v>
      </c>
    </row>
    <row r="41" customFormat="false" ht="15" hidden="false" customHeight="true" outlineLevel="0" collapsed="false">
      <c r="A41" s="20" t="s">
        <v>291</v>
      </c>
    </row>
    <row r="42" customFormat="false" ht="15" hidden="false" customHeight="true" outlineLevel="0" collapsed="false">
      <c r="A42" s="23" t="s">
        <v>292</v>
      </c>
    </row>
    <row r="43" customFormat="false" ht="15" hidden="false" customHeight="true" outlineLevel="0" collapsed="false">
      <c r="A43" s="23" t="s">
        <v>293</v>
      </c>
    </row>
    <row r="44" customFormat="false" ht="15" hidden="false" customHeight="true" outlineLevel="0" collapsed="false">
      <c r="A44" s="23" t="s">
        <v>294</v>
      </c>
    </row>
    <row r="46" customFormat="false" ht="15" hidden="false" customHeight="true" outlineLevel="0" collapsed="false">
      <c r="A46" s="20" t="s">
        <v>295</v>
      </c>
    </row>
    <row r="47" customFormat="false" ht="15" hidden="false" customHeight="true" outlineLevel="0" collapsed="false">
      <c r="A47" s="23" t="s">
        <v>296</v>
      </c>
    </row>
    <row r="48" customFormat="false" ht="15" hidden="false" customHeight="true" outlineLevel="0" collapsed="false">
      <c r="A48" s="23" t="s">
        <v>297</v>
      </c>
    </row>
    <row r="49" customFormat="false" ht="15" hidden="false" customHeight="true" outlineLevel="0" collapsed="false">
      <c r="A49" s="23" t="s">
        <v>298</v>
      </c>
    </row>
    <row r="50" customFormat="false" ht="15" hidden="false" customHeight="true" outlineLevel="0" collapsed="false">
      <c r="A50" s="23" t="s">
        <v>299</v>
      </c>
    </row>
    <row r="51" customFormat="false" ht="15" hidden="false" customHeight="true" outlineLevel="0" collapsed="false">
      <c r="A51" s="23" t="s">
        <v>300</v>
      </c>
    </row>
    <row r="52" customFormat="false" ht="15" hidden="false" customHeight="true" outlineLevel="0" collapsed="false">
      <c r="A52" s="23" t="s">
        <v>301</v>
      </c>
    </row>
    <row r="53" customFormat="false" ht="15" hidden="false" customHeight="true" outlineLevel="0" collapsed="false">
      <c r="A53" s="23" t="s">
        <v>302</v>
      </c>
    </row>
    <row r="54" customFormat="false" ht="15" hidden="false" customHeight="true" outlineLevel="0" collapsed="false">
      <c r="A54" s="23" t="s">
        <v>303</v>
      </c>
    </row>
    <row r="55" customFormat="false" ht="15" hidden="false" customHeight="true" outlineLevel="0" collapsed="false">
      <c r="A55" s="23" t="s">
        <v>304</v>
      </c>
    </row>
    <row r="56" customFormat="false" ht="15" hidden="false" customHeight="true" outlineLevel="0" collapsed="false">
      <c r="A56" s="23" t="s">
        <v>305</v>
      </c>
    </row>
    <row r="57" customFormat="false" ht="15" hidden="false" customHeight="true" outlineLevel="0" collapsed="false">
      <c r="A57" s="23" t="s">
        <v>306</v>
      </c>
    </row>
    <row r="58" customFormat="false" ht="15" hidden="false" customHeight="true" outlineLevel="0" collapsed="false"/>
    <row r="59" customFormat="false" ht="15" hidden="false" customHeight="true" outlineLevel="0" collapsed="false">
      <c r="A59" s="20" t="s">
        <v>307</v>
      </c>
    </row>
    <row r="60" customFormat="false" ht="15" hidden="false" customHeight="true" outlineLevel="0" collapsed="false">
      <c r="A60" s="23" t="s">
        <v>308</v>
      </c>
    </row>
    <row r="61" customFormat="false" ht="15" hidden="false" customHeight="true" outlineLevel="0" collapsed="false">
      <c r="A61" s="23" t="s">
        <v>309</v>
      </c>
    </row>
    <row r="62" customFormat="false" ht="15" hidden="false" customHeight="true" outlineLevel="0" collapsed="false">
      <c r="A62" s="23" t="s">
        <v>310</v>
      </c>
    </row>
    <row r="63" customFormat="false" ht="15" hidden="false" customHeight="true" outlineLevel="0" collapsed="false">
      <c r="A63" s="23" t="s">
        <v>311</v>
      </c>
    </row>
    <row r="64" customFormat="false" ht="15" hidden="false" customHeight="true" outlineLevel="0" collapsed="false"/>
    <row r="65" customFormat="false" ht="15" hidden="false" customHeight="true" outlineLevel="0" collapsed="false">
      <c r="A65" s="20" t="s">
        <v>312</v>
      </c>
    </row>
    <row r="66" customFormat="false" ht="15" hidden="false" customHeight="true" outlineLevel="0" collapsed="false">
      <c r="A66" s="23" t="s">
        <v>313</v>
      </c>
    </row>
    <row r="67" customFormat="false" ht="15" hidden="false" customHeight="true" outlineLevel="0" collapsed="false">
      <c r="A67" s="23" t="s">
        <v>314</v>
      </c>
    </row>
    <row r="68" customFormat="false" ht="15" hidden="false" customHeight="true" outlineLevel="0" collapsed="false">
      <c r="A68" s="23" t="s">
        <v>315</v>
      </c>
    </row>
    <row r="69" customFormat="false" ht="15" hidden="false" customHeight="true" outlineLevel="0" collapsed="false">
      <c r="A69" s="23" t="s">
        <v>316</v>
      </c>
    </row>
    <row r="70" customFormat="false" ht="15" hidden="false" customHeight="true" outlineLevel="0" collapsed="false">
      <c r="A70" s="23" t="s">
        <v>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2026-08-12T19:47:10Z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