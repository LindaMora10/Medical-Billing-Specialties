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mely Filing" sheetId="1" state="visible" r:id="rId3"/>
    <sheet name="Summary" sheetId="2" state="visible" r:id="rId4"/>
    <sheet name="Notes &amp; Sources" sheetId="3" state="visible" r:id="rId5"/>
  </sheets>
  <definedNames>
    <definedName function="false" hidden="false" localSheetId="0" name="_xlnm.Print_Titles" vbProcedure="false">'Timely Filing'!$4:$4</definedName>
    <definedName function="false" hidden="true" localSheetId="0" name="_xlnm._FilterDatabase" vbProcedure="false">'Timely Filing'!$A$4:$P$40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<sst xmlns="http://schemas.openxmlformats.org/spreadsheetml/2006/main" count="572" uniqueCount="319">
  <si>
    <t xml:space="preserve">Carrier timely filing limits</t>
  </si>
  <si>
    <t xml:space="preserve">Days allowed to submit a clean claim, to resubmit a corrected claim on a claim the payer already has, and to file a reconsideration or appeal - by carrier. Each block records whether the carrier counts from the date of service or from the processed / remittance date. Rows shaded amber have nothing on file and need research; rows shaded blue carry more than one rule. See the 'Notes &amp; Sources' tab.</t>
  </si>
  <si>
    <t xml:space="preserve">Carrier</t>
  </si>
  <si>
    <t xml:space="preserve">Timely Filing Limit</t>
  </si>
  <si>
    <t xml:space="preserve">Days</t>
  </si>
  <si>
    <t xml:space="preserve">Basis</t>
  </si>
  <si>
    <t xml:space="preserve">Status</t>
  </si>
  <si>
    <t xml:space="preserve">Corrected Claim Limit</t>
  </si>
  <si>
    <t xml:space="preserve">Corrected Claim Days</t>
  </si>
  <si>
    <t xml:space="preserve">Corrected Claim Counted From</t>
  </si>
  <si>
    <t xml:space="preserve">Corrected Claim Status</t>
  </si>
  <si>
    <t xml:space="preserve">Reconsideration / Appeal Limit</t>
  </si>
  <si>
    <t xml:space="preserve">Appeal Days</t>
  </si>
  <si>
    <t xml:space="preserve">Appeal Counted From</t>
  </si>
  <si>
    <t xml:space="preserve">Appeal Status</t>
  </si>
  <si>
    <t xml:space="preserve">Corrected Claim / Appeal Source</t>
  </si>
  <si>
    <t xml:space="preserve">Likely Payer Name(s) in AR Data</t>
  </si>
  <si>
    <t xml:space="preserve">Notes</t>
  </si>
  <si>
    <t xml:space="preserve">AARP MA CHOICE / MEDICARE COMPLETE</t>
  </si>
  <si>
    <t xml:space="preserve">Not documented</t>
  </si>
  <si>
    <t xml:space="preserve">-</t>
  </si>
  <si>
    <t xml:space="preserve">Needs research</t>
  </si>
  <si>
    <t xml:space="preserve">180 calendar days from the original remittance date. The corrected claim must also fall inside the filing window in the agreement counted from the date of service, so whichever window closes first governs. Include every originally billed line, not just the line being corrected</t>
  </si>
  <si>
    <t xml:space="preserve">Processed date</t>
  </si>
  <si>
    <t xml:space="preserve">Confirmed</t>
  </si>
  <si>
    <t xml:space="preserve">12 months from the EOB / PRA to complete reconsideration then appeal (contracted). Non-contracted Medicare Advantage: 120 days from the original claim determination</t>
  </si>
  <si>
    <t xml:space="preserve">Verify vs contract</t>
  </si>
  <si>
    <t xml:space="preserve">UnitedHealthcare - Pre- and post-service appeals and reconsiderations (uhcprovider.com/en/claims-payments-billing/appeals.html); Medicare Advantage non-contracted care provider dispute and appeal rights (uhcprovider.com)</t>
  </si>
  <si>
    <t xml:space="preserve">AARP MedicareComplete (SecureHorizons &amp; Oxford Network); AARP United Healthcare</t>
  </si>
  <si>
    <t xml:space="preserve">No limit supplied. Administered by UnitedHealthcare - confirm whether the UHC Medicare Advantage limit (90 days) applies or whether the plan carries its own.</t>
  </si>
  <si>
    <t xml:space="preserve">AETNA</t>
  </si>
  <si>
    <t xml:space="preserve">120 days per contract</t>
  </si>
  <si>
    <t xml:space="preserve">Contract</t>
  </si>
  <si>
    <t xml:space="preserve">180 days from the date of determination, unless the provider agreement says otherwise</t>
  </si>
  <si>
    <t xml:space="preserve">Reconsideration 180 calendar days from the claim decision; formal appeal 60 calendar days from the reconsideration decision</t>
  </si>
  <si>
    <t xml:space="preserve">Aetna - Disputes and appeals overview and Provider appeals (aetna.com/health-care-professionals/disputes-appeals)</t>
  </si>
  <si>
    <t xml:space="preserve">Aetna; Aetna Legacy; Aetna Medicare HMO; Aetna Medicare PPO; Aetna Senior Supplemental (AESSI)</t>
  </si>
  <si>
    <t xml:space="preserve">Per contract rather than provider manual, so the limit is specific to our agreement.</t>
  </si>
  <si>
    <t xml:space="preserve">AHCCCS</t>
  </si>
  <si>
    <t xml:space="preserve">6 months from the date of service</t>
  </si>
  <si>
    <t xml:space="preserve">Provider manual</t>
  </si>
  <si>
    <t xml:space="preserve">12 months from the date of service to resubmit and reach clean claim status, provided the original claim was received inside the 6 month window</t>
  </si>
  <si>
    <t xml:space="preserve">Date of service</t>
  </si>
  <si>
    <t xml:space="preserve">12 months from the date of service. If the denial lands within 60 days of that deadline, 60 days from the adverse action date printed on the remittance advice</t>
  </si>
  <si>
    <t xml:space="preserve">AHCCCS - Claim Resubmission and Reconsideration Process and Provider Claim Disputes (azahcccs.gov/PlansProviders/RatesAndBilling/FFS)</t>
  </si>
  <si>
    <t xml:space="preserve">Arizona Medicaid fee for service. An initial claim must be received within 6 months of the date of service, except where retro-eligibility applies; claims received later are denied. Secondary claims must meet the same 6 month test. The limit is stated in months - column C carries 180 days so the row sorts and calculates, but count 6 calendar months from the date of service for the real deadline. AHCCCS-contracted plans (Mercy Care, Health Choice, Banner University, UHC Community, AZ Complete) are listed separately.</t>
  </si>
  <si>
    <t xml:space="preserve">AMBETTER</t>
  </si>
  <si>
    <t xml:space="preserve">120 days</t>
  </si>
  <si>
    <t xml:space="preserve">365 days from the date of service. The original claim reference number must be on the resubmission or it is treated as a new claim</t>
  </si>
  <si>
    <t xml:space="preserve">Reconsideration (level I) 180 days from the date on the original EOP or denial; claim dispute (level II) only after an unsatisfactory reconsideration response</t>
  </si>
  <si>
    <t xml:space="preserve">Verify vs manual</t>
  </si>
  <si>
    <t xml:space="preserve">Ambetter from Arizona Complete Health - Provider and Billing Manual (azcompletehealth.com); Ambetter Provider Claims and Payments FAQ (ambetterhealth.com)</t>
  </si>
  <si>
    <t xml:space="preserve">Centene marketplace product.</t>
  </si>
  <si>
    <t xml:space="preserve">AMERIGROUP</t>
  </si>
  <si>
    <t xml:space="preserve">365 days</t>
  </si>
  <si>
    <t xml:space="preserve">Must fall inside the initial filing limit and carry the corrected claim frequency code; a corrected claim filed inside that limit rebuts a timely filing denial</t>
  </si>
  <si>
    <t xml:space="preserve">Reconsideration up to 24 months from the EOP date (shorter in some states); payment appeal 60 calendar days from the EOP or the reconsideration determination notice; second level 30 days</t>
  </si>
  <si>
    <t xml:space="preserve">Amerigroup - Claims Timely Filing and Corrected Claims reimbursement policies; Payment appeal timely filing limit update (provider.amerigroup.com)</t>
  </si>
  <si>
    <t xml:space="preserve">No matching payer name in the 2026-S1 pending file.</t>
  </si>
  <si>
    <t xml:space="preserve">AZ COMPLETE</t>
  </si>
  <si>
    <t xml:space="preserve">365 days from the date of service. The original claim reference number must be on the resubmission</t>
  </si>
  <si>
    <t xml:space="preserve">Reconsideration 12 months from the date of service, reviewed within 60 days; formal provider claim dispute follows an unsuccessful reconsideration</t>
  </si>
  <si>
    <t xml:space="preserve">Arizona Complete Health - Provider Manual Finance/Billing and Grievance and Appeal System; Medicaid Provider Claim Resolution Process (azcompletehealth.com)</t>
  </si>
  <si>
    <t xml:space="preserve">Arizona Complete Health (Centene)</t>
  </si>
  <si>
    <t xml:space="preserve">AZ PRIORITY CARE</t>
  </si>
  <si>
    <t xml:space="preserve">60 days</t>
  </si>
  <si>
    <t xml:space="preserve">No separate corrected claim window published. A claim decision you disagree with goes through the dispute route below, which allows 365 days</t>
  </si>
  <si>
    <t xml:space="preserve">365 calendar days of the initial claim decision. File on the Provider Dispute Resolution Request (PDR) form through the AZ Connect portal, with the original claim, EOB, authorisation and records</t>
  </si>
  <si>
    <t xml:space="preserve">Arizona Priority Care - Claims Submission and Appeals, rev. 8 August 2025, and Claims and Payments toolkit (azprioritycare.com)</t>
  </si>
  <si>
    <t xml:space="preserve">Arizona Priority Care Plus</t>
  </si>
  <si>
    <t xml:space="preserve">Shortest limit on this list together with BHN and Devoted - work these denials first.</t>
  </si>
  <si>
    <t xml:space="preserve">BANNER HEALTH &amp; AETNA</t>
  </si>
  <si>
    <t xml:space="preserve">180 days from the date of the initial decision, unless state regulation or the organisational provider contract allows longer</t>
  </si>
  <si>
    <t xml:space="preserve">180 days from the date of the initial decision, unless state regulation or the organisational provider contract allows longer. Decision issued within 60 calendar days</t>
  </si>
  <si>
    <t xml:space="preserve">Banner Aetna - Dispute &amp; Appeals Process Quick Reference Guide (banneraetna.com/en/health-care-professionals/dispute-and-appeals-overview); Aetna - Disputes and appeals overview (aetna.com)</t>
  </si>
  <si>
    <t xml:space="preserve">Banner Health &amp; Aetna Health Insurance Company; Banner Aetna</t>
  </si>
  <si>
    <t xml:space="preserve">Joint venture product; separate from the Aetna and BHN rows.</t>
  </si>
  <si>
    <t xml:space="preserve">BANNER HEALTH NETWORK (BHN)</t>
  </si>
  <si>
    <t xml:space="preserve">Not documented as a separate window. Mark the claim "Resubmission" or set the resubmission box on an electronic claim</t>
  </si>
  <si>
    <t xml:space="preserve">Not documented as a separate provider claim dispute window on the open site</t>
  </si>
  <si>
    <t xml:space="preserve">Banner Health Network 2026 Provider Resource Manual v8.0, 10 December 2025 (bannerhealthnetwork.com/Document/1142) - could not be retrieved, pull the claims chapter directly</t>
  </si>
  <si>
    <t xml:space="preserve">Banner Health Physician Hospital Organization Plan Administration</t>
  </si>
  <si>
    <t xml:space="preserve">Shortest limit on this list together with AZ Priority Care and Devoted.</t>
  </si>
  <si>
    <t xml:space="preserve">BANNER MEDICARE ADVANTAGE</t>
  </si>
  <si>
    <t xml:space="preserve">65 calendar days from the date printed on the written coverage decision denial notice. This is the published coverage decision window - confirm the provider claim payment dispute window in the provider manual</t>
  </si>
  <si>
    <t xml:space="preserve">Banner Medicare Advantage - Appeals (bannerhealth.com/medicare/members/resources/g-and-a/appeals); 2026 Provider Manual effective 05/15/2026</t>
  </si>
  <si>
    <t xml:space="preserve">Banner Medicare Advantage Prime HMO (BMAH)</t>
  </si>
  <si>
    <t xml:space="preserve">BANNER UNIVERSITY MA</t>
  </si>
  <si>
    <t xml:space="preserve">12 months from the date of service, under the AHCCCS resubmission rule. Mark the claim "Resubmission" or set the resubmission box on an electronic claim</t>
  </si>
  <si>
    <t xml:space="preserve">12 months from the date of service. If the denial lands within 60 days of that deadline, 60 days from the adverse action date on the remittance advice</t>
  </si>
  <si>
    <t xml:space="preserve">Banner Health Plans - Claims and Payments (bannerhealth.com/bhpprovider/resources/claims); AHCCCS agreement YH23-0010 identifying Banner - University Care Advantage as the D-SNP; AHCCCS Claim Resubmission and Reconsideration Process</t>
  </si>
  <si>
    <t xml:space="preserve">Needs to be verified against the contract.</t>
  </si>
  <si>
    <t xml:space="preserve">BANNER UNIVERSITY MEDICAID</t>
  </si>
  <si>
    <t xml:space="preserve">Reconsideration 12 months from the date of service. If the denial lands within 60 days of that deadline, 60 days from the adverse action date on the remittance advice</t>
  </si>
  <si>
    <t xml:space="preserve">Banner Health Plans - AHCCCS Complete Care Provider Manual and Claims pages (bannerhealth.com/bhpprovider/resources/claims); AHCCCS Claim Resubmission and Reconsideration Process</t>
  </si>
  <si>
    <t xml:space="preserve">Banner University Family Care - Arizona Long Term Care System</t>
  </si>
  <si>
    <t xml:space="preserve">BCBS</t>
  </si>
  <si>
    <t xml:space="preserve">365 days from DOS; 90 days as of 1/1/2026</t>
  </si>
  <si>
    <t xml:space="preserve">90 days from the date of service. A resubmission gets no extension - it must land inside the same window as the original claim, so a claim filed late in the window leaves very little room to correct it</t>
  </si>
  <si>
    <t xml:space="preserve">1 year from the original processing date for a reconsideration. Self-funded groups that customise their appeal procedure may use a 180 day window</t>
  </si>
  <si>
    <t xml:space="preserve">Resubmission window supplied by the practice. The reconsideration window is from AZ Blue - Claims and Remits and Appeals and Grievances (azblue.com/provider/resources), which states that most claim adjustments and requests for reconsideration must be made within one year of the date the claim was originally processed</t>
  </si>
  <si>
    <t xml:space="preserve">Blue Cross Blue Shield of Arizona (BCBS AZ); Blue Cross Blue Shield of Arizona</t>
  </si>
  <si>
    <t xml:space="preserve">Initial filing limit changed on 1 January 2026. Use 90 days for dates of service on or after 01/01/2026 and 365 days for earlier dates. Resubmissions run on the same 90 day clock from the date of service and get no extension, so on this carrier the correction window closes with the filing window. The reconsideration route is the opposite: 1 year from the date the claim was originally processed. Reach for a reconsideration rather than a resubmission once the 90 days are gone - see the 'Notes &amp; Sources' tab.</t>
  </si>
  <si>
    <t xml:space="preserve">BCBS REGENCE</t>
  </si>
  <si>
    <t xml:space="preserve">365 days from DOS (90 days as of 2026)</t>
  </si>
  <si>
    <t xml:space="preserve">Not documented as a separate window on the open provider site</t>
  </si>
  <si>
    <t xml:space="preserve">180 days from the date of the initial adverse determination</t>
  </si>
  <si>
    <t xml:space="preserve">Regence - Pricing disputes and appeals and Claims submission (regence.com/provider/claims-payment). The 180 day figure is not stated on the open provider pages; confirm against the provider administrative manual</t>
  </si>
  <si>
    <t xml:space="preserve">Same 2026 reduction as BCBS. Use 90 days for 2026 dates of service and 365 days for earlier dates.</t>
  </si>
  <si>
    <t xml:space="preserve">CIGNA / CIGNA MEDICARE</t>
  </si>
  <si>
    <t xml:space="preserve">90 days from DOS</t>
  </si>
  <si>
    <t xml:space="preserve">No automatic extension. A corrected claim stays subject to the timely filing provision in the Cigna agreement, so the 90 day window from the date of service still governs</t>
  </si>
  <si>
    <t xml:space="preserve">180 calendar days from the date of the initial payment or denial notice, or from the date of the last payment adjustment. Reconsideration also 180 days from the claim payment date</t>
  </si>
  <si>
    <t xml:space="preserve">Cigna Healthcare - Appeals and Disputes and Appeal Policy and Procedures for Health Care Professionals (cigna.com/health-care-providers/coverage-and-claims/appeals-disputes)</t>
  </si>
  <si>
    <t xml:space="preserve">HealthSpring Medicare Advantage; CIGNA HealthSprings; Cigna Medicare Advantage</t>
  </si>
  <si>
    <t xml:space="preserve">Same limit for the commercial and Medicare Advantage products.</t>
  </si>
  <si>
    <t xml:space="preserve">DEVOTED</t>
  </si>
  <si>
    <t xml:space="preserve">1 year from the claim processed date</t>
  </si>
  <si>
    <t xml:space="preserve">90 days from the latest processed date, filed as a dispute on the provider portal</t>
  </si>
  <si>
    <t xml:space="preserve">Supplied by the practice. The Devoted provider manual names its timely filing and payment dispute sections but does not publish the day counts openly, so this is the practice figure rather than a published one</t>
  </si>
  <si>
    <t xml:space="preserve">Devoted Health Plan</t>
  </si>
  <si>
    <t xml:space="preserve">Shortest limit on this list together with AZ Priority Care and BHN.</t>
  </si>
  <si>
    <t xml:space="preserve">HEALTH CHOICE MEDICAID</t>
  </si>
  <si>
    <t xml:space="preserve">6 months (not primary) or 7 months (primary)</t>
  </si>
  <si>
    <t xml:space="preserve">12 months from the date of service, for contracted and non-contracted providers alike</t>
  </si>
  <si>
    <t xml:space="preserve">The claim must be timely - 1 year from the date of service or 60 days from the date of the last adverse action - to be eligible for review</t>
  </si>
  <si>
    <t xml:space="preserve">BCBSAZ Health Choice - Provider Manual and Claims (azblue.com/medicaid/providers/claims; healthchoiceaz.com/providers/provider-manual)</t>
  </si>
  <si>
    <t xml:space="preserve">Health Choice Arizona</t>
  </si>
  <si>
    <t xml:space="preserve">Two limits - 6 months when Health Choice is not the primary payer, 7 months when it is. Stated in months, not days, so count calendar months from the date of service. Column C carries 180 days, the shorter of the two, so the row never calculates a deadline later than the rule allows; add a month where Health Choice is primary.</t>
  </si>
  <si>
    <t xml:space="preserve">HEALTH CHOICE PATHWAY (HEALTH CHOICE GENERATIONS)</t>
  </si>
  <si>
    <t xml:space="preserve">6 months</t>
  </si>
  <si>
    <t xml:space="preserve">A corrected claim is treated as a new claim for an initial organisation determination, not as an appeal. It must be timely - 1 year from the date of service or 60 days from the last adverse action</t>
  </si>
  <si>
    <t xml:space="preserve">Standard reconsideration 60 calendar days from the date of denial; second level grievance 60 calendar days after receipt of the first level determination</t>
  </si>
  <si>
    <t xml:space="preserve">Health Choice Pathway - Providers Claims (azblue.com/health-choice-pathway/providers/providers-claims)</t>
  </si>
  <si>
    <t xml:space="preserve">Health Choice Pathway (Health Choice Generations)</t>
  </si>
  <si>
    <t xml:space="preserve">Stated in months, not days - count 6 calendar months from the date of service (roughly 180-184 days). Column C carries 180 days, the conservative end of that range.</t>
  </si>
  <si>
    <t xml:space="preserve">HUMANA COMMERCIAL</t>
  </si>
  <si>
    <t xml:space="preserve">180 days from DOS (physicians); 90 days from DOS (ancillary providers)</t>
  </si>
  <si>
    <t xml:space="preserve">No separate window published - the corrected claim rides the initial filing limit from the date of service, so the shorter 90 day ancillary figure governs unless the rendering provider is confirmed as a physician, which allows 180</t>
  </si>
  <si>
    <t xml:space="preserve">Level 2 appeal 60 days from the level 1 denial; level 3 four months from the level 2 denial. The level 1 window is set by the medical policy or the provider agreement</t>
  </si>
  <si>
    <t xml:space="preserve">Humana - Reconsiderations and appeals and Claim payment inquiry resolution guide (provider.humana.com/coverage-claims/payment-integrity/reconsiderations-appeals)</t>
  </si>
  <si>
    <t xml:space="preserve">Humana</t>
  </si>
  <si>
    <t xml:space="preserve">Two limits depending on provider type. Column C carries 90 days, the ancillary figure, so the row never calculates a deadline later than the rule allows. Confirm the rendering provider is a physician before relying on the longer 180 days.</t>
  </si>
  <si>
    <t xml:space="preserve">HUMANA MA</t>
  </si>
  <si>
    <t xml:space="preserve">18 months from the processed date to file an appeal. Humana's published escalation ladder then runs on top: level 2 appeal 60 days from the level 1 denial, level 3 four months from the level 2 denial</t>
  </si>
  <si>
    <t xml:space="preserve">Supplied by the practice for Humana Gold Plus HMO. Humana publishes the level 2 and level 3 timers (provider.humana.com/coverage-claims/payment-integrity/reconsiderations-appeals) but not the level 1 filing window, which is set by the plan or the provider agreement</t>
  </si>
  <si>
    <t xml:space="preserve">Humana Gold Plus HMO</t>
  </si>
  <si>
    <t xml:space="preserve">Same initial filing split as Humana commercial - column C carries the 90 day ancillary figure, so confirm the rendering provider is a physician before relying on 180 days. The appeal window is the opposite story and the longest on this sheet: 18 months from the processed date, against 90 days to get the claim in. A Humana Gold Plus timely filing denial is worth reviewing long after the filing window itself has closed.</t>
  </si>
  <si>
    <t xml:space="preserve">MEDICA</t>
  </si>
  <si>
    <t xml:space="preserve">180 days from DOS; 180 days from the Medicare payment date for Select Solution and Prime Solution</t>
  </si>
  <si>
    <t xml:space="preserve">Within the filing limit in the agreement, but the clock starts on the date Medica notified you the claim failed processing or was denied. Where the rejection was Medica error, up to 1 year from the Confirmation Report run date or the EOP date</t>
  </si>
  <si>
    <t xml:space="preserve">12 months from the processing date. For provider liability denials, 12 months from the check date on the PRA</t>
  </si>
  <si>
    <t xml:space="preserve">Medica - Claim Adjustment/Appeal Guidelines and Timely Filing and Late Claims Policy (partner.medica.com/providers/medica-administrative-manual)</t>
  </si>
  <si>
    <t xml:space="preserve">Medica Health Plan Solutions (Mayo Plan - CHI Health)</t>
  </si>
  <si>
    <t xml:space="preserve">In network original claims must reach the designated claims address within 180 days of the date of service, or the discharge date for inpatient. On Medica Select Solution and Prime Solution with Medicare primary, the 180 days runs from the payment date on the explanation of Medicare benefits instead. The provider agreement can set a different limit and governs where it does.</t>
  </si>
  <si>
    <t xml:space="preserve">MEDICARE</t>
  </si>
  <si>
    <t xml:space="preserve">1 year</t>
  </si>
  <si>
    <t xml:space="preserve">Statute</t>
  </si>
  <si>
    <t xml:space="preserve">Reopening to correct a clerical error or omission - 1 year from the date of the initial determination. Minor errors go through reopening, not the appeals process</t>
  </si>
  <si>
    <t xml:space="preserve">Redetermination - 120 days from receipt of the initial determination. Receipt is presumed 5 calendar days after the date on the remittance advice, so the MAC allows 125 days from the RA date</t>
  </si>
  <si>
    <t xml:space="preserve">CMS - Medicare Claims Processing Manual Chapter 34, Reopening and Revision of Claim Determinations; First Level of Appeal: Redetermination by a Medicare Contractor (cms.gov)</t>
  </si>
  <si>
    <t xml:space="preserve">Medicare Part B Arizona *; DME Region D</t>
  </si>
  <si>
    <t xml:space="preserve">One calendar year from the date of service, set by statute rather than by contract. Largest payer in the 2026-S1 pending file.</t>
  </si>
  <si>
    <t xml:space="preserve">MERCY CARE ADVANTAGE</t>
  </si>
  <si>
    <t xml:space="preserve">150 days from DOS or eligibility posting, whichever is later</t>
  </si>
  <si>
    <t xml:space="preserve">Resubmission is the only route - contracted providers have no claim dispute rights on this product. Mark the claim "Attention: Resubmissions" so it is not denied as a duplicate. The Advantage manual publishes no separate window, so the AHCCCS resubmission parameter of 12 months from the date of service is applied here</t>
  </si>
  <si>
    <t xml:space="preserve">12 months from the date of service, applied from the AHCCCS parameter at the practice's direction. The published Advantage manual takes the opposite position - it states that contracted providers have no claim dispute rights on this product and directs a disputed claim back through resubmission - so confirm the route with Mercy Care before filing a dispute rather than a resubmission</t>
  </si>
  <si>
    <t xml:space="preserve">Mercy Care Advantage Provider Manual, January 2026 (mercycareaz.org/providers/provider-manual.html)</t>
  </si>
  <si>
    <t xml:space="preserve">Mercy Care Health Plan Advantage (AHCCCS)</t>
  </si>
  <si>
    <t xml:space="preserve">New claims must be filed within 150 days of the date of service or the eligibility posting date, whichever is later - a shorter window than the 365 days Mercy Care Medicaid allows. Corrected claim and dispute windows follow the AHCCCS parameter of 12 months from the date of service, the same as Mercy Care Medicaid, applied at the practice's direction. Be aware the published Advantage manual says contracted providers have no claim dispute rights here and routes disputed claims through resubmission instead, so a dispute may be refused on that basis.</t>
  </si>
  <si>
    <t xml:space="preserve">MERCY CARE MEDICAID</t>
  </si>
  <si>
    <t xml:space="preserve">180 days</t>
  </si>
  <si>
    <t xml:space="preserve">365 days from the date of service or the eligibility posting date, whichever is later. If a claim is recouped, a further 60 days from the recoupment date</t>
  </si>
  <si>
    <t xml:space="preserve">Claim disputes: 12 months from the date of service, 12 months after the eligibility posting date, or 60 days after the date of a timely claim submission - whichever is less</t>
  </si>
  <si>
    <t xml:space="preserve">Mercy Care - Claims Processing Manual and Provider Manual; Claim Dispute Reminder notices (mercycareaz.org/providers/claims.html)</t>
  </si>
  <si>
    <t xml:space="preserve">Mercy Care Plan (AHCCCS) - Complete Care &amp; Long Term Care (LTC); Mercy Care RBHA</t>
  </si>
  <si>
    <t xml:space="preserve">OPTUM</t>
  </si>
  <si>
    <t xml:space="preserve">90 days</t>
  </si>
  <si>
    <t xml:space="preserve">No separate window published. Resubmit with claim frequency code 7 and the payer claim control number; a disputed decision goes through the PDR route below</t>
  </si>
  <si>
    <t xml:space="preserve">365 calendar days of the payment or denial, on the Provider Dispute Resolution Request (PDR) form or through the Optum Pro portal. Outcome issued within 45 working days</t>
  </si>
  <si>
    <t xml:space="preserve">Optum Care - Claims Provider Manual and Arizona Provider Dispute Resolution Request form (optum.com; business.optum.com). The 365 day PDR window is Optum's standard across markets; it is published explicitly in the California AB 1455 dispute notices, not in an Arizona specific document</t>
  </si>
  <si>
    <t xml:space="preserve">Optum Care Medical Network of Arizona, Utah, &amp; Washington (LifePrint)</t>
  </si>
  <si>
    <t xml:space="preserve">OSCAR HEALTH</t>
  </si>
  <si>
    <t xml:space="preserve">No separate window - the corrected claim must land inside the 180 day filing limit from the date of service. Submit the entire claim as a replacement with frequency code 7 (CMS 1500 box 22) or type of bill xx7 (UB-04), carrying the original payer claim ID</t>
  </si>
  <si>
    <t xml:space="preserve">180 calendar days after notice of the adverse decision</t>
  </si>
  <si>
    <t xml:space="preserve">Oscar Health - 2026 Provider Manual effective 01/01/26 and Claims Disputes Provider Form (hioscar.com/providers)</t>
  </si>
  <si>
    <t xml:space="preserve">Oscar Health</t>
  </si>
  <si>
    <t xml:space="preserve">REDIRECT HEALTH</t>
  </si>
  <si>
    <t xml:space="preserve">Not documented - third party administrator, the plan document sets the limit</t>
  </si>
  <si>
    <t xml:space="preserve">Not documented - third party administrator, the window comes from the underlying plan document</t>
  </si>
  <si>
    <t xml:space="preserve">Not documented - a formal claim appeal is filed on their online appeal form, but no window is published</t>
  </si>
  <si>
    <t xml:space="preserve">Redirect Health - Provider Portal and claims information (redirecthealth.com). No filing windows published; claims questions to Claims@RedirectAdmin.com</t>
  </si>
  <si>
    <t xml:space="preserve">Redirect Health Administration LLC administers self-funded plans, so the filing limit comes from the underlying plan document rather than from a single Redirect policy. A clean claim is paid within 45 business days. Claim questions go to Claims@RedirectAdmin.com; appeals are filed on their online appeal form. No filing windows are published - request them from the plan administrator.</t>
  </si>
  <si>
    <t xml:space="preserve">TRICARE EAST</t>
  </si>
  <si>
    <t xml:space="preserve">1 year from the date of service</t>
  </si>
  <si>
    <t xml:space="preserve">Must fall inside the 1 year claim filing deadline. A corrected claim is not an appeal and is filed separately to the corrected claims address</t>
  </si>
  <si>
    <t xml:space="preserve">90 days from the date on the explanation of benefits. Corrected claims are among the issues that are not appealable</t>
  </si>
  <si>
    <t xml:space="preserve">Humana Military - TRICARE Provider Handbook East Region and Claims pages (humanamilitary.com/provider/claims); TRICARE - How to Submit a Claim Appeal (tricare.mil)</t>
  </si>
  <si>
    <t xml:space="preserve">Administered by Humana Military. All claims for benefits must be filed no later than one year after the date services were provided. Note the pending file shows Tricare West and Tricare for Life, not Tricare East - confirm which region we actually bill, as the West region contractor changed on 1 January 2025.</t>
  </si>
  <si>
    <t xml:space="preserve">TRIWEST</t>
  </si>
  <si>
    <t xml:space="preserve">365 days of the last processed claim determination date. The corrected claim completely replaces the previously filed claim</t>
  </si>
  <si>
    <t xml:space="preserve">Reconsideration 90 days of the original claim processed date. Forms filed outside that window are denied</t>
  </si>
  <si>
    <t xml:space="preserve">TriWest VA CCN - Billing and Claims and Provider Claims Reconsideration (vaccn.triwest.com/en/provider)</t>
  </si>
  <si>
    <t xml:space="preserve">TRIWEST VA CCN CLAIMS</t>
  </si>
  <si>
    <t xml:space="preserve">TriWest administers VA Community Care Network Region 4; claims post under the same payer name as the VA CCN row below, so check which limit the claim was billed under.</t>
  </si>
  <si>
    <t xml:space="preserve">UHC COMMERCIAL</t>
  </si>
  <si>
    <t xml:space="preserve">12 months from the date of the EOB or PRA to complete both steps: reconsideration first, then appeal</t>
  </si>
  <si>
    <t xml:space="preserve">UnitedHealthcare - Pre- and post-service appeals and reconsiderations (uhcprovider.com/en/claims-payments-billing/appeals.html)</t>
  </si>
  <si>
    <t xml:space="preserve">United Healthcare; Surest (A United Healthcare Company - Formerly BIND)</t>
  </si>
  <si>
    <t xml:space="preserve">UHC COMMUNITY</t>
  </si>
  <si>
    <t xml:space="preserve">12 months to complete both steps: reconsideration first, then appeal if the reconsideration outcome is unsatisfactory</t>
  </si>
  <si>
    <t xml:space="preserve">UnitedHealthcare Community Plan of Arizona - 2026 Care Provider Manual chapter 14; Pre- and post-service appeals and reconsiderations (uhcprovider.com)</t>
  </si>
  <si>
    <t xml:space="preserve">UnitedHealthcare Community Plan / Arizona Long Term Care</t>
  </si>
  <si>
    <t xml:space="preserve">AHCCCS product. Third largest payer in the 2026-S1 pending file with one of the shorter limits.</t>
  </si>
  <si>
    <t xml:space="preserve">UHC DUAL COMPLETE</t>
  </si>
  <si>
    <t xml:space="preserve">United HealthCare Dual Complete</t>
  </si>
  <si>
    <t xml:space="preserve">Much longer than the other UnitedHealthcare products - do not apply the 90 day limit here.</t>
  </si>
  <si>
    <t xml:space="preserve">UHC MA</t>
  </si>
  <si>
    <t xml:space="preserve">12 months from the EOB / PRA to complete both steps (contracted). Non-contracted Medicare Advantage: 120 calendar days from the original claim determination</t>
  </si>
  <si>
    <t xml:space="preserve">UnitedHealthcare - Pre- and post-service appeals and reconsiderations; Medicare Advantage non-contracted care provider dispute and appeal rights (uhcprovider.com)</t>
  </si>
  <si>
    <t xml:space="preserve">UHC Group Medicare Advantage</t>
  </si>
  <si>
    <t xml:space="preserve">UMR / WAUSAU</t>
  </si>
  <si>
    <t xml:space="preserve">Not documented - carries resubmission code 7 in box 22, but the window comes from the underlying plan document</t>
  </si>
  <si>
    <t xml:space="preserve">At least 180 days from the adverse benefit determination - the ERISA floor for a self-funded group health plan at 29 CFR 2560.503-1. The plan document sets the actual window and the denial letter or EOB carries it</t>
  </si>
  <si>
    <t xml:space="preserve">UMR - How to request claim appeals online and Post-Service Provider Request Form (umr.com). UMR is a third party administrator; the plan document sets claim filing, and ERISA sets the 180 day appeal floor at 29 CFR 2560.503-1</t>
  </si>
  <si>
    <t xml:space="preserve">UMR Wausau / UHIS</t>
  </si>
  <si>
    <t xml:space="preserve">Third party administrator for self-funded employer plans, so the filing limit is set by the underlying plan document rather than by a single UMR policy - the deadline is in the denial letter or EOB for the specific plan. For appeals there is a federal floor: ERISA requires a self-funded group health plan to allow at least 180 days to file an internal appeal after an adverse benefit determination.</t>
  </si>
  <si>
    <t xml:space="preserve">VETERANS ADMIN (VA CCN)</t>
  </si>
  <si>
    <t xml:space="preserve">Community Care Network claims. Shares a payer name with the TriWest row, which carries a shorter 120 day limit - identify the correct programme before relying on 180 days.</t>
  </si>
  <si>
    <t xml:space="preserve">WELLCARE BY ALLWELL</t>
  </si>
  <si>
    <t xml:space="preserve">95 days</t>
  </si>
  <si>
    <t xml:space="preserve">90 days from the date the explanation of payment or denial is issued. Prior processing is upheld outside that window unless a qualifying circumstance is documented</t>
  </si>
  <si>
    <t xml:space="preserve">Reconsiderations and claim disputes 90 days from the date the explanation of payment or denial is issued; 90 calendar days of a denial for lack of prior authorisation</t>
  </si>
  <si>
    <t xml:space="preserve">Wellcare - Claims, Disputes and Recovery Guide and Medicare Advantage Provider Manual 2026 (wellcare.com); Allwell Provider Billing Guide (azcompletehealth.com)</t>
  </si>
  <si>
    <t xml:space="preserve">Allwell - All States (Centene)</t>
  </si>
  <si>
    <t xml:space="preserve">Summary</t>
  </si>
  <si>
    <t xml:space="preserve">Counts are live formulas over the 'Timely Filing' tab, so they update as rows are added or limits are filled in.</t>
  </si>
  <si>
    <t xml:space="preserve">Carriers by status</t>
  </si>
  <si>
    <t xml:space="preserve">Carriers on file</t>
  </si>
  <si>
    <t xml:space="preserve">Limit confirmed</t>
  </si>
  <si>
    <t xml:space="preserve">Limit to verify against contract</t>
  </si>
  <si>
    <t xml:space="preserve">No limit on file - needs research</t>
  </si>
  <si>
    <t xml:space="preserve">Carriers by limit</t>
  </si>
  <si>
    <t xml:space="preserve">150 days</t>
  </si>
  <si>
    <t xml:space="preserve">365 days / 1 year</t>
  </si>
  <si>
    <t xml:space="preserve">Stated in months or split by provider type</t>
  </si>
  <si>
    <t xml:space="preserve">Risk view</t>
  </si>
  <si>
    <t xml:space="preserve">Carriers at 90 days or less</t>
  </si>
  <si>
    <t xml:space="preserve">Shortest limit on file (days)</t>
  </si>
  <si>
    <t xml:space="preserve">Longest limit on file (days)</t>
  </si>
  <si>
    <t xml:space="preserve">Corrected claims (claim already received by the payer)</t>
  </si>
  <si>
    <t xml:space="preserve">Window confirmed</t>
  </si>
  <si>
    <t xml:space="preserve">Window to verify against the contract or manual</t>
  </si>
  <si>
    <t xml:space="preserve">Nothing on file - needs research</t>
  </si>
  <si>
    <t xml:space="preserve">Counted from the date of service</t>
  </si>
  <si>
    <t xml:space="preserve">Counted from the processed date</t>
  </si>
  <si>
    <t xml:space="preserve">Reconsiderations and appeals</t>
  </si>
  <si>
    <t xml:space="preserve">Risk view - corrected claims and appeals</t>
  </si>
  <si>
    <t xml:space="preserve">Shortest corrected claim window on file (days)</t>
  </si>
  <si>
    <t xml:space="preserve">Shortest appeal window on file (days)</t>
  </si>
  <si>
    <t xml:space="preserve">Carriers whose appeal window is 90 days or less</t>
  </si>
  <si>
    <t xml:space="preserve">Notes, assumptions and sources</t>
  </si>
  <si>
    <t xml:space="preserve">How to use this workbook</t>
  </si>
  <si>
    <t xml:space="preserve">'Timely Filing' holds one row per carrier. The header row has an AutoFilter - filter column E on 'Needs research' to see the carriers with no limit on file, or sort column C ascending to work the shortest windows first.</t>
  </si>
  <si>
    <t xml:space="preserve">Column B is the limit exactly as the carrier states it. Column C restates it as a single number of days so it can be sorted and used in deadline formulas. Where a carrier states the limit in months, or sets a different limit by provider type, column C carries the conservative figure - months converted at 30 days, and the shorter of two split limits - so a deadline calculated from column C never falls later than the carrier's own rule. Column B always holds the real wording, so check it before relying on the longer half of a split.</t>
  </si>
  <si>
    <t xml:space="preserve">To work out a deadline, add column C to the date of service. For example a 90 day carrier with a 01/19/2026 date of service must have a clean claim in by 04/19/2026. On the month-based carriers - AHCCCS, Health Choice Medicaid and Health Choice Pathway - that gives a date a few days early, because 6 calendar months runs 180 to 184 days; count calendar months where the extra days matter. Column C is blank only for the three carriers with no limit on file.</t>
  </si>
  <si>
    <t xml:space="preserve">Column F lists the payer names these carriers appear under in 'Specialty Claims Pending 2026-S1.xlsx'. It is a convenience aid for matching AR rows to a limit, not an authoritative crosswalk - confirm the payer before relying on it. A dash means no matching payer name was found in that file.</t>
  </si>
  <si>
    <t xml:space="preserve">To add a carrier: insert a row on 'Timely Filing' and fill columns A-G. The counts on 'Summary' pick it up automatically as long as the row sits inside the existing range.</t>
  </si>
  <si>
    <t xml:space="preserve">Carriers with no limit on file</t>
  </si>
  <si>
    <t xml:space="preserve">Three carriers are still without an initial filing limit and are shaded amber: AARP MA Choice / Medicare Complete, Redirect Health and UMR / Wausau. Redirect Health and UMR / Wausau are third party administrators, so their limits come from the underlying plan document rather than from a single carrier policy - the denial letter or EOB carries the deadline. AARP Medicare Complete is administered by UnitedHealthcare but no published limit was found for the product.</t>
  </si>
  <si>
    <t xml:space="preserve">Related products are not treated as interchangeable. Mercy Care Medicaid allows 365 days to file but Mercy Care Advantage allows only 150, and the Advantage product gives contracted providers no dispute rights at all. Likewise the UHC Medicare Advantage limit of 90 days has not been copied across to AARP Medicare Complete, even though UnitedHealthcare administers it.</t>
  </si>
  <si>
    <t xml:space="preserve">Carriers with more than one limit</t>
  </si>
  <si>
    <t xml:space="preserve">Health Choice Medicaid - 6 months when Health Choice is not the primary payer, 7 months when it is (provider manual). Column C carries 180 days, the shorter figure.</t>
  </si>
  <si>
    <t xml:space="preserve">Humana Commercial and Humana MA - 180 days from date of service for physicians, 90 days for ancillary providers on both. The provider category drives the deadline, so check it before assuming the longer window. Column C carries the 90 day ancillary figure, and the corrected claim window follows it because Humana publishes no separate one. The two rows part company on appeals: Humana Gold Plus HMO, on the Humana MA row, allows 18 months from the processed date, while the commercial row still carries only Humana's published level 2 timer of 60 days because the level 1 window is not published.</t>
  </si>
  <si>
    <t xml:space="preserve">Health Choice Medicaid, Health Choice Pathway and AHCCCS are stated in months rather than days. Count calendar months from the date of service for the real deadline; the day figures in column C are the conservative conversion at 30 days to the month.</t>
  </si>
  <si>
    <t xml:space="preserve">2026 changes</t>
  </si>
  <si>
    <t xml:space="preserve">BCBS and BCBS Regence both moved from 365 days from date of service to 90 days. The BCBS change is effective 1 January 2026; the Regence change is recorded as 'as of 2026'. Column C carries the current 90 day figure. Claims with a 2025 date of service still fall under the old 365 day window, so both figures are kept in column B.</t>
  </si>
  <si>
    <t xml:space="preserve">This is the single largest risk on the list. BCBS of Arizona is the second largest payer by volume in the 2026-S1 pending file and the window has shrunk to a quarter of what it was.</t>
  </si>
  <si>
    <t xml:space="preserve">Limits to verify</t>
  </si>
  <si>
    <t xml:space="preserve">Banner University MA and Banner University Medicaid are both recorded at 120 days but were flagged by the practice as needing verification against the contract. They are marked 'Verify vs contract' in column E.</t>
  </si>
  <si>
    <t xml:space="preserve">Aetna is recorded as 120 days per contract, so the figure is specific to our agreement rather than a published policy and will not necessarily match another practice's Aetna limit.</t>
  </si>
  <si>
    <t xml:space="preserve">TriWest (120 days) and Veterans Admin / VA CCN (180 days) both post under the payer name 'TRIWEST VA CCN CLAIMS' in the AR data. TriWest administers VA Community Care Network Region 4, so identify which programme a claim belongs to before relying on the longer window.</t>
  </si>
  <si>
    <t xml:space="preserve">Sources and caveats</t>
  </si>
  <si>
    <t xml:space="preserve">Limits marked 'Provider manual' in column D come from the carrier's published provider manual. Limits marked 'Contract' come from our executed agreement. 'Statute' applies to Medicare, whose one year limit is set in law rather than by contract.</t>
  </si>
  <si>
    <t xml:space="preserve">Timely filing limits change, and a contracted limit can differ from the carrier's published default. Where a contract and a provider manual disagree, the contract governs. Re-confirm the limit before writing off a claim as untimely.</t>
  </si>
  <si>
    <t xml:space="preserve">Limits are counted from the date of service unless the carrier states otherwise. Secondary claims are commonly counted from the primary carrier's remittance date instead - that is not captured here and should be checked per carrier.</t>
  </si>
  <si>
    <t xml:space="preserve">Compiled 8 August 2026 from the carrier list supplied by the practice. No claim, patient or payment data is included in this workbook.</t>
  </si>
  <si>
    <t xml:space="preserve">Corrected claims and appeals</t>
  </si>
  <si>
    <t xml:space="preserve">Two new blocks were added to 'Timely Filing'. Columns F-I cover a corrected claim on a claim the payer has already received. Columns J-M cover a reconsideration or appeal. Column N names the document each figure came from.</t>
  </si>
  <si>
    <t xml:space="preserve">'Counted From' answers the question that actually decides the deadline. 'Date of service' means the carrier counts the corrected claim or appeal window from the original date of service, so a slow first pass eats into the window. 'Processed date' means the clock restarts on the remittance, EOP or denial date, which is the more common rule for appeals.</t>
  </si>
  <si>
    <t xml:space="preserve">Where a carrier states a primary rule with a fallback - the AHCCCS plans are the clearest case - the 'Counted From' column carries the primary rule and the fallback is written out in the limit column next to it.</t>
  </si>
  <si>
    <t xml:space="preserve">Columns G and K restate each window as a single number of days so it can be sorted and used in deadline formulas. They are left blank where a single number would be misleading.</t>
  </si>
  <si>
    <t xml:space="preserve">The date of service / processed date split</t>
  </si>
  <si>
    <t xml:space="preserve">Corrected claims counted from the processed date: AARP MA Choice / Medicare Complete, Aetna, AZ Priority Care, Banner Health &amp; Aetna, Devoted, Medica, Medicare, Optum, TriWest, UHC Commercial, UHC Community, UHC Dual Complete, UHC MA, Veterans Admin (VA CCN) and Wellcare by Allwell. A denial late in the initial filing window still leaves a full corrected claim window on these carriers.</t>
  </si>
  <si>
    <t xml:space="preserve">Corrected claims counted from the date of service: AHCCCS, Ambetter, Amerigroup, AZ Complete, Banner University MA, Banner University Medicaid, BCBS, Cigna, Health Choice Medicaid, Health Choice Pathway, Humana Commercial, Humana MA, Mercy Care Advantage, Mercy Care Medicaid, Oscar Health and Tricare East. On these the original filing clock never restarts, so a slow first pass eats the correction window. Amerigroup, Humana and Mercy Care Advantage fall here by way of the contract or resubmission route rather than a published corrected claim rule.</t>
  </si>
  <si>
    <t xml:space="preserve">Appeals counted from the date of service: AHCCCS, AZ Complete, Banner University MA, Banner University Medicaid, Health Choice Medicaid, Mercy Care Advantage and Mercy Care Medicaid - the AHCCCS plans, which allow 12 months from the date of service with a 60 day fallback from the adverse action date on the remittance advice when the denial lands late in that window. Every other appeal window on this list runs from the processed date.</t>
  </si>
  <si>
    <t xml:space="preserve">Traps worth knowing</t>
  </si>
  <si>
    <t xml:space="preserve">Two carriers give no extension at all for a corrected claim, and they are the two shortest correction windows on the sheet. Cigna keeps the corrected claim subject to the 90 day timely filing provision in the agreement, counted from the date of service, even though its appeal window is 180 days from the remittance; an appeal resolved by filing a corrected claim does not extend that 90 days. BCBS of Arizona works the same way at 90 days from the date of service. On both, a claim filed late in the window leaves almost no room to correct it.</t>
  </si>
  <si>
    <t xml:space="preserve">Medicare separates the two routes. A clerical error or omission goes through reopening - 1 year from the initial determination - and not through the appeals process at all. A redetermination is 120 days from receipt of the initial determination, and receipt is presumed 5 calendar days after the remittance advice date, so the working figure is 125 days from the RA.</t>
  </si>
  <si>
    <t xml:space="preserve">Wellcare by Allwell is the tightest carrier on this list once a claim has been processed: 90 days from the explanation of payment for corrected claims, reconsiderations and disputes alike. Devoted matches it on disputes at 90 days but allows a full year to correct and resubmit.</t>
  </si>
  <si>
    <t xml:space="preserve">Devoted, TriWest and Veterans Admin (VA CCN) all allow far longer to correct and refile than to dispute - 365 days from the processed date against 90. On these three, correcting and resubmitting buys four times the window that a dispute does, so reach for the corrected claim first where the denial is fixable on the claim.</t>
  </si>
  <si>
    <t xml:space="preserve">Devoted is the sharpest contrast on the sheet between the initial and the corrected claim window: 60 days from the date of service to get the claim in, but a full year from the processed date to correct it once the payer has it. The first pass is what has to be fast.</t>
  </si>
  <si>
    <t xml:space="preserve">UnitedHealthcare gives 12 months from the EOB or PRA to complete both steps - reconsideration first, then appeal. That is one 12 month budget covering the pair, not 12 months each. Non-contracted Medicare Advantage claims get 120 calendar days from the original claim determination instead.</t>
  </si>
  <si>
    <t xml:space="preserve">Aetna runs both windows from the determination date: 180 days to submit a corrected claim or reconsideration, then a further 60 days from the reconsideration decision for a formal appeal. State exceptions apply to fully insured members.</t>
  </si>
  <si>
    <t xml:space="preserve">BCBS of Arizona runs two very different clocks and the choice between them matters more than on any other carrier here. A resubmission has 90 days from the date of service, the same window as the original claim. A claim adjustment or reconsideration has 1 year from the date the claim was originally processed. Once the 90 days are gone the resubmission route is closed but the reconsideration route is still open for months, so a 2026 timely filing denial is worth working as a reconsideration rather than writing off - BCBS is the second largest payer by volume in the 2026-S1 pending file.</t>
  </si>
  <si>
    <t xml:space="preserve">UnitedHealthcare allows 180 calendar days from the original remittance date to correct a claim, but that window is capped by the filing limit in the agreement counted from the date of service - whichever closes first governs. On the 90 day UHC products that cap usually bites well before the 180 days does. Include every originally billed line on the correction, not just the line being fixed, or the omitted services are recovered as an overpayment.</t>
  </si>
  <si>
    <t xml:space="preserve">Mercy Care Advantage carries the AHCCCS windows on this sheet - 12 months from the date of service to correct and to dispute - at the practice's direction, but its published manual takes the opposite position on disputes: it states that contracted providers have no claim dispute rights on the product, because federal regulation bars Mercy Care from running contracted provider complaints through the Medicare Advantage appeals process, and routes disputed claims back through resubmission marked "Attention: Resubmissions". Confirm the route with Mercy Care before filing a dispute. Its 150 day initial limit is also far shorter than the 365 days Mercy Care Medicaid allows, so the two products should never be worked the same way.</t>
  </si>
  <si>
    <t xml:space="preserve">AHCCCS runs two clocks. The initial claim has to be received within 6 months of the date of service or it is denied outright, but once it has landed inside that window there are 12 months from the date of service to correct it to clean claim status. Missing the first clock cannot be repaired by the second.</t>
  </si>
  <si>
    <t xml:space="preserve">Carriers with nothing on file for corrected claims or appeals</t>
  </si>
  <si>
    <t xml:space="preserve">Corrected claim window not documented: Banner Health Network (BHN), Banner Medicare Advantage, BCBS Regence, Redirect Health and UMR / Wausau.</t>
  </si>
  <si>
    <t xml:space="preserve">Appeal window not documented: Banner Health Network (BHN) and Redirect Health.</t>
  </si>
  <si>
    <t xml:space="preserve">Nothing has been assumed for these. Redirect Health and UMR / Wausau are third party administrators, so both windows come from the underlying plan document - though for appeals ERISA sets a floor, requiring a self-funded group health plan to allow at least 180 days from an adverse benefit determination (29 CFR 2560.503-1). The Banner Health Network and Banner Medicare Advantage manuals could not be retrieved; both publish resubmission instructions without a window, so pull the claims chapter directly. BCBS Regence publishes no filing windows on its open provider pages.</t>
  </si>
  <si>
    <t xml:space="preserve">Banner University MA was identified during this pass as Banner - University Care Advantage, the D-SNP Banner runs under an AHCCCS agreement, so the AHCCCS resubmission and dispute windows have been applied to it and marked to verify against the contract. Banner Health &amp; Aetna is now filled from the joint venture's own published dispute process rather than being left blank.</t>
  </si>
  <si>
    <t xml:space="preserve">Sources and method</t>
  </si>
  <si>
    <t xml:space="preserve">Every figure in columns B-M was taken from the carrier's own provider manual, provider portal page or, for Medicare, the CMS Claims Processing Manual, with three exceptions supplied by the practice: the Devoted windows, the Humana Gold Plus HMO appeal window on the Humana MA row, and the BCBS resubmission window. Column N names the source for the corrected claim and appeal figures row by row; the initial limits came from the carrier list supplied by the practice and, where that list was blank, from the carrier document named in the notes column. No figure was carried across from a related product.</t>
  </si>
  <si>
    <t xml:space="preserve">Direct document downloads were blocked in the environment this research was run from, so the figures were read from the carriers' published pages through search rather than from locally saved PDFs. Rows marked 'Verify vs manual' are the ones where the published wording was general, varied by state, or came from a document written for another market, and the Arizona specific figure should be pulled from the manual before a claim is worked against it.</t>
  </si>
  <si>
    <t xml:space="preserve">Two rows to watch on that count. Ambetter: the Arizona manual gives 365 days from the date of service for a corrected claim, but the reconsideration window is stated as 180 days from the EOP in some Ambetter states and 24 months in others. Optum: the 365 day dispute window is Optum's standard across markets and appears explicitly in its California AB 1455 dispute notices, but no Arizona specific publication states it.</t>
  </si>
  <si>
    <t xml:space="preserve">Corrected claim and appeal windows are contract sensitive in the same way initial filing limits are. Where a contract and a provider manual disagree, the contract governs. Re-confirm before writing off a claim as untimely.</t>
  </si>
  <si>
    <t xml:space="preserve">Corrected claim and appeal columns compiled 12 August 2026, and the remaining initial, corrected claim and appeal gaps filled on the same date. The Devoted windows, the Humana Gold Plus HMO appeal window and the BCBS resubmission window were supplied by the practice; every other figure came from the carrier document named in column N or the notes column. No claim, patient or payment data is included in this workbook.</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</si>
</sst>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b val="true"/>
      <sz val="10"/>
      <name val="Arial"/>
      <family val="0"/>
      <charset val="1"/>
    </font>
    <font>
      <i val="true"/>
      <sz val="10"/>
      <color rgb="FF595959"/>
      <name val="Arial"/>
      <family val="0"/>
      <charset val="1"/>
    </font>
    <font>
      <sz val="10"/>
      <name val="Arial"/>
      <family val="0"/>
      <charset val="1"/>
    </font>
    <font>
      <b val="true"/>
      <sz val="10"/>
      <color rgb="FF1F3864"/>
      <name val="Arial"/>
      <family val="0"/>
      <charset val="1"/>
    </font>
    <font>
      <b val="true"/>
      <sz val="10"/>
      <color rgb="FF9C0006"/>
      <name val="Arial"/>
      <family val="0"/>
      <charset val="1"/>
    </font>
    <font>
      <b val="true"/>
      <sz val="11"/>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DDEBF7"/>
      </patternFill>
    </fill>
    <fill>
      <patternFill patternType="solid">
        <fgColor rgb="FFDDEBF7"/>
        <bgColor rgb="FFE2EFDA"/>
      </patternFill>
    </fill>
    <fill>
      <patternFill patternType="solid">
        <fgColor rgb="FFE4DFEC"/>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E4DFEC"/>
          <bgColor rgb="FF000000"/>
        </patternFill>
      </fill>
    </dxf>
    <dxf>
      <fill>
        <patternFill patternType="solid">
          <fgColor rgb="FF9C0006"/>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46"/>
    <col collapsed="false" customWidth="true" hidden="false" outlineLevel="0" max="3" min="3" style="1" width="8"/>
    <col collapsed="false" customWidth="true" hidden="false" outlineLevel="0" max="4" min="4" style="1" width="16"/>
    <col collapsed="false" customWidth="true" hidden="false" outlineLevel="0" max="5" min="5" style="1" width="20"/>
    <col collapsed="false" customWidth="true" hidden="false" outlineLevel="0" max="6" min="6" style="1" width="54"/>
    <col collapsed="false" customWidth="true" hidden="false" outlineLevel="0" max="7" min="7" style="1" width="10"/>
    <col collapsed="false" customWidth="true" hidden="false" outlineLevel="0" max="8" min="8" style="1" width="22"/>
    <col collapsed="false" customWidth="true" hidden="false" outlineLevel="0" max="9" min="9" style="1" width="20"/>
    <col collapsed="false" customWidth="true" hidden="false" outlineLevel="0" max="10" min="10" style="1" width="62"/>
    <col collapsed="false" customWidth="true" hidden="false" outlineLevel="0" max="11" min="11" style="1" width="10"/>
    <col collapsed="false" customWidth="true" hidden="false" outlineLevel="0" max="12" min="12" style="1" width="22"/>
    <col collapsed="false" customWidth="true" hidden="false" outlineLevel="0" max="13" min="13" style="1" width="20"/>
    <col collapsed="false" customWidth="true" hidden="false" outlineLevel="0" max="14" min="14" style="1" width="62"/>
    <col collapsed="false" customWidth="true" hidden="false" outlineLevel="0" max="15" min="15" style="1" width="56"/>
    <col collapsed="false" customWidth="true" hidden="false" outlineLevel="0" max="16" min="16" style="1" width="66"/>
  </cols>
  <sheetData>
    <row r="1" customFormat="false" ht="17.25" hidden="false" customHeight="true" outlineLevel="0" collapsed="false">
      <c r="A1" s="2" t="s">
        <v>0</v>
      </c>
    </row>
    <row r="2" customFormat="false" ht="15" hidden="false" customHeight="true" outlineLevel="0" collapsed="false">
      <c r="A2" s="3" t="s">
        <v>1</v>
      </c>
    </row>
    <row r="4" customFormat="false" ht="27.7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row>
    <row r="5" customFormat="false" ht="34.5" hidden="false" customHeight="true" outlineLevel="0" collapsed="false">
      <c r="A5" s="5" t="s">
        <v>18</v>
      </c>
      <c r="B5" s="6" t="s">
        <v>19</v>
      </c>
      <c r="C5" s="7"/>
      <c r="D5" s="7" t="s">
        <v>20</v>
      </c>
      <c r="E5" s="8" t="s">
        <v>21</v>
      </c>
      <c r="F5" s="9" t="s">
        <v>22</v>
      </c>
      <c r="G5" s="7" t="n">
        <v>180</v>
      </c>
      <c r="H5" s="9" t="s">
        <v>23</v>
      </c>
      <c r="I5" s="10" t="s">
        <v>24</v>
      </c>
      <c r="J5" s="11" t="s">
        <v>25</v>
      </c>
      <c r="K5" s="7" t="n">
        <v>365</v>
      </c>
      <c r="L5" s="9" t="s">
        <v>23</v>
      </c>
      <c r="M5" s="11" t="s">
        <v>26</v>
      </c>
      <c r="N5" s="9" t="s">
        <v>27</v>
      </c>
      <c r="O5" s="9" t="s">
        <v>28</v>
      </c>
      <c r="P5" s="9" t="s">
        <v>29</v>
      </c>
    </row>
    <row r="6" customFormat="false" ht="23.25" hidden="false" customHeight="true" outlineLevel="0" collapsed="false">
      <c r="A6" s="5" t="s">
        <v>30</v>
      </c>
      <c r="B6" s="12" t="s">
        <v>31</v>
      </c>
      <c r="C6" s="7" t="n">
        <v>120</v>
      </c>
      <c r="D6" s="7" t="s">
        <v>32</v>
      </c>
      <c r="E6" s="13" t="s">
        <v>24</v>
      </c>
      <c r="F6" s="9" t="s">
        <v>33</v>
      </c>
      <c r="G6" s="7" t="n">
        <v>180</v>
      </c>
      <c r="H6" s="9" t="s">
        <v>23</v>
      </c>
      <c r="I6" s="10" t="s">
        <v>24</v>
      </c>
      <c r="J6" s="9" t="s">
        <v>34</v>
      </c>
      <c r="K6" s="7" t="n">
        <v>180</v>
      </c>
      <c r="L6" s="9" t="s">
        <v>23</v>
      </c>
      <c r="M6" s="10" t="s">
        <v>24</v>
      </c>
      <c r="N6" s="9" t="s">
        <v>35</v>
      </c>
      <c r="O6" s="9" t="s">
        <v>36</v>
      </c>
      <c r="P6" s="9" t="s">
        <v>37</v>
      </c>
    </row>
    <row r="7" customFormat="false" ht="23.25" hidden="false" customHeight="true" outlineLevel="0" collapsed="false">
      <c r="A7" s="5" t="s">
        <v>38</v>
      </c>
      <c r="B7" s="14" t="s">
        <v>39</v>
      </c>
      <c r="C7" s="7" t="n">
        <v>180</v>
      </c>
      <c r="D7" s="7" t="s">
        <v>40</v>
      </c>
      <c r="E7" s="13" t="s">
        <v>24</v>
      </c>
      <c r="F7" s="9" t="s">
        <v>41</v>
      </c>
      <c r="G7" s="7" t="n">
        <v>365</v>
      </c>
      <c r="H7" s="9" t="s">
        <v>42</v>
      </c>
      <c r="I7" s="10" t="s">
        <v>24</v>
      </c>
      <c r="J7" s="9" t="s">
        <v>43</v>
      </c>
      <c r="K7" s="7" t="n">
        <v>365</v>
      </c>
      <c r="L7" s="9" t="s">
        <v>42</v>
      </c>
      <c r="M7" s="10" t="s">
        <v>24</v>
      </c>
      <c r="N7" s="9" t="s">
        <v>44</v>
      </c>
      <c r="O7" s="9" t="s">
        <v>20</v>
      </c>
      <c r="P7" s="9" t="s">
        <v>45</v>
      </c>
    </row>
    <row r="8" customFormat="false" ht="23.25" hidden="false" customHeight="true" outlineLevel="0" collapsed="false">
      <c r="A8" s="5" t="s">
        <v>46</v>
      </c>
      <c r="B8" s="12" t="s">
        <v>47</v>
      </c>
      <c r="C8" s="7" t="n">
        <v>120</v>
      </c>
      <c r="D8" s="7" t="s">
        <v>20</v>
      </c>
      <c r="E8" s="13" t="s">
        <v>24</v>
      </c>
      <c r="F8" s="9" t="s">
        <v>48</v>
      </c>
      <c r="G8" s="7" t="n">
        <v>365</v>
      </c>
      <c r="H8" s="9" t="s">
        <v>42</v>
      </c>
      <c r="I8" s="10" t="s">
        <v>24</v>
      </c>
      <c r="J8" s="11" t="s">
        <v>49</v>
      </c>
      <c r="K8" s="7" t="n">
        <v>180</v>
      </c>
      <c r="L8" s="9" t="s">
        <v>23</v>
      </c>
      <c r="M8" s="11" t="s">
        <v>50</v>
      </c>
      <c r="N8" s="9" t="s">
        <v>51</v>
      </c>
      <c r="O8" s="9" t="s">
        <v>46</v>
      </c>
      <c r="P8" s="9" t="s">
        <v>52</v>
      </c>
    </row>
    <row r="9" customFormat="false" ht="34.5" hidden="false" customHeight="true" outlineLevel="0" collapsed="false">
      <c r="A9" s="5" t="s">
        <v>53</v>
      </c>
      <c r="B9" s="12" t="s">
        <v>54</v>
      </c>
      <c r="C9" s="7" t="n">
        <v>365</v>
      </c>
      <c r="D9" s="7" t="s">
        <v>20</v>
      </c>
      <c r="E9" s="13" t="s">
        <v>24</v>
      </c>
      <c r="F9" s="9" t="s">
        <v>55</v>
      </c>
      <c r="G9" s="7"/>
      <c r="H9" s="9" t="s">
        <v>42</v>
      </c>
      <c r="I9" s="11" t="s">
        <v>26</v>
      </c>
      <c r="J9" s="11" t="s">
        <v>56</v>
      </c>
      <c r="K9" s="7" t="n">
        <v>60</v>
      </c>
      <c r="L9" s="9" t="s">
        <v>23</v>
      </c>
      <c r="M9" s="11" t="s">
        <v>26</v>
      </c>
      <c r="N9" s="9" t="s">
        <v>57</v>
      </c>
      <c r="O9" s="9" t="s">
        <v>20</v>
      </c>
      <c r="P9" s="9" t="s">
        <v>58</v>
      </c>
    </row>
    <row r="10" customFormat="false" ht="23.25" hidden="false" customHeight="true" outlineLevel="0" collapsed="false">
      <c r="A10" s="5" t="s">
        <v>59</v>
      </c>
      <c r="B10" s="12" t="s">
        <v>47</v>
      </c>
      <c r="C10" s="7" t="n">
        <v>120</v>
      </c>
      <c r="D10" s="7" t="s">
        <v>20</v>
      </c>
      <c r="E10" s="13" t="s">
        <v>24</v>
      </c>
      <c r="F10" s="9" t="s">
        <v>60</v>
      </c>
      <c r="G10" s="7" t="n">
        <v>365</v>
      </c>
      <c r="H10" s="9" t="s">
        <v>42</v>
      </c>
      <c r="I10" s="10" t="s">
        <v>24</v>
      </c>
      <c r="J10" s="9" t="s">
        <v>61</v>
      </c>
      <c r="K10" s="7" t="n">
        <v>365</v>
      </c>
      <c r="L10" s="9" t="s">
        <v>42</v>
      </c>
      <c r="M10" s="10" t="s">
        <v>24</v>
      </c>
      <c r="N10" s="9" t="s">
        <v>62</v>
      </c>
      <c r="O10" s="9" t="s">
        <v>63</v>
      </c>
      <c r="P10" s="9"/>
    </row>
    <row r="11" customFormat="false" ht="23.25" hidden="false" customHeight="true" outlineLevel="0" collapsed="false">
      <c r="A11" s="5" t="s">
        <v>64</v>
      </c>
      <c r="B11" s="12" t="s">
        <v>65</v>
      </c>
      <c r="C11" s="15" t="n">
        <v>60</v>
      </c>
      <c r="D11" s="7" t="s">
        <v>20</v>
      </c>
      <c r="E11" s="13" t="s">
        <v>24</v>
      </c>
      <c r="F11" s="9" t="s">
        <v>66</v>
      </c>
      <c r="G11" s="7" t="n">
        <v>365</v>
      </c>
      <c r="H11" s="9" t="s">
        <v>23</v>
      </c>
      <c r="I11" s="11" t="s">
        <v>50</v>
      </c>
      <c r="J11" s="9" t="s">
        <v>67</v>
      </c>
      <c r="K11" s="7" t="n">
        <v>365</v>
      </c>
      <c r="L11" s="9" t="s">
        <v>23</v>
      </c>
      <c r="M11" s="10" t="s">
        <v>24</v>
      </c>
      <c r="N11" s="9" t="s">
        <v>68</v>
      </c>
      <c r="O11" s="9" t="s">
        <v>69</v>
      </c>
      <c r="P11" s="9" t="s">
        <v>70</v>
      </c>
    </row>
    <row r="12" customFormat="false" ht="23.25" hidden="false" customHeight="true" outlineLevel="0" collapsed="false">
      <c r="A12" s="5" t="s">
        <v>71</v>
      </c>
      <c r="B12" s="12" t="s">
        <v>47</v>
      </c>
      <c r="C12" s="7" t="n">
        <v>120</v>
      </c>
      <c r="D12" s="7" t="s">
        <v>20</v>
      </c>
      <c r="E12" s="13" t="s">
        <v>24</v>
      </c>
      <c r="F12" s="9" t="s">
        <v>72</v>
      </c>
      <c r="G12" s="7" t="n">
        <v>180</v>
      </c>
      <c r="H12" s="9" t="s">
        <v>23</v>
      </c>
      <c r="I12" s="10" t="s">
        <v>24</v>
      </c>
      <c r="J12" s="9" t="s">
        <v>73</v>
      </c>
      <c r="K12" s="7" t="n">
        <v>180</v>
      </c>
      <c r="L12" s="9" t="s">
        <v>23</v>
      </c>
      <c r="M12" s="10" t="s">
        <v>24</v>
      </c>
      <c r="N12" s="9" t="s">
        <v>74</v>
      </c>
      <c r="O12" s="9" t="s">
        <v>75</v>
      </c>
      <c r="P12" s="9" t="s">
        <v>76</v>
      </c>
    </row>
    <row r="13" customFormat="false" ht="34.5" hidden="false" customHeight="true" outlineLevel="0" collapsed="false">
      <c r="A13" s="5" t="s">
        <v>77</v>
      </c>
      <c r="B13" s="12" t="s">
        <v>65</v>
      </c>
      <c r="C13" s="15" t="n">
        <v>60</v>
      </c>
      <c r="D13" s="7" t="s">
        <v>40</v>
      </c>
      <c r="E13" s="13" t="s">
        <v>24</v>
      </c>
      <c r="F13" s="16" t="s">
        <v>78</v>
      </c>
      <c r="G13" s="7"/>
      <c r="H13" s="9" t="s">
        <v>20</v>
      </c>
      <c r="I13" s="16" t="s">
        <v>21</v>
      </c>
      <c r="J13" s="16" t="s">
        <v>79</v>
      </c>
      <c r="K13" s="7"/>
      <c r="L13" s="9" t="s">
        <v>20</v>
      </c>
      <c r="M13" s="16" t="s">
        <v>21</v>
      </c>
      <c r="N13" s="9" t="s">
        <v>80</v>
      </c>
      <c r="O13" s="9" t="s">
        <v>81</v>
      </c>
      <c r="P13" s="9" t="s">
        <v>82</v>
      </c>
    </row>
    <row r="14" customFormat="false" ht="34.5" hidden="false" customHeight="true" outlineLevel="0" collapsed="false">
      <c r="A14" s="5" t="s">
        <v>83</v>
      </c>
      <c r="B14" s="12" t="s">
        <v>47</v>
      </c>
      <c r="C14" s="7" t="n">
        <v>120</v>
      </c>
      <c r="D14" s="7" t="s">
        <v>40</v>
      </c>
      <c r="E14" s="13" t="s">
        <v>24</v>
      </c>
      <c r="F14" s="16" t="s">
        <v>78</v>
      </c>
      <c r="G14" s="7"/>
      <c r="H14" s="9" t="s">
        <v>20</v>
      </c>
      <c r="I14" s="16" t="s">
        <v>21</v>
      </c>
      <c r="J14" s="9" t="s">
        <v>84</v>
      </c>
      <c r="K14" s="7" t="n">
        <v>65</v>
      </c>
      <c r="L14" s="9" t="s">
        <v>23</v>
      </c>
      <c r="M14" s="11" t="s">
        <v>50</v>
      </c>
      <c r="N14" s="9" t="s">
        <v>85</v>
      </c>
      <c r="O14" s="9" t="s">
        <v>86</v>
      </c>
      <c r="P14" s="9"/>
    </row>
    <row r="15" customFormat="false" ht="23.25" hidden="false" customHeight="true" outlineLevel="0" collapsed="false">
      <c r="A15" s="5" t="s">
        <v>87</v>
      </c>
      <c r="B15" s="12" t="s">
        <v>47</v>
      </c>
      <c r="C15" s="7" t="n">
        <v>120</v>
      </c>
      <c r="D15" s="7" t="s">
        <v>20</v>
      </c>
      <c r="E15" s="17" t="s">
        <v>26</v>
      </c>
      <c r="F15" s="9" t="s">
        <v>88</v>
      </c>
      <c r="G15" s="7" t="n">
        <v>365</v>
      </c>
      <c r="H15" s="9" t="s">
        <v>42</v>
      </c>
      <c r="I15" s="11" t="s">
        <v>26</v>
      </c>
      <c r="J15" s="9" t="s">
        <v>89</v>
      </c>
      <c r="K15" s="7" t="n">
        <v>365</v>
      </c>
      <c r="L15" s="9" t="s">
        <v>42</v>
      </c>
      <c r="M15" s="11" t="s">
        <v>26</v>
      </c>
      <c r="N15" s="9" t="s">
        <v>90</v>
      </c>
      <c r="O15" s="9" t="s">
        <v>20</v>
      </c>
      <c r="P15" s="9" t="s">
        <v>91</v>
      </c>
    </row>
    <row r="16" customFormat="false" ht="34.5" hidden="false" customHeight="true" outlineLevel="0" collapsed="false">
      <c r="A16" s="5" t="s">
        <v>92</v>
      </c>
      <c r="B16" s="12" t="s">
        <v>47</v>
      </c>
      <c r="C16" s="7" t="n">
        <v>120</v>
      </c>
      <c r="D16" s="7" t="s">
        <v>20</v>
      </c>
      <c r="E16" s="17" t="s">
        <v>26</v>
      </c>
      <c r="F16" s="9" t="s">
        <v>88</v>
      </c>
      <c r="G16" s="7" t="n">
        <v>365</v>
      </c>
      <c r="H16" s="9" t="s">
        <v>42</v>
      </c>
      <c r="I16" s="11" t="s">
        <v>26</v>
      </c>
      <c r="J16" s="9" t="s">
        <v>93</v>
      </c>
      <c r="K16" s="7" t="n">
        <v>365</v>
      </c>
      <c r="L16" s="9" t="s">
        <v>42</v>
      </c>
      <c r="M16" s="11" t="s">
        <v>26</v>
      </c>
      <c r="N16" s="9" t="s">
        <v>94</v>
      </c>
      <c r="O16" s="9" t="s">
        <v>95</v>
      </c>
      <c r="P16" s="9" t="s">
        <v>91</v>
      </c>
    </row>
    <row r="17" customFormat="false" ht="23.25" hidden="false" customHeight="true" outlineLevel="0" collapsed="false">
      <c r="A17" s="5" t="s">
        <v>96</v>
      </c>
      <c r="B17" s="18" t="s">
        <v>97</v>
      </c>
      <c r="C17" s="7" t="n">
        <v>90</v>
      </c>
      <c r="D17" s="7" t="s">
        <v>20</v>
      </c>
      <c r="E17" s="13" t="s">
        <v>24</v>
      </c>
      <c r="F17" s="9" t="s">
        <v>98</v>
      </c>
      <c r="G17" s="7" t="n">
        <v>90</v>
      </c>
      <c r="H17" s="9" t="s">
        <v>42</v>
      </c>
      <c r="I17" s="10" t="s">
        <v>24</v>
      </c>
      <c r="J17" s="9" t="s">
        <v>99</v>
      </c>
      <c r="K17" s="7" t="n">
        <v>365</v>
      </c>
      <c r="L17" s="9" t="s">
        <v>23</v>
      </c>
      <c r="M17" s="10" t="s">
        <v>24</v>
      </c>
      <c r="N17" s="9" t="s">
        <v>100</v>
      </c>
      <c r="O17" s="9" t="s">
        <v>101</v>
      </c>
      <c r="P17" s="9" t="s">
        <v>102</v>
      </c>
    </row>
    <row r="18" customFormat="false" ht="23.25" hidden="false" customHeight="true" outlineLevel="0" collapsed="false">
      <c r="A18" s="5" t="s">
        <v>103</v>
      </c>
      <c r="B18" s="12" t="s">
        <v>104</v>
      </c>
      <c r="C18" s="7" t="n">
        <v>90</v>
      </c>
      <c r="D18" s="7" t="s">
        <v>20</v>
      </c>
      <c r="E18" s="13" t="s">
        <v>24</v>
      </c>
      <c r="F18" s="16" t="s">
        <v>105</v>
      </c>
      <c r="G18" s="7"/>
      <c r="H18" s="9" t="s">
        <v>20</v>
      </c>
      <c r="I18" s="16" t="s">
        <v>21</v>
      </c>
      <c r="J18" s="9" t="s">
        <v>106</v>
      </c>
      <c r="K18" s="7" t="n">
        <v>180</v>
      </c>
      <c r="L18" s="9" t="s">
        <v>23</v>
      </c>
      <c r="M18" s="11" t="s">
        <v>50</v>
      </c>
      <c r="N18" s="9" t="s">
        <v>107</v>
      </c>
      <c r="O18" s="9" t="s">
        <v>20</v>
      </c>
      <c r="P18" s="9" t="s">
        <v>108</v>
      </c>
    </row>
    <row r="19" customFormat="false" ht="23.25" hidden="false" customHeight="true" outlineLevel="0" collapsed="false">
      <c r="A19" s="5" t="s">
        <v>109</v>
      </c>
      <c r="B19" s="12" t="s">
        <v>110</v>
      </c>
      <c r="C19" s="7" t="n">
        <v>90</v>
      </c>
      <c r="D19" s="7" t="s">
        <v>20</v>
      </c>
      <c r="E19" s="13" t="s">
        <v>24</v>
      </c>
      <c r="F19" s="9" t="s">
        <v>111</v>
      </c>
      <c r="G19" s="7" t="n">
        <v>90</v>
      </c>
      <c r="H19" s="9" t="s">
        <v>42</v>
      </c>
      <c r="I19" s="10" t="s">
        <v>24</v>
      </c>
      <c r="J19" s="9" t="s">
        <v>112</v>
      </c>
      <c r="K19" s="7" t="n">
        <v>180</v>
      </c>
      <c r="L19" s="9" t="s">
        <v>23</v>
      </c>
      <c r="M19" s="10" t="s">
        <v>24</v>
      </c>
      <c r="N19" s="9" t="s">
        <v>113</v>
      </c>
      <c r="O19" s="9" t="s">
        <v>114</v>
      </c>
      <c r="P19" s="9" t="s">
        <v>115</v>
      </c>
    </row>
    <row r="20" customFormat="false" ht="34.5" hidden="false" customHeight="true" outlineLevel="0" collapsed="false">
      <c r="A20" s="5" t="s">
        <v>116</v>
      </c>
      <c r="B20" s="12" t="s">
        <v>65</v>
      </c>
      <c r="C20" s="15" t="n">
        <v>60</v>
      </c>
      <c r="D20" s="7" t="s">
        <v>20</v>
      </c>
      <c r="E20" s="13" t="s">
        <v>24</v>
      </c>
      <c r="F20" s="9" t="s">
        <v>117</v>
      </c>
      <c r="G20" s="7" t="n">
        <v>365</v>
      </c>
      <c r="H20" s="9" t="s">
        <v>23</v>
      </c>
      <c r="I20" s="10" t="s">
        <v>24</v>
      </c>
      <c r="J20" s="9" t="s">
        <v>118</v>
      </c>
      <c r="K20" s="7" t="n">
        <v>90</v>
      </c>
      <c r="L20" s="9" t="s">
        <v>23</v>
      </c>
      <c r="M20" s="10" t="s">
        <v>24</v>
      </c>
      <c r="N20" s="9" t="s">
        <v>119</v>
      </c>
      <c r="O20" s="9" t="s">
        <v>120</v>
      </c>
      <c r="P20" s="9" t="s">
        <v>121</v>
      </c>
    </row>
    <row r="21" customFormat="false" ht="23.25" hidden="false" customHeight="true" outlineLevel="0" collapsed="false">
      <c r="A21" s="5" t="s">
        <v>122</v>
      </c>
      <c r="B21" s="12" t="s">
        <v>123</v>
      </c>
      <c r="C21" s="7" t="n">
        <v>180</v>
      </c>
      <c r="D21" s="7" t="s">
        <v>40</v>
      </c>
      <c r="E21" s="13" t="s">
        <v>24</v>
      </c>
      <c r="F21" s="9" t="s">
        <v>124</v>
      </c>
      <c r="G21" s="7" t="n">
        <v>365</v>
      </c>
      <c r="H21" s="9" t="s">
        <v>42</v>
      </c>
      <c r="I21" s="10" t="s">
        <v>24</v>
      </c>
      <c r="J21" s="9" t="s">
        <v>125</v>
      </c>
      <c r="K21" s="7" t="n">
        <v>365</v>
      </c>
      <c r="L21" s="9" t="s">
        <v>42</v>
      </c>
      <c r="M21" s="10" t="s">
        <v>24</v>
      </c>
      <c r="N21" s="9" t="s">
        <v>126</v>
      </c>
      <c r="O21" s="9" t="s">
        <v>127</v>
      </c>
      <c r="P21" s="9" t="s">
        <v>128</v>
      </c>
    </row>
    <row r="22" customFormat="false" ht="34.5" hidden="false" customHeight="true" outlineLevel="0" collapsed="false">
      <c r="A22" s="5" t="s">
        <v>129</v>
      </c>
      <c r="B22" s="12" t="s">
        <v>130</v>
      </c>
      <c r="C22" s="7" t="n">
        <v>180</v>
      </c>
      <c r="D22" s="7" t="s">
        <v>40</v>
      </c>
      <c r="E22" s="13" t="s">
        <v>24</v>
      </c>
      <c r="F22" s="9" t="s">
        <v>131</v>
      </c>
      <c r="G22" s="7" t="n">
        <v>365</v>
      </c>
      <c r="H22" s="9" t="s">
        <v>42</v>
      </c>
      <c r="I22" s="10" t="s">
        <v>24</v>
      </c>
      <c r="J22" s="11" t="s">
        <v>132</v>
      </c>
      <c r="K22" s="7" t="n">
        <v>60</v>
      </c>
      <c r="L22" s="9" t="s">
        <v>23</v>
      </c>
      <c r="M22" s="10" t="s">
        <v>24</v>
      </c>
      <c r="N22" s="9" t="s">
        <v>133</v>
      </c>
      <c r="O22" s="9" t="s">
        <v>134</v>
      </c>
      <c r="P22" s="9" t="s">
        <v>135</v>
      </c>
    </row>
    <row r="23" customFormat="false" ht="23.25" hidden="false" customHeight="true" outlineLevel="0" collapsed="false">
      <c r="A23" s="5" t="s">
        <v>136</v>
      </c>
      <c r="B23" s="18" t="s">
        <v>137</v>
      </c>
      <c r="C23" s="7" t="n">
        <v>90</v>
      </c>
      <c r="D23" s="7" t="s">
        <v>20</v>
      </c>
      <c r="E23" s="13" t="s">
        <v>24</v>
      </c>
      <c r="F23" s="16" t="s">
        <v>138</v>
      </c>
      <c r="G23" s="7" t="n">
        <v>90</v>
      </c>
      <c r="H23" s="9" t="s">
        <v>42</v>
      </c>
      <c r="I23" s="11" t="s">
        <v>26</v>
      </c>
      <c r="J23" s="11" t="s">
        <v>139</v>
      </c>
      <c r="K23" s="7" t="n">
        <v>60</v>
      </c>
      <c r="L23" s="9" t="s">
        <v>23</v>
      </c>
      <c r="M23" s="11" t="s">
        <v>26</v>
      </c>
      <c r="N23" s="9" t="s">
        <v>140</v>
      </c>
      <c r="O23" s="9" t="s">
        <v>141</v>
      </c>
      <c r="P23" s="9" t="s">
        <v>142</v>
      </c>
    </row>
    <row r="24" customFormat="false" ht="23.25" hidden="false" customHeight="true" outlineLevel="0" collapsed="false">
      <c r="A24" s="5" t="s">
        <v>143</v>
      </c>
      <c r="B24" s="18" t="s">
        <v>137</v>
      </c>
      <c r="C24" s="7" t="n">
        <v>90</v>
      </c>
      <c r="D24" s="7" t="s">
        <v>20</v>
      </c>
      <c r="E24" s="13" t="s">
        <v>24</v>
      </c>
      <c r="F24" s="16" t="s">
        <v>138</v>
      </c>
      <c r="G24" s="7" t="n">
        <v>90</v>
      </c>
      <c r="H24" s="9" t="s">
        <v>42</v>
      </c>
      <c r="I24" s="11" t="s">
        <v>26</v>
      </c>
      <c r="J24" s="11" t="s">
        <v>144</v>
      </c>
      <c r="K24" s="7" t="n">
        <v>540</v>
      </c>
      <c r="L24" s="9" t="s">
        <v>23</v>
      </c>
      <c r="M24" s="10" t="s">
        <v>24</v>
      </c>
      <c r="N24" s="9" t="s">
        <v>145</v>
      </c>
      <c r="O24" s="9" t="s">
        <v>146</v>
      </c>
      <c r="P24" s="9" t="s">
        <v>147</v>
      </c>
    </row>
    <row r="25" customFormat="false" ht="34.5" hidden="false" customHeight="true" outlineLevel="0" collapsed="false">
      <c r="A25" s="5" t="s">
        <v>148</v>
      </c>
      <c r="B25" s="19" t="s">
        <v>149</v>
      </c>
      <c r="C25" s="7" t="n">
        <v>180</v>
      </c>
      <c r="D25" s="7" t="s">
        <v>40</v>
      </c>
      <c r="E25" s="13" t="s">
        <v>24</v>
      </c>
      <c r="F25" s="9" t="s">
        <v>150</v>
      </c>
      <c r="G25" s="7" t="n">
        <v>365</v>
      </c>
      <c r="H25" s="9" t="s">
        <v>23</v>
      </c>
      <c r="I25" s="10" t="s">
        <v>24</v>
      </c>
      <c r="J25" s="9" t="s">
        <v>151</v>
      </c>
      <c r="K25" s="7" t="n">
        <v>365</v>
      </c>
      <c r="L25" s="9" t="s">
        <v>23</v>
      </c>
      <c r="M25" s="10" t="s">
        <v>24</v>
      </c>
      <c r="N25" s="9" t="s">
        <v>152</v>
      </c>
      <c r="O25" s="9" t="s">
        <v>153</v>
      </c>
      <c r="P25" s="9" t="s">
        <v>154</v>
      </c>
    </row>
    <row r="26" customFormat="false" ht="34.5" hidden="false" customHeight="true" outlineLevel="0" collapsed="false">
      <c r="A26" s="5" t="s">
        <v>155</v>
      </c>
      <c r="B26" s="12" t="s">
        <v>156</v>
      </c>
      <c r="C26" s="7" t="n">
        <v>365</v>
      </c>
      <c r="D26" s="7" t="s">
        <v>157</v>
      </c>
      <c r="E26" s="13" t="s">
        <v>24</v>
      </c>
      <c r="F26" s="9" t="s">
        <v>158</v>
      </c>
      <c r="G26" s="7" t="n">
        <v>365</v>
      </c>
      <c r="H26" s="9" t="s">
        <v>23</v>
      </c>
      <c r="I26" s="10" t="s">
        <v>24</v>
      </c>
      <c r="J26" s="9" t="s">
        <v>159</v>
      </c>
      <c r="K26" s="7" t="n">
        <v>120</v>
      </c>
      <c r="L26" s="9" t="s">
        <v>23</v>
      </c>
      <c r="M26" s="10" t="s">
        <v>24</v>
      </c>
      <c r="N26" s="9" t="s">
        <v>160</v>
      </c>
      <c r="O26" s="9" t="s">
        <v>161</v>
      </c>
      <c r="P26" s="9" t="s">
        <v>162</v>
      </c>
    </row>
    <row r="27" customFormat="false" ht="23.25" hidden="false" customHeight="true" outlineLevel="0" collapsed="false">
      <c r="A27" s="5" t="s">
        <v>163</v>
      </c>
      <c r="B27" s="14" t="s">
        <v>164</v>
      </c>
      <c r="C27" s="7" t="n">
        <v>150</v>
      </c>
      <c r="D27" s="7" t="s">
        <v>40</v>
      </c>
      <c r="E27" s="13" t="s">
        <v>24</v>
      </c>
      <c r="F27" s="9" t="s">
        <v>165</v>
      </c>
      <c r="G27" s="7" t="n">
        <v>365</v>
      </c>
      <c r="H27" s="9" t="s">
        <v>42</v>
      </c>
      <c r="I27" s="11" t="s">
        <v>50</v>
      </c>
      <c r="J27" s="11" t="s">
        <v>166</v>
      </c>
      <c r="K27" s="7" t="n">
        <v>365</v>
      </c>
      <c r="L27" s="9" t="s">
        <v>42</v>
      </c>
      <c r="M27" s="11" t="s">
        <v>50</v>
      </c>
      <c r="N27" s="9" t="s">
        <v>167</v>
      </c>
      <c r="O27" s="9" t="s">
        <v>168</v>
      </c>
      <c r="P27" s="9" t="s">
        <v>169</v>
      </c>
    </row>
    <row r="28" customFormat="false" ht="23.25" hidden="false" customHeight="true" outlineLevel="0" collapsed="false">
      <c r="A28" s="5" t="s">
        <v>170</v>
      </c>
      <c r="B28" s="12" t="s">
        <v>171</v>
      </c>
      <c r="C28" s="7" t="n">
        <v>180</v>
      </c>
      <c r="D28" s="7" t="s">
        <v>20</v>
      </c>
      <c r="E28" s="13" t="s">
        <v>24</v>
      </c>
      <c r="F28" s="9" t="s">
        <v>172</v>
      </c>
      <c r="G28" s="7" t="n">
        <v>365</v>
      </c>
      <c r="H28" s="9" t="s">
        <v>42</v>
      </c>
      <c r="I28" s="10" t="s">
        <v>24</v>
      </c>
      <c r="J28" s="11" t="s">
        <v>173</v>
      </c>
      <c r="K28" s="7" t="n">
        <v>365</v>
      </c>
      <c r="L28" s="9" t="s">
        <v>42</v>
      </c>
      <c r="M28" s="10" t="s">
        <v>24</v>
      </c>
      <c r="N28" s="9" t="s">
        <v>174</v>
      </c>
      <c r="O28" s="9" t="s">
        <v>175</v>
      </c>
      <c r="P28" s="9"/>
    </row>
    <row r="29" customFormat="false" ht="23.25" hidden="false" customHeight="true" outlineLevel="0" collapsed="false">
      <c r="A29" s="5" t="s">
        <v>176</v>
      </c>
      <c r="B29" s="12" t="s">
        <v>177</v>
      </c>
      <c r="C29" s="7" t="n">
        <v>90</v>
      </c>
      <c r="D29" s="7" t="s">
        <v>20</v>
      </c>
      <c r="E29" s="13" t="s">
        <v>24</v>
      </c>
      <c r="F29" s="9" t="s">
        <v>178</v>
      </c>
      <c r="G29" s="7" t="n">
        <v>365</v>
      </c>
      <c r="H29" s="9" t="s">
        <v>23</v>
      </c>
      <c r="I29" s="11" t="s">
        <v>50</v>
      </c>
      <c r="J29" s="9" t="s">
        <v>179</v>
      </c>
      <c r="K29" s="7" t="n">
        <v>365</v>
      </c>
      <c r="L29" s="9" t="s">
        <v>23</v>
      </c>
      <c r="M29" s="11" t="s">
        <v>50</v>
      </c>
      <c r="N29" s="9" t="s">
        <v>180</v>
      </c>
      <c r="O29" s="9" t="s">
        <v>181</v>
      </c>
      <c r="P29" s="9"/>
    </row>
    <row r="30" customFormat="false" ht="15" hidden="false" customHeight="true" outlineLevel="0" collapsed="false">
      <c r="A30" s="5" t="s">
        <v>182</v>
      </c>
      <c r="B30" s="12" t="s">
        <v>171</v>
      </c>
      <c r="C30" s="7" t="n">
        <v>180</v>
      </c>
      <c r="D30" s="7" t="s">
        <v>40</v>
      </c>
      <c r="E30" s="13" t="s">
        <v>24</v>
      </c>
      <c r="F30" s="9" t="s">
        <v>183</v>
      </c>
      <c r="G30" s="7" t="n">
        <v>180</v>
      </c>
      <c r="H30" s="9" t="s">
        <v>42</v>
      </c>
      <c r="I30" s="10" t="s">
        <v>24</v>
      </c>
      <c r="J30" s="9" t="s">
        <v>184</v>
      </c>
      <c r="K30" s="7" t="n">
        <v>180</v>
      </c>
      <c r="L30" s="9" t="s">
        <v>23</v>
      </c>
      <c r="M30" s="11" t="s">
        <v>50</v>
      </c>
      <c r="N30" s="9" t="s">
        <v>185</v>
      </c>
      <c r="O30" s="9" t="s">
        <v>186</v>
      </c>
      <c r="P30" s="9"/>
    </row>
    <row r="31" customFormat="false" ht="15" hidden="false" customHeight="true" outlineLevel="0" collapsed="false">
      <c r="A31" s="5" t="s">
        <v>187</v>
      </c>
      <c r="B31" s="6" t="s">
        <v>188</v>
      </c>
      <c r="C31" s="7"/>
      <c r="D31" s="7" t="s">
        <v>20</v>
      </c>
      <c r="E31" s="8" t="s">
        <v>21</v>
      </c>
      <c r="F31" s="16" t="s">
        <v>189</v>
      </c>
      <c r="G31" s="7"/>
      <c r="H31" s="9" t="s">
        <v>20</v>
      </c>
      <c r="I31" s="16" t="s">
        <v>21</v>
      </c>
      <c r="J31" s="16" t="s">
        <v>190</v>
      </c>
      <c r="K31" s="7"/>
      <c r="L31" s="9" t="s">
        <v>20</v>
      </c>
      <c r="M31" s="16" t="s">
        <v>21</v>
      </c>
      <c r="N31" s="9" t="s">
        <v>191</v>
      </c>
      <c r="O31" s="9" t="s">
        <v>20</v>
      </c>
      <c r="P31" s="9" t="s">
        <v>192</v>
      </c>
    </row>
    <row r="32" customFormat="false" ht="23.25" hidden="false" customHeight="true" outlineLevel="0" collapsed="false">
      <c r="A32" s="5" t="s">
        <v>193</v>
      </c>
      <c r="B32" s="14" t="s">
        <v>194</v>
      </c>
      <c r="C32" s="7" t="n">
        <v>365</v>
      </c>
      <c r="D32" s="7" t="s">
        <v>40</v>
      </c>
      <c r="E32" s="13" t="s">
        <v>24</v>
      </c>
      <c r="F32" s="9" t="s">
        <v>195</v>
      </c>
      <c r="G32" s="7" t="n">
        <v>365</v>
      </c>
      <c r="H32" s="9" t="s">
        <v>42</v>
      </c>
      <c r="I32" s="11" t="s">
        <v>50</v>
      </c>
      <c r="J32" s="9" t="s">
        <v>196</v>
      </c>
      <c r="K32" s="7" t="n">
        <v>90</v>
      </c>
      <c r="L32" s="9" t="s">
        <v>23</v>
      </c>
      <c r="M32" s="10" t="s">
        <v>24</v>
      </c>
      <c r="N32" s="9" t="s">
        <v>197</v>
      </c>
      <c r="O32" s="9" t="s">
        <v>20</v>
      </c>
      <c r="P32" s="9" t="s">
        <v>198</v>
      </c>
    </row>
    <row r="33" customFormat="false" ht="23.25" hidden="false" customHeight="true" outlineLevel="0" collapsed="false">
      <c r="A33" s="5" t="s">
        <v>199</v>
      </c>
      <c r="B33" s="12" t="s">
        <v>47</v>
      </c>
      <c r="C33" s="7" t="n">
        <v>120</v>
      </c>
      <c r="D33" s="7" t="s">
        <v>20</v>
      </c>
      <c r="E33" s="13" t="s">
        <v>24</v>
      </c>
      <c r="F33" s="9" t="s">
        <v>200</v>
      </c>
      <c r="G33" s="7" t="n">
        <v>365</v>
      </c>
      <c r="H33" s="9" t="s">
        <v>23</v>
      </c>
      <c r="I33" s="10" t="s">
        <v>24</v>
      </c>
      <c r="J33" s="9" t="s">
        <v>201</v>
      </c>
      <c r="K33" s="7" t="n">
        <v>90</v>
      </c>
      <c r="L33" s="9" t="s">
        <v>23</v>
      </c>
      <c r="M33" s="10" t="s">
        <v>24</v>
      </c>
      <c r="N33" s="9" t="s">
        <v>202</v>
      </c>
      <c r="O33" s="9" t="s">
        <v>203</v>
      </c>
      <c r="P33" s="9" t="s">
        <v>204</v>
      </c>
    </row>
    <row r="34" customFormat="false" ht="23.25" hidden="false" customHeight="true" outlineLevel="0" collapsed="false">
      <c r="A34" s="5" t="s">
        <v>205</v>
      </c>
      <c r="B34" s="12" t="s">
        <v>177</v>
      </c>
      <c r="C34" s="7" t="n">
        <v>90</v>
      </c>
      <c r="D34" s="7" t="s">
        <v>20</v>
      </c>
      <c r="E34" s="13" t="s">
        <v>24</v>
      </c>
      <c r="F34" s="9" t="s">
        <v>22</v>
      </c>
      <c r="G34" s="7" t="n">
        <v>180</v>
      </c>
      <c r="H34" s="9" t="s">
        <v>23</v>
      </c>
      <c r="I34" s="10" t="s">
        <v>24</v>
      </c>
      <c r="J34" s="9" t="s">
        <v>206</v>
      </c>
      <c r="K34" s="7" t="n">
        <v>365</v>
      </c>
      <c r="L34" s="9" t="s">
        <v>23</v>
      </c>
      <c r="M34" s="10" t="s">
        <v>24</v>
      </c>
      <c r="N34" s="9" t="s">
        <v>207</v>
      </c>
      <c r="O34" s="9" t="s">
        <v>208</v>
      </c>
      <c r="P34" s="9"/>
    </row>
    <row r="35" customFormat="false" ht="23.25" hidden="false" customHeight="true" outlineLevel="0" collapsed="false">
      <c r="A35" s="5" t="s">
        <v>209</v>
      </c>
      <c r="B35" s="12" t="s">
        <v>177</v>
      </c>
      <c r="C35" s="7" t="n">
        <v>90</v>
      </c>
      <c r="D35" s="7" t="s">
        <v>40</v>
      </c>
      <c r="E35" s="13" t="s">
        <v>24</v>
      </c>
      <c r="F35" s="9" t="s">
        <v>22</v>
      </c>
      <c r="G35" s="7" t="n">
        <v>180</v>
      </c>
      <c r="H35" s="9" t="s">
        <v>23</v>
      </c>
      <c r="I35" s="10" t="s">
        <v>24</v>
      </c>
      <c r="J35" s="9" t="s">
        <v>210</v>
      </c>
      <c r="K35" s="7" t="n">
        <v>365</v>
      </c>
      <c r="L35" s="9" t="s">
        <v>23</v>
      </c>
      <c r="M35" s="10" t="s">
        <v>24</v>
      </c>
      <c r="N35" s="9" t="s">
        <v>211</v>
      </c>
      <c r="O35" s="9" t="s">
        <v>212</v>
      </c>
      <c r="P35" s="9" t="s">
        <v>213</v>
      </c>
    </row>
    <row r="36" customFormat="false" ht="23.25" hidden="false" customHeight="true" outlineLevel="0" collapsed="false">
      <c r="A36" s="5" t="s">
        <v>214</v>
      </c>
      <c r="B36" s="12" t="s">
        <v>54</v>
      </c>
      <c r="C36" s="7" t="n">
        <v>365</v>
      </c>
      <c r="D36" s="7" t="s">
        <v>20</v>
      </c>
      <c r="E36" s="13" t="s">
        <v>24</v>
      </c>
      <c r="F36" s="9" t="s">
        <v>22</v>
      </c>
      <c r="G36" s="7" t="n">
        <v>180</v>
      </c>
      <c r="H36" s="9" t="s">
        <v>23</v>
      </c>
      <c r="I36" s="10" t="s">
        <v>24</v>
      </c>
      <c r="J36" s="9" t="s">
        <v>206</v>
      </c>
      <c r="K36" s="7" t="n">
        <v>365</v>
      </c>
      <c r="L36" s="9" t="s">
        <v>23</v>
      </c>
      <c r="M36" s="10" t="s">
        <v>24</v>
      </c>
      <c r="N36" s="9" t="s">
        <v>207</v>
      </c>
      <c r="O36" s="9" t="s">
        <v>215</v>
      </c>
      <c r="P36" s="9" t="s">
        <v>216</v>
      </c>
    </row>
    <row r="37" customFormat="false" ht="23.25" hidden="false" customHeight="true" outlineLevel="0" collapsed="false">
      <c r="A37" s="5" t="s">
        <v>217</v>
      </c>
      <c r="B37" s="12" t="s">
        <v>177</v>
      </c>
      <c r="C37" s="7" t="n">
        <v>90</v>
      </c>
      <c r="D37" s="7" t="s">
        <v>20</v>
      </c>
      <c r="E37" s="13" t="s">
        <v>24</v>
      </c>
      <c r="F37" s="9" t="s">
        <v>22</v>
      </c>
      <c r="G37" s="7" t="n">
        <v>180</v>
      </c>
      <c r="H37" s="9" t="s">
        <v>23</v>
      </c>
      <c r="I37" s="10" t="s">
        <v>24</v>
      </c>
      <c r="J37" s="11" t="s">
        <v>218</v>
      </c>
      <c r="K37" s="7" t="n">
        <v>365</v>
      </c>
      <c r="L37" s="9" t="s">
        <v>23</v>
      </c>
      <c r="M37" s="10" t="s">
        <v>24</v>
      </c>
      <c r="N37" s="9" t="s">
        <v>219</v>
      </c>
      <c r="O37" s="9" t="s">
        <v>220</v>
      </c>
      <c r="P37" s="9"/>
    </row>
    <row r="38" customFormat="false" ht="23.25" hidden="false" customHeight="true" outlineLevel="0" collapsed="false">
      <c r="A38" s="5" t="s">
        <v>221</v>
      </c>
      <c r="B38" s="6" t="s">
        <v>188</v>
      </c>
      <c r="C38" s="7"/>
      <c r="D38" s="7" t="s">
        <v>20</v>
      </c>
      <c r="E38" s="8" t="s">
        <v>21</v>
      </c>
      <c r="F38" s="16" t="s">
        <v>222</v>
      </c>
      <c r="G38" s="7"/>
      <c r="H38" s="9" t="s">
        <v>20</v>
      </c>
      <c r="I38" s="16" t="s">
        <v>21</v>
      </c>
      <c r="J38" s="9" t="s">
        <v>223</v>
      </c>
      <c r="K38" s="7" t="n">
        <v>180</v>
      </c>
      <c r="L38" s="9" t="s">
        <v>23</v>
      </c>
      <c r="M38" s="11" t="s">
        <v>50</v>
      </c>
      <c r="N38" s="9" t="s">
        <v>224</v>
      </c>
      <c r="O38" s="9" t="s">
        <v>225</v>
      </c>
      <c r="P38" s="9" t="s">
        <v>226</v>
      </c>
    </row>
    <row r="39" customFormat="false" ht="23.25" hidden="false" customHeight="true" outlineLevel="0" collapsed="false">
      <c r="A39" s="5" t="s">
        <v>227</v>
      </c>
      <c r="B39" s="12" t="s">
        <v>171</v>
      </c>
      <c r="C39" s="7" t="n">
        <v>180</v>
      </c>
      <c r="D39" s="7" t="s">
        <v>20</v>
      </c>
      <c r="E39" s="13" t="s">
        <v>24</v>
      </c>
      <c r="F39" s="9" t="s">
        <v>200</v>
      </c>
      <c r="G39" s="7" t="n">
        <v>365</v>
      </c>
      <c r="H39" s="9" t="s">
        <v>23</v>
      </c>
      <c r="I39" s="10" t="s">
        <v>24</v>
      </c>
      <c r="J39" s="9" t="s">
        <v>201</v>
      </c>
      <c r="K39" s="7" t="n">
        <v>90</v>
      </c>
      <c r="L39" s="9" t="s">
        <v>23</v>
      </c>
      <c r="M39" s="10" t="s">
        <v>24</v>
      </c>
      <c r="N39" s="9" t="s">
        <v>202</v>
      </c>
      <c r="O39" s="9" t="s">
        <v>203</v>
      </c>
      <c r="P39" s="9" t="s">
        <v>228</v>
      </c>
    </row>
    <row r="40" customFormat="false" ht="34.5" hidden="false" customHeight="true" outlineLevel="0" collapsed="false">
      <c r="A40" s="5" t="s">
        <v>229</v>
      </c>
      <c r="B40" s="12" t="s">
        <v>230</v>
      </c>
      <c r="C40" s="7" t="n">
        <v>95</v>
      </c>
      <c r="D40" s="7" t="s">
        <v>20</v>
      </c>
      <c r="E40" s="13" t="s">
        <v>24</v>
      </c>
      <c r="F40" s="9" t="s">
        <v>231</v>
      </c>
      <c r="G40" s="7" t="n">
        <v>90</v>
      </c>
      <c r="H40" s="9" t="s">
        <v>23</v>
      </c>
      <c r="I40" s="10" t="s">
        <v>24</v>
      </c>
      <c r="J40" s="9" t="s">
        <v>232</v>
      </c>
      <c r="K40" s="7" t="n">
        <v>90</v>
      </c>
      <c r="L40" s="9" t="s">
        <v>23</v>
      </c>
      <c r="M40" s="10" t="s">
        <v>24</v>
      </c>
      <c r="N40" s="9" t="s">
        <v>233</v>
      </c>
      <c r="O40" s="9" t="s">
        <v>234</v>
      </c>
      <c r="P40" s="9"/>
    </row>
  </sheetData>
  <autoFilter ref="A4:P40"/>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4"/>
    <col collapsed="false" customWidth="true" hidden="false" outlineLevel="0" max="2" min="2" style="1" width="14"/>
  </cols>
  <sheetData>
    <row r="1" customFormat="false" ht="17.25" hidden="false" customHeight="true" outlineLevel="0" collapsed="false">
      <c r="A1" s="2" t="s">
        <v>235</v>
      </c>
    </row>
    <row r="2" customFormat="false" ht="15" hidden="false" customHeight="true" outlineLevel="0" collapsed="false">
      <c r="A2" s="3" t="s">
        <v>236</v>
      </c>
    </row>
    <row r="4" customFormat="false" ht="15" hidden="false" customHeight="true" outlineLevel="0" collapsed="false">
      <c r="A4" s="20" t="s">
        <v>237</v>
      </c>
    </row>
    <row r="5" customFormat="false" ht="15" hidden="false" customHeight="true" outlineLevel="0" collapsed="false">
      <c r="A5" s="21" t="s">
        <v>238</v>
      </c>
      <c r="B5" s="22" t="n">
        <f aca="false">COUNTA('Timely Filing'!$A$5:$A$40)</f>
        <v>36</v>
      </c>
    </row>
    <row r="6" customFormat="false" ht="15" hidden="false" customHeight="true" outlineLevel="0" collapsed="false">
      <c r="A6" s="21" t="s">
        <v>239</v>
      </c>
      <c r="B6" s="22" t="n">
        <f aca="false">COUNTIF('Timely Filing'!$E$5:$E$40,"Confirmed")</f>
        <v>31</v>
      </c>
    </row>
    <row r="7" customFormat="false" ht="15" hidden="false" customHeight="true" outlineLevel="0" collapsed="false">
      <c r="A7" s="21" t="s">
        <v>240</v>
      </c>
      <c r="B7" s="22" t="n">
        <f aca="false">COUNTIF('Timely Filing'!$E$5:$E$40,"Verify vs contract")</f>
        <v>2</v>
      </c>
    </row>
    <row r="8" customFormat="false" ht="15" hidden="false" customHeight="true" outlineLevel="0" collapsed="false">
      <c r="A8" s="21" t="s">
        <v>241</v>
      </c>
      <c r="B8" s="22" t="n">
        <f aca="false">COUNTIF('Timely Filing'!$E$5:$E$40,"Needs research")</f>
        <v>3</v>
      </c>
    </row>
    <row r="10" customFormat="false" ht="15" hidden="false" customHeight="true" outlineLevel="0" collapsed="false">
      <c r="A10" s="20" t="s">
        <v>242</v>
      </c>
    </row>
    <row r="11" customFormat="false" ht="15" hidden="false" customHeight="true" outlineLevel="0" collapsed="false">
      <c r="A11" s="21" t="s">
        <v>65</v>
      </c>
      <c r="B11" s="22" t="n">
        <f aca="false">COUNTIF('Timely Filing'!$C$5:$C$40,60)</f>
        <v>3</v>
      </c>
    </row>
    <row r="12" customFormat="false" ht="15" hidden="false" customHeight="true" outlineLevel="0" collapsed="false">
      <c r="A12" s="21" t="s">
        <v>177</v>
      </c>
      <c r="B12" s="22" t="n">
        <f aca="false">COUNTIF('Timely Filing'!$C$5:$C$40,90)</f>
        <v>9</v>
      </c>
    </row>
    <row r="13" customFormat="false" ht="15" hidden="false" customHeight="true" outlineLevel="0" collapsed="false">
      <c r="A13" s="21" t="s">
        <v>230</v>
      </c>
      <c r="B13" s="22" t="n">
        <f aca="false">COUNTIF('Timely Filing'!$C$5:$C$40,95)</f>
        <v>1</v>
      </c>
    </row>
    <row r="14" customFormat="false" ht="15" hidden="false" customHeight="true" outlineLevel="0" collapsed="false">
      <c r="A14" s="21" t="s">
        <v>47</v>
      </c>
      <c r="B14" s="22" t="n">
        <f aca="false">COUNTIF('Timely Filing'!$C$5:$C$40,120)</f>
        <v>8</v>
      </c>
    </row>
    <row r="15" customFormat="false" ht="15" hidden="false" customHeight="true" outlineLevel="0" collapsed="false">
      <c r="A15" s="23" t="s">
        <v>243</v>
      </c>
      <c r="B15" s="24" t="n">
        <f aca="false">COUNTIF('Timely Filing'!$C$5:$C$40,150)</f>
        <v>1</v>
      </c>
    </row>
    <row r="16" customFormat="false" ht="15" hidden="false" customHeight="true" outlineLevel="0" collapsed="false">
      <c r="A16" s="21" t="s">
        <v>171</v>
      </c>
      <c r="B16" s="22" t="n">
        <f aca="false">COUNTIF('Timely Filing'!$C$5:$C$40,180)</f>
        <v>7</v>
      </c>
    </row>
    <row r="17" customFormat="false" ht="15" hidden="false" customHeight="true" outlineLevel="0" collapsed="false">
      <c r="A17" s="21" t="s">
        <v>244</v>
      </c>
      <c r="B17" s="22" t="n">
        <f aca="false">COUNTIF('Timely Filing'!$C$5:$C$40,365)</f>
        <v>4</v>
      </c>
    </row>
    <row r="18" customFormat="false" ht="15" hidden="false" customHeight="true" outlineLevel="0" collapsed="false">
      <c r="A18" s="21" t="s">
        <v>245</v>
      </c>
      <c r="B18" s="22" t="n">
        <f aca="false">COUNTIF('Timely Filing'!$B$5:$B$40,"*month*")+COUNTIF('Timely Filing'!$B$5:$B$40,"*physicians*")</f>
        <v>5</v>
      </c>
    </row>
    <row r="19" customFormat="false" ht="15" hidden="false" customHeight="true" outlineLevel="0" collapsed="false"/>
    <row r="20" customFormat="false" ht="15" hidden="false" customHeight="true" outlineLevel="0" collapsed="false">
      <c r="A20" s="20" t="s">
        <v>246</v>
      </c>
    </row>
    <row r="21" customFormat="false" ht="15" hidden="false" customHeight="true" outlineLevel="0" collapsed="false">
      <c r="A21" s="21" t="s">
        <v>247</v>
      </c>
      <c r="B21" s="22" t="n">
        <f aca="false">COUNTIFS('Timely Filing'!$C$5:$C$40,"&lt;=90",'Timely Filing'!$C$5:$C$40,"&gt;0")</f>
        <v>12</v>
      </c>
    </row>
    <row r="22" customFormat="false" ht="15" hidden="false" customHeight="true" outlineLevel="0" collapsed="false">
      <c r="A22" s="21" t="s">
        <v>248</v>
      </c>
      <c r="B22" s="22" t="n">
        <f aca="false">MIN('Timely Filing'!$C$5:$C$40)</f>
        <v>60</v>
      </c>
    </row>
    <row r="23" customFormat="false" ht="15" hidden="false" customHeight="true" outlineLevel="0" collapsed="false">
      <c r="A23" s="21" t="s">
        <v>249</v>
      </c>
      <c r="B23" s="22" t="n">
        <f aca="false">MAX('Timely Filing'!$C$5:$C$40)</f>
        <v>365</v>
      </c>
    </row>
    <row r="24" customFormat="false" ht="15" hidden="false" customHeight="true" outlineLevel="0" collapsed="false"/>
    <row r="25" customFormat="false" ht="15" hidden="false" customHeight="true" outlineLevel="0" collapsed="false">
      <c r="A25" s="20" t="s">
        <v>250</v>
      </c>
    </row>
    <row r="26" customFormat="false" ht="15" hidden="false" customHeight="true" outlineLevel="0" collapsed="false">
      <c r="A26" s="23" t="s">
        <v>251</v>
      </c>
      <c r="B26" s="24" t="n">
        <f aca="false">COUNTIF('Timely Filing'!$I$5:$I$40,"Confirmed")</f>
        <v>22</v>
      </c>
    </row>
    <row r="27" customFormat="false" ht="15" hidden="false" customHeight="true" outlineLevel="0" collapsed="false">
      <c r="A27" s="23" t="s">
        <v>252</v>
      </c>
      <c r="B27" s="24" t="n">
        <f aca="false">COUNTIF('Timely Filing'!$I$5:$I$40,"Verify vs contract")+COUNTIF('Timely Filing'!$I$5:$I$40,"Verify vs manual")</f>
        <v>9</v>
      </c>
    </row>
    <row r="28" customFormat="false" ht="15" hidden="false" customHeight="true" outlineLevel="0" collapsed="false">
      <c r="A28" s="23" t="s">
        <v>253</v>
      </c>
      <c r="B28" s="24" t="n">
        <f aca="false">COUNTIF('Timely Filing'!$I$5:$I$40,"Needs research")</f>
        <v>5</v>
      </c>
    </row>
    <row r="29" customFormat="false" ht="15" hidden="false" customHeight="true" outlineLevel="0" collapsed="false">
      <c r="A29" s="23" t="s">
        <v>254</v>
      </c>
      <c r="B29" s="24" t="n">
        <f aca="false">COUNTIF('Timely Filing'!$H$5:$H$40,"Date of service")</f>
        <v>16</v>
      </c>
    </row>
    <row r="30" customFormat="false" ht="15" hidden="false" customHeight="true" outlineLevel="0" collapsed="false">
      <c r="A30" s="23" t="s">
        <v>255</v>
      </c>
      <c r="B30" s="24" t="n">
        <f aca="false">COUNTIF('Timely Filing'!$H$5:$H$40,"Processed date")</f>
        <v>15</v>
      </c>
    </row>
    <row r="31" customFormat="false" ht="15" hidden="false" customHeight="true" outlineLevel="0" collapsed="false"/>
    <row r="32" customFormat="false" ht="15" hidden="false" customHeight="true" outlineLevel="0" collapsed="false">
      <c r="A32" s="20" t="s">
        <v>256</v>
      </c>
    </row>
    <row r="33" customFormat="false" ht="15" hidden="false" customHeight="true" outlineLevel="0" collapsed="false">
      <c r="A33" s="23" t="s">
        <v>251</v>
      </c>
      <c r="B33" s="24" t="n">
        <f aca="false">COUNTIF('Timely Filing'!$M$5:$M$40,"Confirmed")</f>
        <v>22</v>
      </c>
    </row>
    <row r="34" customFormat="false" ht="15" hidden="false" customHeight="true" outlineLevel="0" collapsed="false">
      <c r="A34" s="23" t="s">
        <v>252</v>
      </c>
      <c r="B34" s="24" t="n">
        <f aca="false">COUNTIF('Timely Filing'!$M$5:$M$40,"Verify vs contract")+COUNTIF('Timely Filing'!$M$5:$M$40,"Verify vs manual")</f>
        <v>12</v>
      </c>
    </row>
    <row r="35" customFormat="false" ht="15" hidden="false" customHeight="true" outlineLevel="0" collapsed="false">
      <c r="A35" s="23" t="s">
        <v>253</v>
      </c>
      <c r="B35" s="24" t="n">
        <f aca="false">COUNTIF('Timely Filing'!$M$5:$M$40,"Needs research")</f>
        <v>2</v>
      </c>
    </row>
    <row r="36" customFormat="false" ht="15" hidden="false" customHeight="true" outlineLevel="0" collapsed="false">
      <c r="A36" s="23" t="s">
        <v>254</v>
      </c>
      <c r="B36" s="24" t="n">
        <f aca="false">COUNTIF('Timely Filing'!$L$5:$L$40,"Date of service")</f>
        <v>7</v>
      </c>
    </row>
    <row r="37" customFormat="false" ht="15" hidden="false" customHeight="true" outlineLevel="0" collapsed="false">
      <c r="A37" s="23" t="s">
        <v>255</v>
      </c>
      <c r="B37" s="24" t="n">
        <f aca="false">COUNTIF('Timely Filing'!$L$5:$L$40,"Processed date")</f>
        <v>27</v>
      </c>
    </row>
    <row r="38" customFormat="false" ht="15" hidden="false" customHeight="true" outlineLevel="0" collapsed="false"/>
    <row r="39" customFormat="false" ht="15" hidden="false" customHeight="true" outlineLevel="0" collapsed="false">
      <c r="A39" s="20" t="s">
        <v>257</v>
      </c>
    </row>
    <row r="40" customFormat="false" ht="15" hidden="false" customHeight="true" outlineLevel="0" collapsed="false">
      <c r="A40" s="23" t="s">
        <v>258</v>
      </c>
      <c r="B40" s="24" t="n">
        <f aca="false">MIN('Timely Filing'!$G$5:$G$40)</f>
        <v>90</v>
      </c>
    </row>
    <row r="41" customFormat="false" ht="15" hidden="false" customHeight="true" outlineLevel="0" collapsed="false">
      <c r="A41" s="23" t="s">
        <v>259</v>
      </c>
      <c r="B41" s="24" t="n">
        <f aca="false">MIN('Timely Filing'!$K$5:$K$40)</f>
        <v>60</v>
      </c>
    </row>
    <row r="42" customFormat="false" ht="15" hidden="false" customHeight="true" outlineLevel="0" collapsed="false">
      <c r="A42" s="23" t="s">
        <v>260</v>
      </c>
      <c r="B42" s="24" t="n">
        <f aca="false">COUNTIFS('Timely Filing'!$K$5:$K$40,"&lt;=90",'Timely Filing'!$K$5:$K$40,"&gt;0")</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28"/>
  </cols>
  <sheetData>
    <row r="1" customFormat="false" ht="17.25" hidden="false" customHeight="true" outlineLevel="0" collapsed="false">
      <c r="A1" s="2" t="s">
        <v>261</v>
      </c>
    </row>
    <row r="2" customFormat="false" ht="15" hidden="false" customHeight="true" outlineLevel="0" collapsed="false">
      <c r="A2" s="23"/>
    </row>
    <row r="3" customFormat="false" ht="15" hidden="false" customHeight="true" outlineLevel="0" collapsed="false">
      <c r="A3" s="20" t="s">
        <v>262</v>
      </c>
    </row>
    <row r="4" customFormat="false" ht="15" hidden="false" customHeight="true" outlineLevel="0" collapsed="false">
      <c r="A4" s="23" t="s">
        <v>263</v>
      </c>
    </row>
    <row r="5" customFormat="false" ht="15" hidden="false" customHeight="true" outlineLevel="0" collapsed="false">
      <c r="A5" s="23" t="s">
        <v>264</v>
      </c>
    </row>
    <row r="6" customFormat="false" ht="15" hidden="false" customHeight="true" outlineLevel="0" collapsed="false">
      <c r="A6" s="23" t="s">
        <v>265</v>
      </c>
    </row>
    <row r="7" customFormat="false" ht="15" hidden="false" customHeight="true" outlineLevel="0" collapsed="false">
      <c r="A7" s="23" t="s">
        <v>266</v>
      </c>
    </row>
    <row r="8" customFormat="false" ht="15" hidden="false" customHeight="true" outlineLevel="0" collapsed="false">
      <c r="A8" s="23" t="s">
        <v>267</v>
      </c>
    </row>
    <row r="9" customFormat="false" ht="15" hidden="false" customHeight="true" outlineLevel="0" collapsed="false">
      <c r="A9" s="23"/>
    </row>
    <row r="10" customFormat="false" ht="15" hidden="false" customHeight="true" outlineLevel="0" collapsed="false">
      <c r="A10" s="20" t="s">
        <v>268</v>
      </c>
    </row>
    <row r="11" customFormat="false" ht="15" hidden="false" customHeight="true" outlineLevel="0" collapsed="false">
      <c r="A11" s="23" t="s">
        <v>269</v>
      </c>
    </row>
    <row r="12" customFormat="false" ht="15" hidden="false" customHeight="true" outlineLevel="0" collapsed="false">
      <c r="A12" s="23" t="s">
        <v>270</v>
      </c>
    </row>
    <row r="13" customFormat="false" ht="15" hidden="false" customHeight="true" outlineLevel="0" collapsed="false">
      <c r="A13" s="23"/>
    </row>
    <row r="14" customFormat="false" ht="15" hidden="false" customHeight="true" outlineLevel="0" collapsed="false">
      <c r="A14" s="20" t="s">
        <v>271</v>
      </c>
    </row>
    <row r="15" customFormat="false" ht="15" hidden="false" customHeight="true" outlineLevel="0" collapsed="false">
      <c r="A15" s="23" t="s">
        <v>272</v>
      </c>
    </row>
    <row r="16" customFormat="false" ht="15" hidden="false" customHeight="true" outlineLevel="0" collapsed="false">
      <c r="A16" s="23" t="s">
        <v>273</v>
      </c>
    </row>
    <row r="17" customFormat="false" ht="15" hidden="false" customHeight="true" outlineLevel="0" collapsed="false">
      <c r="A17" s="23" t="s">
        <v>274</v>
      </c>
    </row>
    <row r="18" customFormat="false" ht="15" hidden="false" customHeight="true" outlineLevel="0" collapsed="false">
      <c r="A18" s="23"/>
    </row>
    <row r="19" customFormat="false" ht="15" hidden="false" customHeight="true" outlineLevel="0" collapsed="false">
      <c r="A19" s="20" t="s">
        <v>275</v>
      </c>
    </row>
    <row r="20" customFormat="false" ht="15" hidden="false" customHeight="true" outlineLevel="0" collapsed="false">
      <c r="A20" s="23" t="s">
        <v>276</v>
      </c>
    </row>
    <row r="21" customFormat="false" ht="15" hidden="false" customHeight="true" outlineLevel="0" collapsed="false">
      <c r="A21" s="23" t="s">
        <v>277</v>
      </c>
    </row>
    <row r="22" customFormat="false" ht="15" hidden="false" customHeight="true" outlineLevel="0" collapsed="false">
      <c r="A22" s="23"/>
    </row>
    <row r="23" customFormat="false" ht="15" hidden="false" customHeight="true" outlineLevel="0" collapsed="false">
      <c r="A23" s="20" t="s">
        <v>278</v>
      </c>
    </row>
    <row r="24" customFormat="false" ht="15" hidden="false" customHeight="true" outlineLevel="0" collapsed="false">
      <c r="A24" s="23" t="s">
        <v>279</v>
      </c>
    </row>
    <row r="25" customFormat="false" ht="15" hidden="false" customHeight="true" outlineLevel="0" collapsed="false">
      <c r="A25" s="23" t="s">
        <v>280</v>
      </c>
    </row>
    <row r="26" customFormat="false" ht="15" hidden="false" customHeight="true" outlineLevel="0" collapsed="false">
      <c r="A26" s="23" t="s">
        <v>281</v>
      </c>
    </row>
    <row r="27" customFormat="false" ht="15" hidden="false" customHeight="true" outlineLevel="0" collapsed="false">
      <c r="A27" s="23"/>
    </row>
    <row r="28" customFormat="false" ht="15" hidden="false" customHeight="true" outlineLevel="0" collapsed="false">
      <c r="A28" s="20" t="s">
        <v>282</v>
      </c>
    </row>
    <row r="29" customFormat="false" ht="15" hidden="false" customHeight="true" outlineLevel="0" collapsed="false">
      <c r="A29" s="23" t="s">
        <v>283</v>
      </c>
    </row>
    <row r="30" customFormat="false" ht="15" hidden="false" customHeight="true" outlineLevel="0" collapsed="false">
      <c r="A30" s="23" t="s">
        <v>284</v>
      </c>
    </row>
    <row r="31" customFormat="false" ht="15" hidden="false" customHeight="true" outlineLevel="0" collapsed="false">
      <c r="A31" s="23" t="s">
        <v>285</v>
      </c>
    </row>
    <row r="32" customFormat="false" ht="15" hidden="false" customHeight="true" outlineLevel="0" collapsed="false">
      <c r="A32" s="23"/>
    </row>
    <row r="33" customFormat="false" ht="15" hidden="false" customHeight="true" outlineLevel="0" collapsed="false">
      <c r="A33" s="23" t="s">
        <v>286</v>
      </c>
    </row>
    <row r="35" customFormat="false" ht="15" hidden="false" customHeight="true" outlineLevel="0" collapsed="false">
      <c r="A35" s="20" t="s">
        <v>287</v>
      </c>
    </row>
    <row r="36" customFormat="false" ht="15" hidden="false" customHeight="true" outlineLevel="0" collapsed="false">
      <c r="A36" s="23" t="s">
        <v>288</v>
      </c>
    </row>
    <row r="37" customFormat="false" ht="15" hidden="false" customHeight="true" outlineLevel="0" collapsed="false">
      <c r="A37" s="23" t="s">
        <v>289</v>
      </c>
    </row>
    <row r="38" customFormat="false" ht="15" hidden="false" customHeight="true" outlineLevel="0" collapsed="false">
      <c r="A38" s="23" t="s">
        <v>290</v>
      </c>
    </row>
    <row r="39" customFormat="false" ht="15" hidden="false" customHeight="true" outlineLevel="0" collapsed="false">
      <c r="A39" s="23" t="s">
        <v>291</v>
      </c>
    </row>
    <row r="41" customFormat="false" ht="15" hidden="false" customHeight="true" outlineLevel="0" collapsed="false">
      <c r="A41" s="20" t="s">
        <v>292</v>
      </c>
    </row>
    <row r="42" customFormat="false" ht="15" hidden="false" customHeight="true" outlineLevel="0" collapsed="false">
      <c r="A42" s="23" t="s">
        <v>293</v>
      </c>
    </row>
    <row r="43" customFormat="false" ht="15" hidden="false" customHeight="true" outlineLevel="0" collapsed="false">
      <c r="A43" s="23" t="s">
        <v>294</v>
      </c>
    </row>
    <row r="44" customFormat="false" ht="15" hidden="false" customHeight="true" outlineLevel="0" collapsed="false">
      <c r="A44" s="23" t="s">
        <v>295</v>
      </c>
    </row>
    <row r="46" customFormat="false" ht="15" hidden="false" customHeight="true" outlineLevel="0" collapsed="false">
      <c r="A46" s="20" t="s">
        <v>296</v>
      </c>
    </row>
    <row r="47" customFormat="false" ht="15" hidden="false" customHeight="true" outlineLevel="0" collapsed="false">
      <c r="A47" s="23" t="s">
        <v>297</v>
      </c>
    </row>
    <row r="48" customFormat="false" ht="15" hidden="false" customHeight="true" outlineLevel="0" collapsed="false">
      <c r="A48" s="23" t="s">
        <v>298</v>
      </c>
    </row>
    <row r="49" customFormat="false" ht="15" hidden="false" customHeight="true" outlineLevel="0" collapsed="false">
      <c r="A49" s="23" t="s">
        <v>299</v>
      </c>
    </row>
    <row r="50" customFormat="false" ht="15" hidden="false" customHeight="true" outlineLevel="0" collapsed="false">
      <c r="A50" s="23" t="s">
        <v>300</v>
      </c>
    </row>
    <row r="51" customFormat="false" ht="15" hidden="false" customHeight="true" outlineLevel="0" collapsed="false">
      <c r="A51" s="23" t="s">
        <v>301</v>
      </c>
    </row>
    <row r="52" customFormat="false" ht="15" hidden="false" customHeight="true" outlineLevel="0" collapsed="false">
      <c r="A52" s="23" t="s">
        <v>302</v>
      </c>
    </row>
    <row r="53" customFormat="false" ht="15" hidden="false" customHeight="true" outlineLevel="0" collapsed="false">
      <c r="A53" s="23" t="s">
        <v>303</v>
      </c>
    </row>
    <row r="54" customFormat="false" ht="15" hidden="false" customHeight="true" outlineLevel="0" collapsed="false">
      <c r="A54" s="23" t="s">
        <v>304</v>
      </c>
    </row>
    <row r="55" customFormat="false" ht="15" hidden="false" customHeight="true" outlineLevel="0" collapsed="false">
      <c r="A55" s="23" t="s">
        <v>305</v>
      </c>
    </row>
    <row r="56" customFormat="false" ht="15" hidden="false" customHeight="true" outlineLevel="0" collapsed="false">
      <c r="A56" s="23" t="s">
        <v>306</v>
      </c>
    </row>
    <row r="57" customFormat="false" ht="15" hidden="false" customHeight="true" outlineLevel="0" collapsed="false">
      <c r="A57" s="23" t="s">
        <v>307</v>
      </c>
    </row>
    <row r="58" customFormat="false" ht="15" hidden="false" customHeight="true" outlineLevel="0" collapsed="false"/>
    <row r="59" customFormat="false" ht="15" hidden="false" customHeight="true" outlineLevel="0" collapsed="false">
      <c r="A59" s="20" t="s">
        <v>308</v>
      </c>
    </row>
    <row r="60" customFormat="false" ht="15" hidden="false" customHeight="true" outlineLevel="0" collapsed="false">
      <c r="A60" s="23" t="s">
        <v>309</v>
      </c>
    </row>
    <row r="61" customFormat="false" ht="15" hidden="false" customHeight="true" outlineLevel="0" collapsed="false">
      <c r="A61" s="23" t="s">
        <v>310</v>
      </c>
    </row>
    <row r="62" customFormat="false" ht="15" hidden="false" customHeight="true" outlineLevel="0" collapsed="false">
      <c r="A62" s="23" t="s">
        <v>311</v>
      </c>
    </row>
    <row r="63" customFormat="false" ht="15" hidden="false" customHeight="true" outlineLevel="0" collapsed="false">
      <c r="A63" s="23" t="s">
        <v>312</v>
      </c>
    </row>
    <row r="64" customFormat="false" ht="15" hidden="false" customHeight="true" outlineLevel="0" collapsed="false"/>
    <row r="65" customFormat="false" ht="15" hidden="false" customHeight="true" outlineLevel="0" collapsed="false">
      <c r="A65" s="20" t="s">
        <v>313</v>
      </c>
    </row>
    <row r="66" customFormat="false" ht="15" hidden="false" customHeight="true" outlineLevel="0" collapsed="false">
      <c r="A66" s="23" t="s">
        <v>314</v>
      </c>
    </row>
    <row r="67" customFormat="false" ht="15" hidden="false" customHeight="true" outlineLevel="0" collapsed="false">
      <c r="A67" s="23" t="s">
        <v>315</v>
      </c>
    </row>
    <row r="68" customFormat="false" ht="15" hidden="false" customHeight="true" outlineLevel="0" collapsed="false">
      <c r="A68" s="23" t="s">
        <v>316</v>
      </c>
    </row>
    <row r="69" customFormat="false" ht="15" hidden="false" customHeight="true" outlineLevel="0" collapsed="false">
      <c r="A69" s="23" t="s">
        <v>317</v>
      </c>
    </row>
    <row r="70" customFormat="false" ht="15" hidden="false" customHeight="true" outlineLevel="0" collapsed="false">
      <c r="A70" s="23"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2026-08-09T03:22:25Z</dcterms:created>
  <dc:creator>openpyxl</dc:creator>
  <dc:description/>
  <dc:language>en-US</dc:language>
  <cp:lastModifiedBy/>
  <dcterms:modified xsi:type="dcterms:W3CDTF">2026-09-10T20:08:28Z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